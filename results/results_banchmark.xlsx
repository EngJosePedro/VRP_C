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ose-\Documents\Doutorado\AI VRP\VRP_C\results\VRP\sets\"/>
    </mc:Choice>
  </mc:AlternateContent>
  <xr:revisionPtr revIDLastSave="0" documentId="13_ncr:1_{E51A8A99-F61F-4ED7-B0F5-C2473143B975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Dim" sheetId="1" r:id="rId1"/>
    <sheet name="Consolidado" sheetId="2" r:id="rId2"/>
    <sheet name="Data" sheetId="3" r:id="rId3"/>
    <sheet name="Planilha2" sheetId="4" r:id="rId4"/>
    <sheet name="Analise_Instancias" sheetId="5" r:id="rId5"/>
    <sheet name="Analise_Sets" sheetId="6" r:id="rId6"/>
    <sheet name="Analise_Tamanho" sheetId="7" r:id="rId7"/>
    <sheet name="Portfolio_Modelos" sheetId="8" r:id="rId8"/>
    <sheet name="Analise_X" sheetId="9" r:id="rId9"/>
  </sheets>
  <definedNames>
    <definedName name="_xlnm._FilterDatabase" localSheetId="4" hidden="1">Analise_Instancias!$A$1:$V$207</definedName>
    <definedName name="_xlnm._FilterDatabase" localSheetId="6" hidden="1">Analise_Tamanho!$R$9:$AA$215</definedName>
    <definedName name="_xlnm._FilterDatabase" localSheetId="2" hidden="1">Data!$A$1:$N$618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9" l="1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G5" i="8"/>
  <c r="S9" i="6"/>
  <c r="S8" i="6"/>
  <c r="S7" i="6"/>
  <c r="S6" i="6"/>
  <c r="S5" i="6"/>
  <c r="S4" i="6"/>
  <c r="S3" i="6"/>
  <c r="S2" i="6"/>
  <c r="R207" i="5"/>
  <c r="M207" i="5"/>
  <c r="K207" i="5"/>
  <c r="J207" i="5"/>
  <c r="H211" i="1" s="1"/>
  <c r="H207" i="5"/>
  <c r="G207" i="5"/>
  <c r="F211" i="1" s="1"/>
  <c r="E207" i="5"/>
  <c r="D207" i="5"/>
  <c r="R206" i="5"/>
  <c r="M206" i="5"/>
  <c r="D210" i="1" s="1"/>
  <c r="K206" i="5"/>
  <c r="J206" i="5"/>
  <c r="H210" i="1" s="1"/>
  <c r="H206" i="5"/>
  <c r="G206" i="5"/>
  <c r="E206" i="5"/>
  <c r="D206" i="5"/>
  <c r="R205" i="5"/>
  <c r="M205" i="5"/>
  <c r="K205" i="5"/>
  <c r="J205" i="5"/>
  <c r="H209" i="1" s="1"/>
  <c r="H205" i="5"/>
  <c r="G205" i="5"/>
  <c r="E205" i="5"/>
  <c r="D205" i="5"/>
  <c r="R204" i="5"/>
  <c r="M204" i="5"/>
  <c r="K204" i="5"/>
  <c r="J204" i="5"/>
  <c r="H204" i="5"/>
  <c r="G204" i="5"/>
  <c r="F208" i="1" s="1"/>
  <c r="E204" i="5"/>
  <c r="D204" i="5"/>
  <c r="L204" i="5" s="1"/>
  <c r="C208" i="1" s="1"/>
  <c r="R203" i="5"/>
  <c r="M203" i="5"/>
  <c r="K203" i="5"/>
  <c r="J203" i="5"/>
  <c r="H207" i="1" s="1"/>
  <c r="H203" i="5"/>
  <c r="G203" i="5"/>
  <c r="E203" i="5"/>
  <c r="D203" i="5"/>
  <c r="R202" i="5"/>
  <c r="M202" i="5"/>
  <c r="D206" i="1" s="1"/>
  <c r="K202" i="5"/>
  <c r="J202" i="5"/>
  <c r="H206" i="1" s="1"/>
  <c r="H202" i="5"/>
  <c r="G202" i="5"/>
  <c r="F206" i="1" s="1"/>
  <c r="E202" i="5"/>
  <c r="D202" i="5"/>
  <c r="R201" i="5"/>
  <c r="M201" i="5"/>
  <c r="D205" i="1" s="1"/>
  <c r="K201" i="5"/>
  <c r="J201" i="5"/>
  <c r="H205" i="1" s="1"/>
  <c r="H201" i="5"/>
  <c r="G201" i="5"/>
  <c r="F205" i="1" s="1"/>
  <c r="E201" i="5"/>
  <c r="D201" i="5"/>
  <c r="R200" i="5"/>
  <c r="M200" i="5"/>
  <c r="D204" i="1" s="1"/>
  <c r="K200" i="5"/>
  <c r="J200" i="5"/>
  <c r="H204" i="1" s="1"/>
  <c r="H200" i="5"/>
  <c r="G200" i="5"/>
  <c r="F204" i="1" s="1"/>
  <c r="E200" i="5"/>
  <c r="D200" i="5"/>
  <c r="R199" i="5"/>
  <c r="M199" i="5"/>
  <c r="D203" i="1" s="1"/>
  <c r="K199" i="5"/>
  <c r="J199" i="5"/>
  <c r="H203" i="1" s="1"/>
  <c r="H199" i="5"/>
  <c r="G199" i="5"/>
  <c r="F203" i="1" s="1"/>
  <c r="E199" i="5"/>
  <c r="D199" i="5"/>
  <c r="R198" i="5"/>
  <c r="M198" i="5"/>
  <c r="D202" i="1" s="1"/>
  <c r="K198" i="5"/>
  <c r="J198" i="5"/>
  <c r="H202" i="1" s="1"/>
  <c r="H198" i="5"/>
  <c r="G198" i="5"/>
  <c r="F202" i="1" s="1"/>
  <c r="E198" i="5"/>
  <c r="D198" i="5"/>
  <c r="R197" i="5"/>
  <c r="M197" i="5"/>
  <c r="K197" i="5"/>
  <c r="J197" i="5"/>
  <c r="H201" i="1" s="1"/>
  <c r="H197" i="5"/>
  <c r="G197" i="5"/>
  <c r="E197" i="5"/>
  <c r="D197" i="5"/>
  <c r="R196" i="5"/>
  <c r="M196" i="5"/>
  <c r="D200" i="1" s="1"/>
  <c r="K196" i="5"/>
  <c r="J196" i="5"/>
  <c r="H200" i="1" s="1"/>
  <c r="H196" i="5"/>
  <c r="G196" i="5"/>
  <c r="E196" i="5"/>
  <c r="D196" i="5"/>
  <c r="R195" i="5"/>
  <c r="M195" i="5"/>
  <c r="D199" i="1" s="1"/>
  <c r="K195" i="5"/>
  <c r="J195" i="5"/>
  <c r="H199" i="1" s="1"/>
  <c r="H195" i="5"/>
  <c r="G195" i="5"/>
  <c r="F199" i="1" s="1"/>
  <c r="E195" i="5"/>
  <c r="D195" i="5"/>
  <c r="R194" i="5"/>
  <c r="M194" i="5"/>
  <c r="D198" i="1" s="1"/>
  <c r="K194" i="5"/>
  <c r="J194" i="5"/>
  <c r="H198" i="1" s="1"/>
  <c r="H194" i="5"/>
  <c r="G194" i="5"/>
  <c r="E194" i="5"/>
  <c r="D194" i="5"/>
  <c r="R193" i="5"/>
  <c r="M193" i="5"/>
  <c r="K193" i="5"/>
  <c r="J193" i="5"/>
  <c r="H197" i="1" s="1"/>
  <c r="H193" i="5"/>
  <c r="G193" i="5"/>
  <c r="E193" i="5"/>
  <c r="D193" i="5"/>
  <c r="R192" i="5"/>
  <c r="M192" i="5"/>
  <c r="D196" i="1" s="1"/>
  <c r="K192" i="5"/>
  <c r="J192" i="5"/>
  <c r="H196" i="1" s="1"/>
  <c r="H192" i="5"/>
  <c r="G192" i="5"/>
  <c r="E192" i="5"/>
  <c r="D192" i="5"/>
  <c r="R191" i="5"/>
  <c r="M191" i="5"/>
  <c r="D195" i="1" s="1"/>
  <c r="K191" i="5"/>
  <c r="L191" i="5" s="1"/>
  <c r="J191" i="5"/>
  <c r="H195" i="1" s="1"/>
  <c r="H191" i="5"/>
  <c r="G191" i="5"/>
  <c r="E191" i="5"/>
  <c r="D191" i="5"/>
  <c r="R190" i="5"/>
  <c r="M190" i="5"/>
  <c r="K190" i="5"/>
  <c r="J190" i="5"/>
  <c r="H194" i="1" s="1"/>
  <c r="H190" i="5"/>
  <c r="G190" i="5"/>
  <c r="F194" i="1" s="1"/>
  <c r="E190" i="5"/>
  <c r="D190" i="5"/>
  <c r="R189" i="5"/>
  <c r="M189" i="5"/>
  <c r="D193" i="1" s="1"/>
  <c r="K189" i="5"/>
  <c r="J189" i="5"/>
  <c r="H193" i="1" s="1"/>
  <c r="H189" i="5"/>
  <c r="G189" i="5"/>
  <c r="F193" i="1" s="1"/>
  <c r="E189" i="5"/>
  <c r="D189" i="5"/>
  <c r="R188" i="5"/>
  <c r="M188" i="5"/>
  <c r="D192" i="1" s="1"/>
  <c r="K188" i="5"/>
  <c r="J188" i="5"/>
  <c r="H192" i="1" s="1"/>
  <c r="H188" i="5"/>
  <c r="G188" i="5"/>
  <c r="E188" i="5"/>
  <c r="D188" i="5"/>
  <c r="R187" i="5"/>
  <c r="M187" i="5"/>
  <c r="D191" i="1" s="1"/>
  <c r="K187" i="5"/>
  <c r="J187" i="5"/>
  <c r="H191" i="1" s="1"/>
  <c r="H187" i="5"/>
  <c r="G187" i="5"/>
  <c r="F191" i="1" s="1"/>
  <c r="E187" i="5"/>
  <c r="D187" i="5"/>
  <c r="R186" i="5"/>
  <c r="M186" i="5"/>
  <c r="D190" i="1" s="1"/>
  <c r="K186" i="5"/>
  <c r="J186" i="5"/>
  <c r="H190" i="1" s="1"/>
  <c r="H186" i="5"/>
  <c r="G186" i="5"/>
  <c r="F190" i="1" s="1"/>
  <c r="E186" i="5"/>
  <c r="D186" i="5"/>
  <c r="R185" i="5"/>
  <c r="M185" i="5"/>
  <c r="D189" i="1" s="1"/>
  <c r="K185" i="5"/>
  <c r="J185" i="5"/>
  <c r="H185" i="5"/>
  <c r="G185" i="5"/>
  <c r="E185" i="5"/>
  <c r="D185" i="5"/>
  <c r="R184" i="5"/>
  <c r="M184" i="5"/>
  <c r="D188" i="1" s="1"/>
  <c r="K184" i="5"/>
  <c r="J184" i="5"/>
  <c r="H188" i="1" s="1"/>
  <c r="H184" i="5"/>
  <c r="G184" i="5"/>
  <c r="F188" i="1" s="1"/>
  <c r="E184" i="5"/>
  <c r="D184" i="5"/>
  <c r="L184" i="5" s="1"/>
  <c r="C188" i="1" s="1"/>
  <c r="R183" i="5"/>
  <c r="M183" i="5"/>
  <c r="D187" i="1" s="1"/>
  <c r="K183" i="5"/>
  <c r="J183" i="5"/>
  <c r="H187" i="1" s="1"/>
  <c r="H183" i="5"/>
  <c r="G183" i="5"/>
  <c r="E183" i="5"/>
  <c r="D183" i="5"/>
  <c r="R182" i="5"/>
  <c r="M182" i="5"/>
  <c r="D186" i="1" s="1"/>
  <c r="K182" i="5"/>
  <c r="J182" i="5"/>
  <c r="H186" i="1" s="1"/>
  <c r="H182" i="5"/>
  <c r="G182" i="5"/>
  <c r="F186" i="1" s="1"/>
  <c r="E182" i="5"/>
  <c r="D182" i="5"/>
  <c r="R181" i="5"/>
  <c r="M181" i="5"/>
  <c r="D185" i="1" s="1"/>
  <c r="K181" i="5"/>
  <c r="J181" i="5"/>
  <c r="H185" i="1" s="1"/>
  <c r="H181" i="5"/>
  <c r="G181" i="5"/>
  <c r="E181" i="5"/>
  <c r="D181" i="5"/>
  <c r="R180" i="5"/>
  <c r="M180" i="5"/>
  <c r="D184" i="1" s="1"/>
  <c r="K180" i="5"/>
  <c r="L180" i="5" s="1"/>
  <c r="C184" i="1" s="1"/>
  <c r="J180" i="5"/>
  <c r="H184" i="1" s="1"/>
  <c r="H180" i="5"/>
  <c r="G180" i="5"/>
  <c r="E180" i="5"/>
  <c r="D180" i="5"/>
  <c r="R179" i="5"/>
  <c r="M179" i="5"/>
  <c r="D183" i="1" s="1"/>
  <c r="K179" i="5"/>
  <c r="J179" i="5"/>
  <c r="H183" i="1" s="1"/>
  <c r="H179" i="5"/>
  <c r="G179" i="5"/>
  <c r="E179" i="5"/>
  <c r="D179" i="5"/>
  <c r="R178" i="5"/>
  <c r="Q178" i="5"/>
  <c r="J182" i="1" s="1"/>
  <c r="M178" i="5"/>
  <c r="D182" i="1" s="1"/>
  <c r="K178" i="5"/>
  <c r="J178" i="5"/>
  <c r="H178" i="5"/>
  <c r="G178" i="5"/>
  <c r="E178" i="5"/>
  <c r="D178" i="5"/>
  <c r="R177" i="5"/>
  <c r="M177" i="5"/>
  <c r="K177" i="5"/>
  <c r="J177" i="5"/>
  <c r="H181" i="1" s="1"/>
  <c r="H177" i="5"/>
  <c r="G177" i="5"/>
  <c r="E177" i="5"/>
  <c r="D177" i="5"/>
  <c r="R176" i="5"/>
  <c r="M176" i="5"/>
  <c r="K176" i="5"/>
  <c r="J176" i="5"/>
  <c r="H180" i="1" s="1"/>
  <c r="H176" i="5"/>
  <c r="G176" i="5"/>
  <c r="E176" i="5"/>
  <c r="D176" i="5"/>
  <c r="R175" i="5"/>
  <c r="M175" i="5"/>
  <c r="K175" i="5"/>
  <c r="J175" i="5"/>
  <c r="H179" i="1" s="1"/>
  <c r="H175" i="5"/>
  <c r="G175" i="5"/>
  <c r="F179" i="1" s="1"/>
  <c r="E175" i="5"/>
  <c r="D175" i="5"/>
  <c r="R174" i="5"/>
  <c r="M174" i="5"/>
  <c r="K174" i="5"/>
  <c r="J174" i="5"/>
  <c r="H174" i="5"/>
  <c r="G174" i="5"/>
  <c r="F178" i="1" s="1"/>
  <c r="E174" i="5"/>
  <c r="D174" i="5"/>
  <c r="R173" i="5"/>
  <c r="M173" i="5"/>
  <c r="D177" i="1" s="1"/>
  <c r="K173" i="5"/>
  <c r="J173" i="5"/>
  <c r="H173" i="5"/>
  <c r="G173" i="5"/>
  <c r="F177" i="1" s="1"/>
  <c r="E173" i="5"/>
  <c r="D173" i="5"/>
  <c r="R172" i="5"/>
  <c r="M172" i="5"/>
  <c r="D176" i="1" s="1"/>
  <c r="K172" i="5"/>
  <c r="J172" i="5"/>
  <c r="H176" i="1" s="1"/>
  <c r="H172" i="5"/>
  <c r="G172" i="5"/>
  <c r="E172" i="5"/>
  <c r="D172" i="5"/>
  <c r="I172" i="5" s="1"/>
  <c r="X179" i="7" s="1"/>
  <c r="R171" i="5"/>
  <c r="M171" i="5"/>
  <c r="D175" i="1" s="1"/>
  <c r="K171" i="5"/>
  <c r="J171" i="5"/>
  <c r="H175" i="1" s="1"/>
  <c r="H171" i="5"/>
  <c r="G171" i="5"/>
  <c r="E171" i="5"/>
  <c r="D171" i="5"/>
  <c r="R170" i="5"/>
  <c r="M170" i="5"/>
  <c r="D174" i="1" s="1"/>
  <c r="K170" i="5"/>
  <c r="L170" i="5" s="1"/>
  <c r="C174" i="1" s="1"/>
  <c r="J170" i="5"/>
  <c r="H174" i="1" s="1"/>
  <c r="H170" i="5"/>
  <c r="G170" i="5"/>
  <c r="F174" i="1" s="1"/>
  <c r="E170" i="5"/>
  <c r="D170" i="5"/>
  <c r="R169" i="5"/>
  <c r="M169" i="5"/>
  <c r="D173" i="1" s="1"/>
  <c r="K169" i="5"/>
  <c r="J169" i="5"/>
  <c r="H169" i="5"/>
  <c r="G169" i="5"/>
  <c r="F173" i="1" s="1"/>
  <c r="E169" i="5"/>
  <c r="D169" i="5"/>
  <c r="R168" i="5"/>
  <c r="M168" i="5"/>
  <c r="D172" i="1" s="1"/>
  <c r="K168" i="5"/>
  <c r="J168" i="5"/>
  <c r="H172" i="1" s="1"/>
  <c r="H168" i="5"/>
  <c r="G168" i="5"/>
  <c r="F172" i="1" s="1"/>
  <c r="E168" i="5"/>
  <c r="D168" i="5"/>
  <c r="R167" i="5"/>
  <c r="M167" i="5"/>
  <c r="D171" i="1" s="1"/>
  <c r="K167" i="5"/>
  <c r="J167" i="5"/>
  <c r="H171" i="1" s="1"/>
  <c r="H167" i="5"/>
  <c r="G167" i="5"/>
  <c r="F171" i="1" s="1"/>
  <c r="E167" i="5"/>
  <c r="D167" i="5"/>
  <c r="R166" i="5"/>
  <c r="M166" i="5"/>
  <c r="D170" i="1" s="1"/>
  <c r="K166" i="5"/>
  <c r="J166" i="5"/>
  <c r="H170" i="1" s="1"/>
  <c r="H166" i="5"/>
  <c r="G166" i="5"/>
  <c r="E166" i="5"/>
  <c r="D166" i="5"/>
  <c r="R165" i="5"/>
  <c r="M165" i="5"/>
  <c r="D169" i="1" s="1"/>
  <c r="K165" i="5"/>
  <c r="J165" i="5"/>
  <c r="H169" i="1" s="1"/>
  <c r="H165" i="5"/>
  <c r="G165" i="5"/>
  <c r="F169" i="1" s="1"/>
  <c r="E165" i="5"/>
  <c r="D165" i="5"/>
  <c r="R164" i="5"/>
  <c r="M164" i="5"/>
  <c r="K164" i="5"/>
  <c r="J164" i="5"/>
  <c r="H168" i="1" s="1"/>
  <c r="H164" i="5"/>
  <c r="G164" i="5"/>
  <c r="F168" i="1" s="1"/>
  <c r="E164" i="5"/>
  <c r="D164" i="5"/>
  <c r="R163" i="5"/>
  <c r="M163" i="5"/>
  <c r="D167" i="1" s="1"/>
  <c r="K163" i="5"/>
  <c r="J163" i="5"/>
  <c r="H163" i="5"/>
  <c r="G163" i="5"/>
  <c r="F167" i="1" s="1"/>
  <c r="E163" i="5"/>
  <c r="D163" i="5"/>
  <c r="R162" i="5"/>
  <c r="M162" i="5"/>
  <c r="D166" i="1" s="1"/>
  <c r="K162" i="5"/>
  <c r="J162" i="5"/>
  <c r="H166" i="1" s="1"/>
  <c r="H162" i="5"/>
  <c r="G162" i="5"/>
  <c r="E162" i="5"/>
  <c r="D162" i="5"/>
  <c r="R161" i="5"/>
  <c r="M161" i="5"/>
  <c r="K161" i="5"/>
  <c r="J161" i="5"/>
  <c r="H165" i="1" s="1"/>
  <c r="H161" i="5"/>
  <c r="G161" i="5"/>
  <c r="F165" i="1" s="1"/>
  <c r="E161" i="5"/>
  <c r="D161" i="5"/>
  <c r="R160" i="5"/>
  <c r="M160" i="5"/>
  <c r="D164" i="1" s="1"/>
  <c r="K160" i="5"/>
  <c r="J160" i="5"/>
  <c r="H164" i="1" s="1"/>
  <c r="H160" i="5"/>
  <c r="G160" i="5"/>
  <c r="E160" i="5"/>
  <c r="D160" i="5"/>
  <c r="R159" i="5"/>
  <c r="M159" i="5"/>
  <c r="D163" i="1" s="1"/>
  <c r="K159" i="5"/>
  <c r="J159" i="5"/>
  <c r="H163" i="1" s="1"/>
  <c r="H159" i="5"/>
  <c r="G159" i="5"/>
  <c r="F163" i="1" s="1"/>
  <c r="E159" i="5"/>
  <c r="D159" i="5"/>
  <c r="R158" i="5"/>
  <c r="M158" i="5"/>
  <c r="D162" i="1" s="1"/>
  <c r="K158" i="5"/>
  <c r="J158" i="5"/>
  <c r="H162" i="1" s="1"/>
  <c r="H158" i="5"/>
  <c r="G158" i="5"/>
  <c r="F162" i="1" s="1"/>
  <c r="E158" i="5"/>
  <c r="D158" i="5"/>
  <c r="R157" i="5"/>
  <c r="M157" i="5"/>
  <c r="D161" i="1" s="1"/>
  <c r="K157" i="5"/>
  <c r="J157" i="5"/>
  <c r="H157" i="5"/>
  <c r="G157" i="5"/>
  <c r="F161" i="1" s="1"/>
  <c r="E157" i="5"/>
  <c r="D157" i="5"/>
  <c r="R156" i="5"/>
  <c r="M156" i="5"/>
  <c r="D160" i="1" s="1"/>
  <c r="K156" i="5"/>
  <c r="J156" i="5"/>
  <c r="H160" i="1" s="1"/>
  <c r="H156" i="5"/>
  <c r="G156" i="5"/>
  <c r="F160" i="1" s="1"/>
  <c r="E156" i="5"/>
  <c r="D156" i="5"/>
  <c r="R155" i="5"/>
  <c r="M155" i="5"/>
  <c r="D159" i="1" s="1"/>
  <c r="K155" i="5"/>
  <c r="J155" i="5"/>
  <c r="H159" i="1" s="1"/>
  <c r="H155" i="5"/>
  <c r="G155" i="5"/>
  <c r="F159" i="1" s="1"/>
  <c r="E155" i="5"/>
  <c r="D155" i="5"/>
  <c r="R154" i="5"/>
  <c r="M154" i="5"/>
  <c r="K154" i="5"/>
  <c r="J154" i="5"/>
  <c r="H158" i="1" s="1"/>
  <c r="H154" i="5"/>
  <c r="G154" i="5"/>
  <c r="F158" i="1" s="1"/>
  <c r="E154" i="5"/>
  <c r="D154" i="5"/>
  <c r="R153" i="5"/>
  <c r="M153" i="5"/>
  <c r="D157" i="1" s="1"/>
  <c r="K153" i="5"/>
  <c r="J153" i="5"/>
  <c r="H157" i="1" s="1"/>
  <c r="H153" i="5"/>
  <c r="G153" i="5"/>
  <c r="F157" i="1" s="1"/>
  <c r="E153" i="5"/>
  <c r="D153" i="5"/>
  <c r="R152" i="5"/>
  <c r="M152" i="5"/>
  <c r="D156" i="1" s="1"/>
  <c r="K152" i="5"/>
  <c r="J152" i="5"/>
  <c r="H156" i="1" s="1"/>
  <c r="H152" i="5"/>
  <c r="G152" i="5"/>
  <c r="E152" i="5"/>
  <c r="D152" i="5"/>
  <c r="R151" i="5"/>
  <c r="M151" i="5"/>
  <c r="D155" i="1" s="1"/>
  <c r="K151" i="5"/>
  <c r="J151" i="5"/>
  <c r="H155" i="1" s="1"/>
  <c r="H151" i="5"/>
  <c r="G151" i="5"/>
  <c r="F155" i="1" s="1"/>
  <c r="E151" i="5"/>
  <c r="D151" i="5"/>
  <c r="R150" i="5"/>
  <c r="M150" i="5"/>
  <c r="D154" i="1" s="1"/>
  <c r="K150" i="5"/>
  <c r="J150" i="5"/>
  <c r="H150" i="5"/>
  <c r="G150" i="5"/>
  <c r="E150" i="5"/>
  <c r="D150" i="5"/>
  <c r="R149" i="5"/>
  <c r="M149" i="5"/>
  <c r="K149" i="5"/>
  <c r="J149" i="5"/>
  <c r="H153" i="1" s="1"/>
  <c r="H149" i="5"/>
  <c r="G149" i="5"/>
  <c r="F153" i="1" s="1"/>
  <c r="E149" i="5"/>
  <c r="D149" i="5"/>
  <c r="R148" i="5"/>
  <c r="M148" i="5"/>
  <c r="D152" i="1" s="1"/>
  <c r="K148" i="5"/>
  <c r="J148" i="5"/>
  <c r="H152" i="1" s="1"/>
  <c r="H148" i="5"/>
  <c r="G148" i="5"/>
  <c r="F152" i="1" s="1"/>
  <c r="E148" i="5"/>
  <c r="D148" i="5"/>
  <c r="R147" i="5"/>
  <c r="M147" i="5"/>
  <c r="K147" i="5"/>
  <c r="J147" i="5"/>
  <c r="H151" i="1" s="1"/>
  <c r="H147" i="5"/>
  <c r="G147" i="5"/>
  <c r="E147" i="5"/>
  <c r="D147" i="5"/>
  <c r="R146" i="5"/>
  <c r="M146" i="5"/>
  <c r="D150" i="1" s="1"/>
  <c r="K146" i="5"/>
  <c r="J146" i="5"/>
  <c r="H146" i="5"/>
  <c r="G146" i="5"/>
  <c r="F150" i="1" s="1"/>
  <c r="E146" i="5"/>
  <c r="D146" i="5"/>
  <c r="R145" i="5"/>
  <c r="M145" i="5"/>
  <c r="K145" i="5"/>
  <c r="J145" i="5"/>
  <c r="H149" i="1" s="1"/>
  <c r="H145" i="5"/>
  <c r="G145" i="5"/>
  <c r="E145" i="5"/>
  <c r="D145" i="5"/>
  <c r="R144" i="5"/>
  <c r="M144" i="5"/>
  <c r="K144" i="5"/>
  <c r="J144" i="5"/>
  <c r="H144" i="5"/>
  <c r="G144" i="5"/>
  <c r="F148" i="1" s="1"/>
  <c r="E144" i="5"/>
  <c r="D144" i="5"/>
  <c r="R143" i="5"/>
  <c r="M143" i="5"/>
  <c r="K143" i="5"/>
  <c r="J143" i="5"/>
  <c r="H147" i="1" s="1"/>
  <c r="H143" i="5"/>
  <c r="G143" i="5"/>
  <c r="E143" i="5"/>
  <c r="D143" i="5"/>
  <c r="R142" i="5"/>
  <c r="M142" i="5"/>
  <c r="D146" i="1" s="1"/>
  <c r="K142" i="5"/>
  <c r="J142" i="5"/>
  <c r="H146" i="1" s="1"/>
  <c r="H142" i="5"/>
  <c r="I142" i="5" s="1"/>
  <c r="X148" i="7" s="1"/>
  <c r="G142" i="5"/>
  <c r="F146" i="1" s="1"/>
  <c r="E142" i="5"/>
  <c r="D142" i="5"/>
  <c r="R141" i="5"/>
  <c r="M141" i="5"/>
  <c r="D145" i="1" s="1"/>
  <c r="K141" i="5"/>
  <c r="J141" i="5"/>
  <c r="H145" i="1" s="1"/>
  <c r="H141" i="5"/>
  <c r="G141" i="5"/>
  <c r="E141" i="5"/>
  <c r="D141" i="5"/>
  <c r="R140" i="5"/>
  <c r="M140" i="5"/>
  <c r="D144" i="1" s="1"/>
  <c r="K140" i="5"/>
  <c r="J140" i="5"/>
  <c r="H144" i="1" s="1"/>
  <c r="H140" i="5"/>
  <c r="G140" i="5"/>
  <c r="F144" i="1" s="1"/>
  <c r="E140" i="5"/>
  <c r="D140" i="5"/>
  <c r="R139" i="5"/>
  <c r="M139" i="5"/>
  <c r="D143" i="1" s="1"/>
  <c r="K139" i="5"/>
  <c r="J139" i="5"/>
  <c r="H143" i="1" s="1"/>
  <c r="H139" i="5"/>
  <c r="G139" i="5"/>
  <c r="E139" i="5"/>
  <c r="D139" i="5"/>
  <c r="R138" i="5"/>
  <c r="M138" i="5"/>
  <c r="D142" i="1" s="1"/>
  <c r="K138" i="5"/>
  <c r="J138" i="5"/>
  <c r="H142" i="1" s="1"/>
  <c r="H138" i="5"/>
  <c r="G138" i="5"/>
  <c r="F142" i="1" s="1"/>
  <c r="E138" i="5"/>
  <c r="D138" i="5"/>
  <c r="R137" i="5"/>
  <c r="M137" i="5"/>
  <c r="D141" i="1" s="1"/>
  <c r="K137" i="5"/>
  <c r="J137" i="5"/>
  <c r="H141" i="1" s="1"/>
  <c r="H137" i="5"/>
  <c r="G137" i="5"/>
  <c r="F141" i="1" s="1"/>
  <c r="E137" i="5"/>
  <c r="D137" i="5"/>
  <c r="R136" i="5"/>
  <c r="M136" i="5"/>
  <c r="D140" i="1" s="1"/>
  <c r="K136" i="5"/>
  <c r="J136" i="5"/>
  <c r="H140" i="1" s="1"/>
  <c r="H136" i="5"/>
  <c r="G136" i="5"/>
  <c r="E136" i="5"/>
  <c r="D136" i="5"/>
  <c r="R135" i="5"/>
  <c r="M135" i="5"/>
  <c r="K135" i="5"/>
  <c r="J135" i="5"/>
  <c r="H139" i="1" s="1"/>
  <c r="H135" i="5"/>
  <c r="G135" i="5"/>
  <c r="F139" i="1" s="1"/>
  <c r="E135" i="5"/>
  <c r="D135" i="5"/>
  <c r="R134" i="5"/>
  <c r="M134" i="5"/>
  <c r="D138" i="1" s="1"/>
  <c r="K134" i="5"/>
  <c r="J134" i="5"/>
  <c r="H138" i="1" s="1"/>
  <c r="H134" i="5"/>
  <c r="G134" i="5"/>
  <c r="E134" i="5"/>
  <c r="D134" i="5"/>
  <c r="R133" i="5"/>
  <c r="M133" i="5"/>
  <c r="D137" i="1" s="1"/>
  <c r="K133" i="5"/>
  <c r="J133" i="5"/>
  <c r="H137" i="1" s="1"/>
  <c r="H133" i="5"/>
  <c r="G133" i="5"/>
  <c r="E133" i="5"/>
  <c r="D133" i="5"/>
  <c r="R132" i="5"/>
  <c r="M132" i="5"/>
  <c r="K132" i="5"/>
  <c r="J132" i="5"/>
  <c r="H136" i="1" s="1"/>
  <c r="H132" i="5"/>
  <c r="G132" i="5"/>
  <c r="F136" i="1" s="1"/>
  <c r="E132" i="5"/>
  <c r="D132" i="5"/>
  <c r="R131" i="5"/>
  <c r="M131" i="5"/>
  <c r="D135" i="1" s="1"/>
  <c r="K131" i="5"/>
  <c r="J131" i="5"/>
  <c r="H135" i="1" s="1"/>
  <c r="H131" i="5"/>
  <c r="G131" i="5"/>
  <c r="F135" i="1" s="1"/>
  <c r="E131" i="5"/>
  <c r="D131" i="5"/>
  <c r="R130" i="5"/>
  <c r="M130" i="5"/>
  <c r="D134" i="1" s="1"/>
  <c r="K130" i="5"/>
  <c r="J130" i="5"/>
  <c r="H134" i="1" s="1"/>
  <c r="H130" i="5"/>
  <c r="G130" i="5"/>
  <c r="F134" i="1" s="1"/>
  <c r="E130" i="5"/>
  <c r="D130" i="5"/>
  <c r="R129" i="5"/>
  <c r="M129" i="5"/>
  <c r="D133" i="1" s="1"/>
  <c r="K129" i="5"/>
  <c r="J129" i="5"/>
  <c r="H133" i="1" s="1"/>
  <c r="H129" i="5"/>
  <c r="G129" i="5"/>
  <c r="E129" i="5"/>
  <c r="D129" i="5"/>
  <c r="R128" i="5"/>
  <c r="M128" i="5"/>
  <c r="D132" i="1" s="1"/>
  <c r="K128" i="5"/>
  <c r="J128" i="5"/>
  <c r="H132" i="1" s="1"/>
  <c r="H128" i="5"/>
  <c r="G128" i="5"/>
  <c r="F132" i="1" s="1"/>
  <c r="E128" i="5"/>
  <c r="D128" i="5"/>
  <c r="R127" i="5"/>
  <c r="M127" i="5"/>
  <c r="K127" i="5"/>
  <c r="J127" i="5"/>
  <c r="H131" i="1" s="1"/>
  <c r="H127" i="5"/>
  <c r="G127" i="5"/>
  <c r="F131" i="1" s="1"/>
  <c r="E127" i="5"/>
  <c r="D127" i="5"/>
  <c r="R126" i="5"/>
  <c r="M126" i="5"/>
  <c r="D130" i="1" s="1"/>
  <c r="K126" i="5"/>
  <c r="J126" i="5"/>
  <c r="H130" i="1" s="1"/>
  <c r="H126" i="5"/>
  <c r="G126" i="5"/>
  <c r="F130" i="1" s="1"/>
  <c r="E126" i="5"/>
  <c r="D126" i="5"/>
  <c r="R125" i="5"/>
  <c r="M125" i="5"/>
  <c r="D129" i="1" s="1"/>
  <c r="K125" i="5"/>
  <c r="J125" i="5"/>
  <c r="H129" i="1" s="1"/>
  <c r="H125" i="5"/>
  <c r="G125" i="5"/>
  <c r="E125" i="5"/>
  <c r="D125" i="5"/>
  <c r="R124" i="5"/>
  <c r="M124" i="5"/>
  <c r="D128" i="1" s="1"/>
  <c r="K124" i="5"/>
  <c r="J124" i="5"/>
  <c r="H128" i="1" s="1"/>
  <c r="H124" i="5"/>
  <c r="G124" i="5"/>
  <c r="F128" i="1" s="1"/>
  <c r="E124" i="5"/>
  <c r="D124" i="5"/>
  <c r="R123" i="5"/>
  <c r="M123" i="5"/>
  <c r="D127" i="1" s="1"/>
  <c r="K123" i="5"/>
  <c r="J123" i="5"/>
  <c r="H127" i="1" s="1"/>
  <c r="H123" i="5"/>
  <c r="G123" i="5"/>
  <c r="F127" i="1" s="1"/>
  <c r="E123" i="5"/>
  <c r="D123" i="5"/>
  <c r="R122" i="5"/>
  <c r="M122" i="5"/>
  <c r="D126" i="1" s="1"/>
  <c r="K122" i="5"/>
  <c r="J122" i="5"/>
  <c r="H126" i="1" s="1"/>
  <c r="H122" i="5"/>
  <c r="G122" i="5"/>
  <c r="F126" i="1" s="1"/>
  <c r="E122" i="5"/>
  <c r="D122" i="5"/>
  <c r="R121" i="5"/>
  <c r="M121" i="5"/>
  <c r="D125" i="1" s="1"/>
  <c r="K121" i="5"/>
  <c r="J121" i="5"/>
  <c r="H125" i="1" s="1"/>
  <c r="H121" i="5"/>
  <c r="G121" i="5"/>
  <c r="F125" i="1" s="1"/>
  <c r="E121" i="5"/>
  <c r="D121" i="5"/>
  <c r="R120" i="5"/>
  <c r="M120" i="5"/>
  <c r="D124" i="1" s="1"/>
  <c r="K120" i="5"/>
  <c r="J120" i="5"/>
  <c r="H124" i="1" s="1"/>
  <c r="H120" i="5"/>
  <c r="G120" i="5"/>
  <c r="F124" i="1" s="1"/>
  <c r="E120" i="5"/>
  <c r="D120" i="5"/>
  <c r="R119" i="5"/>
  <c r="M119" i="5"/>
  <c r="D123" i="1" s="1"/>
  <c r="K119" i="5"/>
  <c r="J119" i="5"/>
  <c r="H123" i="1" s="1"/>
  <c r="H119" i="5"/>
  <c r="G119" i="5"/>
  <c r="E119" i="5"/>
  <c r="D119" i="5"/>
  <c r="R118" i="5"/>
  <c r="M118" i="5"/>
  <c r="K118" i="5"/>
  <c r="J118" i="5"/>
  <c r="H122" i="1" s="1"/>
  <c r="H118" i="5"/>
  <c r="G118" i="5"/>
  <c r="F122" i="1" s="1"/>
  <c r="E118" i="5"/>
  <c r="D118" i="5"/>
  <c r="R117" i="5"/>
  <c r="M117" i="5"/>
  <c r="D121" i="1" s="1"/>
  <c r="K117" i="5"/>
  <c r="J117" i="5"/>
  <c r="H121" i="1" s="1"/>
  <c r="H117" i="5"/>
  <c r="G117" i="5"/>
  <c r="F121" i="1" s="1"/>
  <c r="E117" i="5"/>
  <c r="D117" i="5"/>
  <c r="R116" i="5"/>
  <c r="M116" i="5"/>
  <c r="K116" i="5"/>
  <c r="J116" i="5"/>
  <c r="H116" i="5"/>
  <c r="G116" i="5"/>
  <c r="F120" i="1" s="1"/>
  <c r="E116" i="5"/>
  <c r="D116" i="5"/>
  <c r="R115" i="5"/>
  <c r="M115" i="5"/>
  <c r="D119" i="1" s="1"/>
  <c r="K115" i="5"/>
  <c r="J115" i="5"/>
  <c r="H119" i="1" s="1"/>
  <c r="H115" i="5"/>
  <c r="G115" i="5"/>
  <c r="F119" i="1" s="1"/>
  <c r="E115" i="5"/>
  <c r="D115" i="5"/>
  <c r="R114" i="5"/>
  <c r="M114" i="5"/>
  <c r="D118" i="1" s="1"/>
  <c r="K114" i="5"/>
  <c r="J114" i="5"/>
  <c r="H114" i="5"/>
  <c r="G114" i="5"/>
  <c r="E114" i="5"/>
  <c r="D114" i="5"/>
  <c r="R113" i="5"/>
  <c r="M113" i="5"/>
  <c r="D117" i="1" s="1"/>
  <c r="K113" i="5"/>
  <c r="J113" i="5"/>
  <c r="H117" i="1" s="1"/>
  <c r="H113" i="5"/>
  <c r="G113" i="5"/>
  <c r="E113" i="5"/>
  <c r="D113" i="5"/>
  <c r="L113" i="5" s="1"/>
  <c r="Y110" i="7" s="1"/>
  <c r="R112" i="5"/>
  <c r="M112" i="5"/>
  <c r="K112" i="5"/>
  <c r="J112" i="5"/>
  <c r="H116" i="1" s="1"/>
  <c r="H112" i="5"/>
  <c r="G112" i="5"/>
  <c r="F116" i="1" s="1"/>
  <c r="E112" i="5"/>
  <c r="D112" i="5"/>
  <c r="R111" i="5"/>
  <c r="M111" i="5"/>
  <c r="K111" i="5"/>
  <c r="J111" i="5"/>
  <c r="H115" i="1" s="1"/>
  <c r="H111" i="5"/>
  <c r="G111" i="5"/>
  <c r="E111" i="5"/>
  <c r="D111" i="5"/>
  <c r="R110" i="5"/>
  <c r="M110" i="5"/>
  <c r="D114" i="1" s="1"/>
  <c r="K110" i="5"/>
  <c r="J110" i="5"/>
  <c r="H114" i="1" s="1"/>
  <c r="H110" i="5"/>
  <c r="G110" i="5"/>
  <c r="F114" i="1" s="1"/>
  <c r="E110" i="5"/>
  <c r="D110" i="5"/>
  <c r="R109" i="5"/>
  <c r="M109" i="5"/>
  <c r="D113" i="1" s="1"/>
  <c r="K109" i="5"/>
  <c r="J109" i="5"/>
  <c r="H113" i="1" s="1"/>
  <c r="H109" i="5"/>
  <c r="G109" i="5"/>
  <c r="E109" i="5"/>
  <c r="D109" i="5"/>
  <c r="R108" i="5"/>
  <c r="M108" i="5"/>
  <c r="D112" i="1" s="1"/>
  <c r="K108" i="5"/>
  <c r="J108" i="5"/>
  <c r="H112" i="1" s="1"/>
  <c r="H108" i="5"/>
  <c r="G108" i="5"/>
  <c r="F112" i="1" s="1"/>
  <c r="E108" i="5"/>
  <c r="D108" i="5"/>
  <c r="L108" i="5" s="1"/>
  <c r="C112" i="1" s="1"/>
  <c r="R107" i="5"/>
  <c r="M107" i="5"/>
  <c r="D111" i="1" s="1"/>
  <c r="K107" i="5"/>
  <c r="J107" i="5"/>
  <c r="H111" i="1" s="1"/>
  <c r="H107" i="5"/>
  <c r="G107" i="5"/>
  <c r="E107" i="5"/>
  <c r="D107" i="5"/>
  <c r="R106" i="5"/>
  <c r="M106" i="5"/>
  <c r="K106" i="5"/>
  <c r="J106" i="5"/>
  <c r="H110" i="1" s="1"/>
  <c r="H106" i="5"/>
  <c r="G106" i="5"/>
  <c r="F110" i="1" s="1"/>
  <c r="E106" i="5"/>
  <c r="D106" i="5"/>
  <c r="R105" i="5"/>
  <c r="M105" i="5"/>
  <c r="K105" i="5"/>
  <c r="J105" i="5"/>
  <c r="H109" i="1" s="1"/>
  <c r="H105" i="5"/>
  <c r="G105" i="5"/>
  <c r="F109" i="1" s="1"/>
  <c r="E105" i="5"/>
  <c r="N105" i="5" s="1"/>
  <c r="P105" i="5" s="1"/>
  <c r="D105" i="5"/>
  <c r="I105" i="5" s="1"/>
  <c r="X93" i="7" s="1"/>
  <c r="R104" i="5"/>
  <c r="M104" i="5"/>
  <c r="D108" i="1" s="1"/>
  <c r="K104" i="5"/>
  <c r="J104" i="5"/>
  <c r="H108" i="1" s="1"/>
  <c r="H104" i="5"/>
  <c r="G104" i="5"/>
  <c r="F108" i="1" s="1"/>
  <c r="E104" i="5"/>
  <c r="D104" i="5"/>
  <c r="R103" i="5"/>
  <c r="M103" i="5"/>
  <c r="D107" i="1" s="1"/>
  <c r="K103" i="5"/>
  <c r="J103" i="5"/>
  <c r="H103" i="5"/>
  <c r="G103" i="5"/>
  <c r="E103" i="5"/>
  <c r="D103" i="5"/>
  <c r="R102" i="5"/>
  <c r="M102" i="5"/>
  <c r="D106" i="1" s="1"/>
  <c r="K102" i="5"/>
  <c r="J102" i="5"/>
  <c r="H106" i="1" s="1"/>
  <c r="H102" i="5"/>
  <c r="G102" i="5"/>
  <c r="F106" i="1" s="1"/>
  <c r="E102" i="5"/>
  <c r="D102" i="5"/>
  <c r="R101" i="5"/>
  <c r="M101" i="5"/>
  <c r="D105" i="1" s="1"/>
  <c r="K101" i="5"/>
  <c r="J101" i="5"/>
  <c r="H105" i="1" s="1"/>
  <c r="H101" i="5"/>
  <c r="G101" i="5"/>
  <c r="E101" i="5"/>
  <c r="D101" i="5"/>
  <c r="R100" i="5"/>
  <c r="M100" i="5"/>
  <c r="D104" i="1" s="1"/>
  <c r="K100" i="5"/>
  <c r="J100" i="5"/>
  <c r="H104" i="1" s="1"/>
  <c r="H100" i="5"/>
  <c r="G100" i="5"/>
  <c r="E100" i="5"/>
  <c r="D100" i="5"/>
  <c r="R99" i="5"/>
  <c r="M99" i="5"/>
  <c r="D103" i="1" s="1"/>
  <c r="K99" i="5"/>
  <c r="J99" i="5"/>
  <c r="H103" i="1" s="1"/>
  <c r="H99" i="5"/>
  <c r="G99" i="5"/>
  <c r="E99" i="5"/>
  <c r="D99" i="5"/>
  <c r="R98" i="5"/>
  <c r="M98" i="5"/>
  <c r="D102" i="1" s="1"/>
  <c r="K98" i="5"/>
  <c r="J98" i="5"/>
  <c r="H98" i="5"/>
  <c r="G98" i="5"/>
  <c r="F102" i="1" s="1"/>
  <c r="E98" i="5"/>
  <c r="D98" i="5"/>
  <c r="R97" i="5"/>
  <c r="M97" i="5"/>
  <c r="D101" i="1" s="1"/>
  <c r="K97" i="5"/>
  <c r="J97" i="5"/>
  <c r="H97" i="5"/>
  <c r="G97" i="5"/>
  <c r="E97" i="5"/>
  <c r="D97" i="5"/>
  <c r="R96" i="5"/>
  <c r="M96" i="5"/>
  <c r="D100" i="1" s="1"/>
  <c r="K96" i="5"/>
  <c r="J96" i="5"/>
  <c r="H100" i="1" s="1"/>
  <c r="H96" i="5"/>
  <c r="G96" i="5"/>
  <c r="F100" i="1" s="1"/>
  <c r="E96" i="5"/>
  <c r="D96" i="5"/>
  <c r="R95" i="5"/>
  <c r="M95" i="5"/>
  <c r="D99" i="1" s="1"/>
  <c r="K95" i="5"/>
  <c r="J95" i="5"/>
  <c r="H99" i="1" s="1"/>
  <c r="H95" i="5"/>
  <c r="G95" i="5"/>
  <c r="E95" i="5"/>
  <c r="D95" i="5"/>
  <c r="R94" i="5"/>
  <c r="M94" i="5"/>
  <c r="D98" i="1" s="1"/>
  <c r="K94" i="5"/>
  <c r="J94" i="5"/>
  <c r="H98" i="1" s="1"/>
  <c r="H94" i="5"/>
  <c r="G94" i="5"/>
  <c r="F98" i="1" s="1"/>
  <c r="E94" i="5"/>
  <c r="D94" i="5"/>
  <c r="R93" i="5"/>
  <c r="M93" i="5"/>
  <c r="D97" i="1" s="1"/>
  <c r="K93" i="5"/>
  <c r="J93" i="5"/>
  <c r="H93" i="5"/>
  <c r="G93" i="5"/>
  <c r="F97" i="1" s="1"/>
  <c r="E93" i="5"/>
  <c r="D93" i="5"/>
  <c r="R92" i="5"/>
  <c r="M92" i="5"/>
  <c r="K92" i="5"/>
  <c r="J92" i="5"/>
  <c r="H96" i="1" s="1"/>
  <c r="H92" i="5"/>
  <c r="G92" i="5"/>
  <c r="E92" i="5"/>
  <c r="D92" i="5"/>
  <c r="F92" i="5" s="1"/>
  <c r="R91" i="5"/>
  <c r="M91" i="5"/>
  <c r="D95" i="1" s="1"/>
  <c r="K91" i="5"/>
  <c r="J91" i="5"/>
  <c r="H95" i="1" s="1"/>
  <c r="H91" i="5"/>
  <c r="G91" i="5"/>
  <c r="E91" i="5"/>
  <c r="D91" i="5"/>
  <c r="R90" i="5"/>
  <c r="M90" i="5"/>
  <c r="D94" i="1" s="1"/>
  <c r="K90" i="5"/>
  <c r="J90" i="5"/>
  <c r="H94" i="1" s="1"/>
  <c r="H90" i="5"/>
  <c r="G90" i="5"/>
  <c r="F94" i="1" s="1"/>
  <c r="E90" i="5"/>
  <c r="D90" i="5"/>
  <c r="I90" i="5" s="1"/>
  <c r="X70" i="7" s="1"/>
  <c r="R89" i="5"/>
  <c r="M89" i="5"/>
  <c r="D93" i="1" s="1"/>
  <c r="K89" i="5"/>
  <c r="J89" i="5"/>
  <c r="H93" i="1" s="1"/>
  <c r="H89" i="5"/>
  <c r="G89" i="5"/>
  <c r="F93" i="1" s="1"/>
  <c r="E89" i="5"/>
  <c r="D89" i="5"/>
  <c r="R88" i="5"/>
  <c r="M88" i="5"/>
  <c r="D92" i="1" s="1"/>
  <c r="K88" i="5"/>
  <c r="J88" i="5"/>
  <c r="H92" i="1" s="1"/>
  <c r="H88" i="5"/>
  <c r="G88" i="5"/>
  <c r="F92" i="1" s="1"/>
  <c r="E88" i="5"/>
  <c r="D88" i="5"/>
  <c r="R87" i="5"/>
  <c r="M87" i="5"/>
  <c r="K87" i="5"/>
  <c r="J87" i="5"/>
  <c r="H91" i="1" s="1"/>
  <c r="H87" i="5"/>
  <c r="G87" i="5"/>
  <c r="F91" i="1" s="1"/>
  <c r="E87" i="5"/>
  <c r="D87" i="5"/>
  <c r="R86" i="5"/>
  <c r="M86" i="5"/>
  <c r="D90" i="1" s="1"/>
  <c r="K86" i="5"/>
  <c r="J86" i="5"/>
  <c r="H90" i="1" s="1"/>
  <c r="H86" i="5"/>
  <c r="G86" i="5"/>
  <c r="F90" i="1" s="1"/>
  <c r="E86" i="5"/>
  <c r="D86" i="5"/>
  <c r="R85" i="5"/>
  <c r="M85" i="5"/>
  <c r="D89" i="1" s="1"/>
  <c r="K85" i="5"/>
  <c r="J85" i="5"/>
  <c r="H89" i="1" s="1"/>
  <c r="H85" i="5"/>
  <c r="G85" i="5"/>
  <c r="E85" i="5"/>
  <c r="D85" i="5"/>
  <c r="R84" i="5"/>
  <c r="M84" i="5"/>
  <c r="D88" i="1" s="1"/>
  <c r="K84" i="5"/>
  <c r="J84" i="5"/>
  <c r="H88" i="1" s="1"/>
  <c r="H84" i="5"/>
  <c r="G84" i="5"/>
  <c r="F88" i="1" s="1"/>
  <c r="E84" i="5"/>
  <c r="D84" i="5"/>
  <c r="R83" i="5"/>
  <c r="M83" i="5"/>
  <c r="D87" i="1" s="1"/>
  <c r="K83" i="5"/>
  <c r="J83" i="5"/>
  <c r="H87" i="1" s="1"/>
  <c r="H83" i="5"/>
  <c r="G83" i="5"/>
  <c r="F87" i="1" s="1"/>
  <c r="E83" i="5"/>
  <c r="D83" i="5"/>
  <c r="R82" i="5"/>
  <c r="M82" i="5"/>
  <c r="D86" i="1" s="1"/>
  <c r="K82" i="5"/>
  <c r="J82" i="5"/>
  <c r="H86" i="1" s="1"/>
  <c r="H82" i="5"/>
  <c r="G82" i="5"/>
  <c r="F86" i="1" s="1"/>
  <c r="E82" i="5"/>
  <c r="D82" i="5"/>
  <c r="F82" i="5" s="1"/>
  <c r="E86" i="1" s="1"/>
  <c r="R81" i="5"/>
  <c r="M81" i="5"/>
  <c r="D85" i="1" s="1"/>
  <c r="K81" i="5"/>
  <c r="J81" i="5"/>
  <c r="H81" i="5"/>
  <c r="G81" i="5"/>
  <c r="E81" i="5"/>
  <c r="D81" i="5"/>
  <c r="R80" i="5"/>
  <c r="M80" i="5"/>
  <c r="K80" i="5"/>
  <c r="J80" i="5"/>
  <c r="H84" i="1" s="1"/>
  <c r="H80" i="5"/>
  <c r="G80" i="5"/>
  <c r="F84" i="1" s="1"/>
  <c r="E80" i="5"/>
  <c r="D80" i="5"/>
  <c r="R79" i="5"/>
  <c r="M79" i="5"/>
  <c r="K79" i="5"/>
  <c r="J79" i="5"/>
  <c r="H83" i="1" s="1"/>
  <c r="H79" i="5"/>
  <c r="G79" i="5"/>
  <c r="F83" i="1" s="1"/>
  <c r="E79" i="5"/>
  <c r="D79" i="5"/>
  <c r="R78" i="5"/>
  <c r="M78" i="5"/>
  <c r="K78" i="5"/>
  <c r="J78" i="5"/>
  <c r="H82" i="1" s="1"/>
  <c r="H78" i="5"/>
  <c r="G78" i="5"/>
  <c r="F82" i="1" s="1"/>
  <c r="E78" i="5"/>
  <c r="D78" i="5"/>
  <c r="R77" i="5"/>
  <c r="M77" i="5"/>
  <c r="D81" i="1" s="1"/>
  <c r="K77" i="5"/>
  <c r="J77" i="5"/>
  <c r="H77" i="5"/>
  <c r="G77" i="5"/>
  <c r="F81" i="1" s="1"/>
  <c r="E77" i="5"/>
  <c r="D77" i="5"/>
  <c r="R76" i="5"/>
  <c r="M76" i="5"/>
  <c r="D80" i="1" s="1"/>
  <c r="K76" i="5"/>
  <c r="J76" i="5"/>
  <c r="H80" i="1" s="1"/>
  <c r="H76" i="5"/>
  <c r="G76" i="5"/>
  <c r="E76" i="5"/>
  <c r="D76" i="5"/>
  <c r="R75" i="5"/>
  <c r="M75" i="5"/>
  <c r="D79" i="1" s="1"/>
  <c r="K75" i="5"/>
  <c r="J75" i="5"/>
  <c r="H79" i="1" s="1"/>
  <c r="H75" i="5"/>
  <c r="G75" i="5"/>
  <c r="F79" i="1" s="1"/>
  <c r="E75" i="5"/>
  <c r="D75" i="5"/>
  <c r="R74" i="5"/>
  <c r="M74" i="5"/>
  <c r="D78" i="1" s="1"/>
  <c r="K74" i="5"/>
  <c r="J74" i="5"/>
  <c r="H78" i="1" s="1"/>
  <c r="H74" i="5"/>
  <c r="G74" i="5"/>
  <c r="F78" i="1" s="1"/>
  <c r="E74" i="5"/>
  <c r="D74" i="5"/>
  <c r="R73" i="5"/>
  <c r="M73" i="5"/>
  <c r="D77" i="1" s="1"/>
  <c r="K73" i="5"/>
  <c r="J73" i="5"/>
  <c r="H77" i="1" s="1"/>
  <c r="H73" i="5"/>
  <c r="G73" i="5"/>
  <c r="E73" i="5"/>
  <c r="D73" i="5"/>
  <c r="R72" i="5"/>
  <c r="M72" i="5"/>
  <c r="D76" i="1" s="1"/>
  <c r="K72" i="5"/>
  <c r="J72" i="5"/>
  <c r="H76" i="1" s="1"/>
  <c r="H72" i="5"/>
  <c r="G72" i="5"/>
  <c r="F76" i="1" s="1"/>
  <c r="E72" i="5"/>
  <c r="D72" i="5"/>
  <c r="R71" i="5"/>
  <c r="M71" i="5"/>
  <c r="D75" i="1" s="1"/>
  <c r="K71" i="5"/>
  <c r="J71" i="5"/>
  <c r="H75" i="1" s="1"/>
  <c r="H71" i="5"/>
  <c r="G71" i="5"/>
  <c r="E71" i="5"/>
  <c r="D71" i="5"/>
  <c r="R70" i="5"/>
  <c r="M70" i="5"/>
  <c r="D74" i="1" s="1"/>
  <c r="K70" i="5"/>
  <c r="J70" i="5"/>
  <c r="H70" i="5"/>
  <c r="G70" i="5"/>
  <c r="F74" i="1" s="1"/>
  <c r="E70" i="5"/>
  <c r="D70" i="5"/>
  <c r="R69" i="5"/>
  <c r="M69" i="5"/>
  <c r="D73" i="1" s="1"/>
  <c r="K69" i="5"/>
  <c r="J69" i="5"/>
  <c r="H69" i="5"/>
  <c r="G69" i="5"/>
  <c r="F73" i="1" s="1"/>
  <c r="E69" i="5"/>
  <c r="D69" i="5"/>
  <c r="R68" i="5"/>
  <c r="M68" i="5"/>
  <c r="D72" i="1" s="1"/>
  <c r="K68" i="5"/>
  <c r="J68" i="5"/>
  <c r="H72" i="1" s="1"/>
  <c r="H68" i="5"/>
  <c r="G68" i="5"/>
  <c r="F72" i="1" s="1"/>
  <c r="E68" i="5"/>
  <c r="D68" i="5"/>
  <c r="R67" i="5"/>
  <c r="M67" i="5"/>
  <c r="D71" i="1" s="1"/>
  <c r="K67" i="5"/>
  <c r="J67" i="5"/>
  <c r="H71" i="1" s="1"/>
  <c r="H67" i="5"/>
  <c r="G67" i="5"/>
  <c r="F71" i="1" s="1"/>
  <c r="E67" i="5"/>
  <c r="D67" i="5"/>
  <c r="R66" i="5"/>
  <c r="M66" i="5"/>
  <c r="D70" i="1" s="1"/>
  <c r="K66" i="5"/>
  <c r="J66" i="5"/>
  <c r="H70" i="1" s="1"/>
  <c r="H66" i="5"/>
  <c r="G66" i="5"/>
  <c r="E66" i="5"/>
  <c r="D66" i="5"/>
  <c r="L66" i="5" s="1"/>
  <c r="Y100" i="7" s="1"/>
  <c r="R65" i="5"/>
  <c r="M65" i="5"/>
  <c r="D69" i="1" s="1"/>
  <c r="K65" i="5"/>
  <c r="J65" i="5"/>
  <c r="H65" i="5"/>
  <c r="G65" i="5"/>
  <c r="F69" i="1" s="1"/>
  <c r="E65" i="5"/>
  <c r="D65" i="5"/>
  <c r="R64" i="5"/>
  <c r="M64" i="5"/>
  <c r="D68" i="1" s="1"/>
  <c r="K64" i="5"/>
  <c r="J64" i="5"/>
  <c r="H68" i="1" s="1"/>
  <c r="H64" i="5"/>
  <c r="G64" i="5"/>
  <c r="F68" i="1" s="1"/>
  <c r="E64" i="5"/>
  <c r="D64" i="5"/>
  <c r="R63" i="5"/>
  <c r="M63" i="5"/>
  <c r="D67" i="1" s="1"/>
  <c r="K63" i="5"/>
  <c r="J63" i="5"/>
  <c r="H67" i="1" s="1"/>
  <c r="H63" i="5"/>
  <c r="G63" i="5"/>
  <c r="E63" i="5"/>
  <c r="D63" i="5"/>
  <c r="R62" i="5"/>
  <c r="M62" i="5"/>
  <c r="D66" i="1" s="1"/>
  <c r="K62" i="5"/>
  <c r="J62" i="5"/>
  <c r="H66" i="1" s="1"/>
  <c r="H62" i="5"/>
  <c r="G62" i="5"/>
  <c r="F66" i="1" s="1"/>
  <c r="E62" i="5"/>
  <c r="F62" i="5" s="1"/>
  <c r="D62" i="5"/>
  <c r="R61" i="5"/>
  <c r="M61" i="5"/>
  <c r="D65" i="1" s="1"/>
  <c r="K61" i="5"/>
  <c r="J61" i="5"/>
  <c r="H65" i="1" s="1"/>
  <c r="H61" i="5"/>
  <c r="G61" i="5"/>
  <c r="E61" i="5"/>
  <c r="D61" i="5"/>
  <c r="R60" i="5"/>
  <c r="M60" i="5"/>
  <c r="D64" i="1" s="1"/>
  <c r="K60" i="5"/>
  <c r="J60" i="5"/>
  <c r="H64" i="1" s="1"/>
  <c r="H60" i="5"/>
  <c r="G60" i="5"/>
  <c r="F64" i="1" s="1"/>
  <c r="E60" i="5"/>
  <c r="D60" i="5"/>
  <c r="R59" i="5"/>
  <c r="M59" i="5"/>
  <c r="D63" i="1" s="1"/>
  <c r="K59" i="5"/>
  <c r="J59" i="5"/>
  <c r="H59" i="5"/>
  <c r="G59" i="5"/>
  <c r="F63" i="1" s="1"/>
  <c r="E59" i="5"/>
  <c r="D59" i="5"/>
  <c r="R58" i="5"/>
  <c r="M58" i="5"/>
  <c r="D62" i="1" s="1"/>
  <c r="K58" i="5"/>
  <c r="J58" i="5"/>
  <c r="H58" i="5"/>
  <c r="G58" i="5"/>
  <c r="E58" i="5"/>
  <c r="D58" i="5"/>
  <c r="R57" i="5"/>
  <c r="M57" i="5"/>
  <c r="D61" i="1" s="1"/>
  <c r="K57" i="5"/>
  <c r="J57" i="5"/>
  <c r="H61" i="1" s="1"/>
  <c r="H57" i="5"/>
  <c r="G57" i="5"/>
  <c r="F61" i="1" s="1"/>
  <c r="E57" i="5"/>
  <c r="D57" i="5"/>
  <c r="R56" i="5"/>
  <c r="M56" i="5"/>
  <c r="K56" i="5"/>
  <c r="J56" i="5"/>
  <c r="H60" i="1" s="1"/>
  <c r="H56" i="5"/>
  <c r="G56" i="5"/>
  <c r="F60" i="1" s="1"/>
  <c r="E56" i="5"/>
  <c r="D56" i="5"/>
  <c r="R55" i="5"/>
  <c r="M55" i="5"/>
  <c r="D59" i="1" s="1"/>
  <c r="K55" i="5"/>
  <c r="J55" i="5"/>
  <c r="H55" i="5"/>
  <c r="G55" i="5"/>
  <c r="F59" i="1" s="1"/>
  <c r="E55" i="5"/>
  <c r="D55" i="5"/>
  <c r="R54" i="5"/>
  <c r="M54" i="5"/>
  <c r="D58" i="1" s="1"/>
  <c r="K54" i="5"/>
  <c r="J54" i="5"/>
  <c r="H58" i="1" s="1"/>
  <c r="H54" i="5"/>
  <c r="G54" i="5"/>
  <c r="F58" i="1" s="1"/>
  <c r="E54" i="5"/>
  <c r="D54" i="5"/>
  <c r="R53" i="5"/>
  <c r="M53" i="5"/>
  <c r="D57" i="1" s="1"/>
  <c r="K53" i="5"/>
  <c r="J53" i="5"/>
  <c r="H57" i="1" s="1"/>
  <c r="H53" i="5"/>
  <c r="G53" i="5"/>
  <c r="F57" i="1" s="1"/>
  <c r="E53" i="5"/>
  <c r="D53" i="5"/>
  <c r="R52" i="5"/>
  <c r="M52" i="5"/>
  <c r="D56" i="1" s="1"/>
  <c r="K52" i="5"/>
  <c r="J52" i="5"/>
  <c r="H52" i="5"/>
  <c r="G52" i="5"/>
  <c r="F56" i="1" s="1"/>
  <c r="E52" i="5"/>
  <c r="D52" i="5"/>
  <c r="R51" i="5"/>
  <c r="M51" i="5"/>
  <c r="D55" i="1" s="1"/>
  <c r="K51" i="5"/>
  <c r="J51" i="5"/>
  <c r="H55" i="1" s="1"/>
  <c r="H51" i="5"/>
  <c r="G51" i="5"/>
  <c r="E51" i="5"/>
  <c r="D51" i="5"/>
  <c r="R50" i="5"/>
  <c r="M50" i="5"/>
  <c r="D54" i="1" s="1"/>
  <c r="K50" i="5"/>
  <c r="J50" i="5"/>
  <c r="H54" i="1" s="1"/>
  <c r="H50" i="5"/>
  <c r="G50" i="5"/>
  <c r="F54" i="1" s="1"/>
  <c r="E50" i="5"/>
  <c r="D50" i="5"/>
  <c r="R49" i="5"/>
  <c r="M49" i="5"/>
  <c r="K49" i="5"/>
  <c r="J49" i="5"/>
  <c r="H53" i="1" s="1"/>
  <c r="H49" i="5"/>
  <c r="G49" i="5"/>
  <c r="E49" i="5"/>
  <c r="D49" i="5"/>
  <c r="R48" i="5"/>
  <c r="M48" i="5"/>
  <c r="D52" i="1" s="1"/>
  <c r="K48" i="5"/>
  <c r="J48" i="5"/>
  <c r="H52" i="1" s="1"/>
  <c r="H48" i="5"/>
  <c r="G48" i="5"/>
  <c r="E48" i="5"/>
  <c r="D48" i="5"/>
  <c r="R47" i="5"/>
  <c r="M47" i="5"/>
  <c r="D51" i="1" s="1"/>
  <c r="K47" i="5"/>
  <c r="J47" i="5"/>
  <c r="H47" i="5"/>
  <c r="G47" i="5"/>
  <c r="F51" i="1" s="1"/>
  <c r="E47" i="5"/>
  <c r="D47" i="5"/>
  <c r="R46" i="5"/>
  <c r="M46" i="5"/>
  <c r="D50" i="1" s="1"/>
  <c r="K46" i="5"/>
  <c r="J46" i="5"/>
  <c r="H46" i="5"/>
  <c r="G46" i="5"/>
  <c r="F50" i="1" s="1"/>
  <c r="E46" i="5"/>
  <c r="D46" i="5"/>
  <c r="R45" i="5"/>
  <c r="M45" i="5"/>
  <c r="D49" i="1" s="1"/>
  <c r="K45" i="5"/>
  <c r="J45" i="5"/>
  <c r="H49" i="1" s="1"/>
  <c r="H45" i="5"/>
  <c r="G45" i="5"/>
  <c r="E45" i="5"/>
  <c r="D45" i="5"/>
  <c r="R44" i="5"/>
  <c r="M44" i="5"/>
  <c r="D48" i="1" s="1"/>
  <c r="K44" i="5"/>
  <c r="J44" i="5"/>
  <c r="H48" i="1" s="1"/>
  <c r="H44" i="5"/>
  <c r="G44" i="5"/>
  <c r="F48" i="1" s="1"/>
  <c r="E44" i="5"/>
  <c r="D44" i="5"/>
  <c r="R43" i="5"/>
  <c r="M43" i="5"/>
  <c r="D47" i="1" s="1"/>
  <c r="K43" i="5"/>
  <c r="J43" i="5"/>
  <c r="H47" i="1" s="1"/>
  <c r="H43" i="5"/>
  <c r="G43" i="5"/>
  <c r="F47" i="1" s="1"/>
  <c r="E43" i="5"/>
  <c r="D43" i="5"/>
  <c r="R42" i="5"/>
  <c r="M42" i="5"/>
  <c r="D46" i="1" s="1"/>
  <c r="K42" i="5"/>
  <c r="J42" i="5"/>
  <c r="H46" i="1" s="1"/>
  <c r="H42" i="5"/>
  <c r="G42" i="5"/>
  <c r="E42" i="5"/>
  <c r="D42" i="5"/>
  <c r="R41" i="5"/>
  <c r="M41" i="5"/>
  <c r="D45" i="1" s="1"/>
  <c r="K41" i="5"/>
  <c r="J41" i="5"/>
  <c r="H45" i="1" s="1"/>
  <c r="H41" i="5"/>
  <c r="G41" i="5"/>
  <c r="E41" i="5"/>
  <c r="D41" i="5"/>
  <c r="R40" i="5"/>
  <c r="M40" i="5"/>
  <c r="D44" i="1" s="1"/>
  <c r="K40" i="5"/>
  <c r="J40" i="5"/>
  <c r="H44" i="1" s="1"/>
  <c r="H40" i="5"/>
  <c r="G40" i="5"/>
  <c r="E40" i="5"/>
  <c r="D40" i="5"/>
  <c r="R39" i="5"/>
  <c r="M39" i="5"/>
  <c r="D43" i="1" s="1"/>
  <c r="K39" i="5"/>
  <c r="J39" i="5"/>
  <c r="H43" i="1" s="1"/>
  <c r="H39" i="5"/>
  <c r="G39" i="5"/>
  <c r="F43" i="1" s="1"/>
  <c r="E39" i="5"/>
  <c r="D39" i="5"/>
  <c r="R38" i="5"/>
  <c r="M38" i="5"/>
  <c r="D42" i="1" s="1"/>
  <c r="K38" i="5"/>
  <c r="J38" i="5"/>
  <c r="H42" i="1" s="1"/>
  <c r="H38" i="5"/>
  <c r="G38" i="5"/>
  <c r="F42" i="1" s="1"/>
  <c r="E38" i="5"/>
  <c r="D38" i="5"/>
  <c r="R37" i="5"/>
  <c r="M37" i="5"/>
  <c r="D41" i="1" s="1"/>
  <c r="K37" i="5"/>
  <c r="J37" i="5"/>
  <c r="H41" i="1" s="1"/>
  <c r="H37" i="5"/>
  <c r="G37" i="5"/>
  <c r="E37" i="5"/>
  <c r="D37" i="5"/>
  <c r="R36" i="5"/>
  <c r="M36" i="5"/>
  <c r="D40" i="1" s="1"/>
  <c r="K36" i="5"/>
  <c r="J36" i="5"/>
  <c r="H40" i="1" s="1"/>
  <c r="H36" i="5"/>
  <c r="G36" i="5"/>
  <c r="E36" i="5"/>
  <c r="D36" i="5"/>
  <c r="R35" i="5"/>
  <c r="M35" i="5"/>
  <c r="D39" i="1" s="1"/>
  <c r="K35" i="5"/>
  <c r="J35" i="5"/>
  <c r="H35" i="5"/>
  <c r="G35" i="5"/>
  <c r="F39" i="1" s="1"/>
  <c r="E35" i="5"/>
  <c r="D35" i="5"/>
  <c r="R34" i="5"/>
  <c r="M34" i="5"/>
  <c r="D38" i="1" s="1"/>
  <c r="K34" i="5"/>
  <c r="J34" i="5"/>
  <c r="H34" i="5"/>
  <c r="G34" i="5"/>
  <c r="F38" i="1" s="1"/>
  <c r="E34" i="5"/>
  <c r="D34" i="5"/>
  <c r="R33" i="5"/>
  <c r="M33" i="5"/>
  <c r="D37" i="1" s="1"/>
  <c r="K33" i="5"/>
  <c r="J33" i="5"/>
  <c r="H37" i="1" s="1"/>
  <c r="H33" i="5"/>
  <c r="G33" i="5"/>
  <c r="F37" i="1" s="1"/>
  <c r="E33" i="5"/>
  <c r="D33" i="5"/>
  <c r="R32" i="5"/>
  <c r="M32" i="5"/>
  <c r="D36" i="1" s="1"/>
  <c r="K32" i="5"/>
  <c r="J32" i="5"/>
  <c r="H36" i="1" s="1"/>
  <c r="H32" i="5"/>
  <c r="G32" i="5"/>
  <c r="F36" i="1" s="1"/>
  <c r="E32" i="5"/>
  <c r="D32" i="5"/>
  <c r="R31" i="5"/>
  <c r="M31" i="5"/>
  <c r="D35" i="1" s="1"/>
  <c r="K31" i="5"/>
  <c r="J31" i="5"/>
  <c r="H35" i="1" s="1"/>
  <c r="H31" i="5"/>
  <c r="G31" i="5"/>
  <c r="E31" i="5"/>
  <c r="D31" i="5"/>
  <c r="R30" i="5"/>
  <c r="M30" i="5"/>
  <c r="D34" i="1" s="1"/>
  <c r="K30" i="5"/>
  <c r="J30" i="5"/>
  <c r="H34" i="1" s="1"/>
  <c r="H30" i="5"/>
  <c r="G30" i="5"/>
  <c r="F34" i="1" s="1"/>
  <c r="E30" i="5"/>
  <c r="D30" i="5"/>
  <c r="R29" i="5"/>
  <c r="M29" i="5"/>
  <c r="D33" i="1" s="1"/>
  <c r="K29" i="5"/>
  <c r="J29" i="5"/>
  <c r="H33" i="1" s="1"/>
  <c r="H29" i="5"/>
  <c r="G29" i="5"/>
  <c r="F33" i="1" s="1"/>
  <c r="E29" i="5"/>
  <c r="D29" i="5"/>
  <c r="R28" i="5"/>
  <c r="M28" i="5"/>
  <c r="D32" i="1" s="1"/>
  <c r="K28" i="5"/>
  <c r="J28" i="5"/>
  <c r="H28" i="5"/>
  <c r="G28" i="5"/>
  <c r="E28" i="5"/>
  <c r="D28" i="5"/>
  <c r="R27" i="5"/>
  <c r="M27" i="5"/>
  <c r="D31" i="1" s="1"/>
  <c r="K27" i="5"/>
  <c r="J27" i="5"/>
  <c r="H31" i="1" s="1"/>
  <c r="H27" i="5"/>
  <c r="G27" i="5"/>
  <c r="E27" i="5"/>
  <c r="D27" i="5"/>
  <c r="R26" i="5"/>
  <c r="M26" i="5"/>
  <c r="D30" i="1" s="1"/>
  <c r="K26" i="5"/>
  <c r="J26" i="5"/>
  <c r="H26" i="5"/>
  <c r="G26" i="5"/>
  <c r="F30" i="1" s="1"/>
  <c r="E26" i="5"/>
  <c r="D26" i="5"/>
  <c r="R25" i="5"/>
  <c r="M25" i="5"/>
  <c r="D29" i="1" s="1"/>
  <c r="K25" i="5"/>
  <c r="J25" i="5"/>
  <c r="H29" i="1" s="1"/>
  <c r="H25" i="5"/>
  <c r="G25" i="5"/>
  <c r="E25" i="5"/>
  <c r="D25" i="5"/>
  <c r="R24" i="5"/>
  <c r="M24" i="5"/>
  <c r="D28" i="1" s="1"/>
  <c r="K24" i="5"/>
  <c r="J24" i="5"/>
  <c r="H28" i="1" s="1"/>
  <c r="H24" i="5"/>
  <c r="G24" i="5"/>
  <c r="E24" i="5"/>
  <c r="D24" i="5"/>
  <c r="R23" i="5"/>
  <c r="M23" i="5"/>
  <c r="D27" i="1" s="1"/>
  <c r="K23" i="5"/>
  <c r="J23" i="5"/>
  <c r="H27" i="1" s="1"/>
  <c r="H23" i="5"/>
  <c r="G23" i="5"/>
  <c r="F27" i="1" s="1"/>
  <c r="E23" i="5"/>
  <c r="D23" i="5"/>
  <c r="R22" i="5"/>
  <c r="M22" i="5"/>
  <c r="D26" i="1" s="1"/>
  <c r="K22" i="5"/>
  <c r="J22" i="5"/>
  <c r="H26" i="1" s="1"/>
  <c r="H22" i="5"/>
  <c r="G22" i="5"/>
  <c r="F26" i="1" s="1"/>
  <c r="E22" i="5"/>
  <c r="D22" i="5"/>
  <c r="R21" i="5"/>
  <c r="M21" i="5"/>
  <c r="D25" i="1" s="1"/>
  <c r="K21" i="5"/>
  <c r="J21" i="5"/>
  <c r="H25" i="1" s="1"/>
  <c r="H21" i="5"/>
  <c r="G21" i="5"/>
  <c r="F25" i="1" s="1"/>
  <c r="E21" i="5"/>
  <c r="D21" i="5"/>
  <c r="R20" i="5"/>
  <c r="M20" i="5"/>
  <c r="K20" i="5"/>
  <c r="J20" i="5"/>
  <c r="H24" i="1" s="1"/>
  <c r="H20" i="5"/>
  <c r="G20" i="5"/>
  <c r="F24" i="1" s="1"/>
  <c r="E20" i="5"/>
  <c r="D20" i="5"/>
  <c r="R19" i="5"/>
  <c r="M19" i="5"/>
  <c r="D23" i="1" s="1"/>
  <c r="K19" i="5"/>
  <c r="J19" i="5"/>
  <c r="H23" i="1" s="1"/>
  <c r="H19" i="5"/>
  <c r="G19" i="5"/>
  <c r="E19" i="5"/>
  <c r="D19" i="5"/>
  <c r="R18" i="5"/>
  <c r="M18" i="5"/>
  <c r="D22" i="1" s="1"/>
  <c r="K18" i="5"/>
  <c r="J18" i="5"/>
  <c r="H18" i="5"/>
  <c r="G18" i="5"/>
  <c r="F22" i="1" s="1"/>
  <c r="E18" i="5"/>
  <c r="D18" i="5"/>
  <c r="R17" i="5"/>
  <c r="M17" i="5"/>
  <c r="D21" i="1" s="1"/>
  <c r="K17" i="5"/>
  <c r="J17" i="5"/>
  <c r="H21" i="1" s="1"/>
  <c r="H17" i="5"/>
  <c r="G17" i="5"/>
  <c r="F21" i="1" s="1"/>
  <c r="E17" i="5"/>
  <c r="D17" i="5"/>
  <c r="R16" i="5"/>
  <c r="M16" i="5"/>
  <c r="D20" i="1" s="1"/>
  <c r="K16" i="5"/>
  <c r="J16" i="5"/>
  <c r="H20" i="1" s="1"/>
  <c r="H16" i="5"/>
  <c r="G16" i="5"/>
  <c r="E16" i="5"/>
  <c r="D16" i="5"/>
  <c r="R15" i="5"/>
  <c r="M15" i="5"/>
  <c r="D19" i="1" s="1"/>
  <c r="K15" i="5"/>
  <c r="J15" i="5"/>
  <c r="H19" i="1" s="1"/>
  <c r="H15" i="5"/>
  <c r="G15" i="5"/>
  <c r="F19" i="1" s="1"/>
  <c r="E15" i="5"/>
  <c r="D15" i="5"/>
  <c r="R14" i="5"/>
  <c r="M14" i="5"/>
  <c r="D18" i="1" s="1"/>
  <c r="K14" i="5"/>
  <c r="J14" i="5"/>
  <c r="H18" i="1" s="1"/>
  <c r="H14" i="5"/>
  <c r="G14" i="5"/>
  <c r="F18" i="1" s="1"/>
  <c r="E14" i="5"/>
  <c r="D14" i="5"/>
  <c r="R13" i="5"/>
  <c r="M13" i="5"/>
  <c r="D17" i="1" s="1"/>
  <c r="K13" i="5"/>
  <c r="J13" i="5"/>
  <c r="H17" i="1" s="1"/>
  <c r="H13" i="5"/>
  <c r="G13" i="5"/>
  <c r="F17" i="1" s="1"/>
  <c r="E13" i="5"/>
  <c r="D13" i="5"/>
  <c r="R12" i="5"/>
  <c r="M12" i="5"/>
  <c r="D16" i="1" s="1"/>
  <c r="K12" i="5"/>
  <c r="J12" i="5"/>
  <c r="H16" i="1" s="1"/>
  <c r="H12" i="5"/>
  <c r="G12" i="5"/>
  <c r="F16" i="1" s="1"/>
  <c r="E12" i="5"/>
  <c r="D12" i="5"/>
  <c r="R11" i="5"/>
  <c r="M11" i="5"/>
  <c r="D15" i="1" s="1"/>
  <c r="K11" i="5"/>
  <c r="J11" i="5"/>
  <c r="H15" i="1" s="1"/>
  <c r="H11" i="5"/>
  <c r="G11" i="5"/>
  <c r="F15" i="1" s="1"/>
  <c r="E11" i="5"/>
  <c r="D11" i="5"/>
  <c r="R10" i="5"/>
  <c r="M10" i="5"/>
  <c r="D14" i="1" s="1"/>
  <c r="K10" i="5"/>
  <c r="J10" i="5"/>
  <c r="H14" i="1" s="1"/>
  <c r="H10" i="5"/>
  <c r="G10" i="5"/>
  <c r="E10" i="5"/>
  <c r="D10" i="5"/>
  <c r="R9" i="5"/>
  <c r="M9" i="5"/>
  <c r="D13" i="1" s="1"/>
  <c r="K9" i="5"/>
  <c r="J9" i="5"/>
  <c r="H13" i="1" s="1"/>
  <c r="H9" i="5"/>
  <c r="G9" i="5"/>
  <c r="E9" i="5"/>
  <c r="D9" i="5"/>
  <c r="R8" i="5"/>
  <c r="M8" i="5"/>
  <c r="D12" i="1" s="1"/>
  <c r="K8" i="5"/>
  <c r="J8" i="5"/>
  <c r="H12" i="1" s="1"/>
  <c r="H8" i="5"/>
  <c r="G8" i="5"/>
  <c r="F12" i="1" s="1"/>
  <c r="E8" i="5"/>
  <c r="D8" i="5"/>
  <c r="R7" i="5"/>
  <c r="M7" i="5"/>
  <c r="K7" i="5"/>
  <c r="J7" i="5"/>
  <c r="H11" i="1" s="1"/>
  <c r="H7" i="5"/>
  <c r="G7" i="5"/>
  <c r="F11" i="1" s="1"/>
  <c r="E7" i="5"/>
  <c r="D7" i="5"/>
  <c r="R6" i="5"/>
  <c r="M6" i="5"/>
  <c r="D10" i="1" s="1"/>
  <c r="K6" i="5"/>
  <c r="L6" i="5" s="1"/>
  <c r="J6" i="5"/>
  <c r="H10" i="1" s="1"/>
  <c r="H6" i="5"/>
  <c r="G6" i="5"/>
  <c r="E6" i="5"/>
  <c r="D6" i="5"/>
  <c r="R5" i="5"/>
  <c r="M5" i="5"/>
  <c r="K5" i="5"/>
  <c r="J5" i="5"/>
  <c r="H9" i="1" s="1"/>
  <c r="H5" i="5"/>
  <c r="G5" i="5"/>
  <c r="E5" i="5"/>
  <c r="D5" i="5"/>
  <c r="R4" i="5"/>
  <c r="M4" i="5"/>
  <c r="D8" i="1" s="1"/>
  <c r="K4" i="5"/>
  <c r="J4" i="5"/>
  <c r="H8" i="1" s="1"/>
  <c r="H4" i="5"/>
  <c r="G4" i="5"/>
  <c r="E4" i="5"/>
  <c r="D4" i="5"/>
  <c r="R3" i="5"/>
  <c r="M3" i="5"/>
  <c r="D7" i="1" s="1"/>
  <c r="K3" i="5"/>
  <c r="J3" i="5"/>
  <c r="H7" i="1" s="1"/>
  <c r="H3" i="5"/>
  <c r="G3" i="5"/>
  <c r="E3" i="5"/>
  <c r="D3" i="5"/>
  <c r="R2" i="5"/>
  <c r="M2" i="5"/>
  <c r="D6" i="1" s="1"/>
  <c r="K2" i="5"/>
  <c r="J2" i="5"/>
  <c r="H6" i="1" s="1"/>
  <c r="H2" i="5"/>
  <c r="G2" i="5"/>
  <c r="F6" i="1" s="1"/>
  <c r="E2" i="5"/>
  <c r="D2" i="5"/>
  <c r="N618" i="3"/>
  <c r="N617" i="3"/>
  <c r="N616" i="3"/>
  <c r="N615" i="3"/>
  <c r="N614" i="3"/>
  <c r="N613" i="3"/>
  <c r="N612" i="3"/>
  <c r="N611" i="3"/>
  <c r="N610" i="3"/>
  <c r="N609" i="3"/>
  <c r="N608" i="3"/>
  <c r="N607" i="3"/>
  <c r="N606" i="3"/>
  <c r="N605" i="3"/>
  <c r="N604" i="3"/>
  <c r="N603" i="3"/>
  <c r="N602" i="3"/>
  <c r="N601" i="3"/>
  <c r="N600" i="3"/>
  <c r="N599" i="3"/>
  <c r="N598" i="3"/>
  <c r="N597" i="3"/>
  <c r="N596" i="3"/>
  <c r="N595" i="3"/>
  <c r="N594" i="3"/>
  <c r="N593" i="3"/>
  <c r="N592" i="3"/>
  <c r="N591" i="3"/>
  <c r="N590" i="3"/>
  <c r="N589" i="3"/>
  <c r="N588" i="3"/>
  <c r="N587" i="3"/>
  <c r="N586" i="3"/>
  <c r="N585" i="3"/>
  <c r="N584" i="3"/>
  <c r="N583" i="3"/>
  <c r="N582" i="3"/>
  <c r="N581" i="3"/>
  <c r="N580" i="3"/>
  <c r="N579" i="3"/>
  <c r="N578" i="3"/>
  <c r="N577" i="3"/>
  <c r="N576" i="3"/>
  <c r="N575" i="3"/>
  <c r="N574" i="3"/>
  <c r="N573" i="3"/>
  <c r="N572" i="3"/>
  <c r="N571" i="3"/>
  <c r="N570" i="3"/>
  <c r="N569" i="3"/>
  <c r="N568" i="3"/>
  <c r="N567" i="3"/>
  <c r="N566" i="3"/>
  <c r="N565" i="3"/>
  <c r="N564" i="3"/>
  <c r="N563" i="3"/>
  <c r="N562" i="3"/>
  <c r="N561" i="3"/>
  <c r="N560" i="3"/>
  <c r="N559" i="3"/>
  <c r="N558" i="3"/>
  <c r="N557" i="3"/>
  <c r="N556" i="3"/>
  <c r="N555" i="3"/>
  <c r="N554" i="3"/>
  <c r="N553" i="3"/>
  <c r="N552" i="3"/>
  <c r="N551" i="3"/>
  <c r="N550" i="3"/>
  <c r="N549" i="3"/>
  <c r="N548" i="3"/>
  <c r="N547" i="3"/>
  <c r="N546" i="3"/>
  <c r="N545" i="3"/>
  <c r="N544" i="3"/>
  <c r="N543" i="3"/>
  <c r="N542" i="3"/>
  <c r="N541" i="3"/>
  <c r="N540" i="3"/>
  <c r="N539" i="3"/>
  <c r="N538" i="3"/>
  <c r="N537" i="3"/>
  <c r="N536" i="3"/>
  <c r="N535" i="3"/>
  <c r="N534" i="3"/>
  <c r="N533" i="3"/>
  <c r="N532" i="3"/>
  <c r="N531" i="3"/>
  <c r="N530" i="3"/>
  <c r="N529" i="3"/>
  <c r="N528" i="3"/>
  <c r="N527" i="3"/>
  <c r="N526" i="3"/>
  <c r="N525" i="3"/>
  <c r="N524" i="3"/>
  <c r="N523" i="3"/>
  <c r="N522" i="3"/>
  <c r="N521" i="3"/>
  <c r="N520" i="3"/>
  <c r="N519" i="3"/>
  <c r="N518" i="3"/>
  <c r="N517" i="3"/>
  <c r="N516" i="3"/>
  <c r="N515" i="3"/>
  <c r="N514" i="3"/>
  <c r="N513" i="3"/>
  <c r="N512" i="3"/>
  <c r="N511" i="3"/>
  <c r="N510" i="3"/>
  <c r="N509" i="3"/>
  <c r="N508" i="3"/>
  <c r="N507" i="3"/>
  <c r="N506" i="3"/>
  <c r="N505" i="3"/>
  <c r="N504" i="3"/>
  <c r="N503" i="3"/>
  <c r="N502" i="3"/>
  <c r="N501" i="3"/>
  <c r="N500" i="3"/>
  <c r="N499" i="3"/>
  <c r="N498" i="3"/>
  <c r="N497" i="3"/>
  <c r="N496" i="3"/>
  <c r="N495" i="3"/>
  <c r="N494" i="3"/>
  <c r="N493" i="3"/>
  <c r="N492" i="3"/>
  <c r="N491" i="3"/>
  <c r="N490" i="3"/>
  <c r="N489" i="3"/>
  <c r="N488" i="3"/>
  <c r="N487" i="3"/>
  <c r="N486" i="3"/>
  <c r="N485" i="3"/>
  <c r="N484" i="3"/>
  <c r="N483" i="3"/>
  <c r="N482" i="3"/>
  <c r="N481" i="3"/>
  <c r="N480" i="3"/>
  <c r="N479" i="3"/>
  <c r="N478" i="3"/>
  <c r="N477" i="3"/>
  <c r="N476" i="3"/>
  <c r="N475" i="3"/>
  <c r="N474" i="3"/>
  <c r="N473" i="3"/>
  <c r="N472" i="3"/>
  <c r="N471" i="3"/>
  <c r="N470" i="3"/>
  <c r="N469" i="3"/>
  <c r="N468" i="3"/>
  <c r="N467" i="3"/>
  <c r="N466" i="3"/>
  <c r="N465" i="3"/>
  <c r="N464" i="3"/>
  <c r="N463" i="3"/>
  <c r="N462" i="3"/>
  <c r="N461" i="3"/>
  <c r="N460" i="3"/>
  <c r="N459" i="3"/>
  <c r="N458" i="3"/>
  <c r="N457" i="3"/>
  <c r="N456" i="3"/>
  <c r="N455" i="3"/>
  <c r="N454" i="3"/>
  <c r="N453" i="3"/>
  <c r="N452" i="3"/>
  <c r="N451" i="3"/>
  <c r="N450" i="3"/>
  <c r="N449" i="3"/>
  <c r="N448" i="3"/>
  <c r="N447" i="3"/>
  <c r="N446" i="3"/>
  <c r="N445" i="3"/>
  <c r="N444" i="3"/>
  <c r="N443" i="3"/>
  <c r="N442" i="3"/>
  <c r="N441" i="3"/>
  <c r="N440" i="3"/>
  <c r="N439" i="3"/>
  <c r="N438" i="3"/>
  <c r="N437" i="3"/>
  <c r="N436" i="3"/>
  <c r="N435" i="3"/>
  <c r="N434" i="3"/>
  <c r="N433" i="3"/>
  <c r="N432" i="3"/>
  <c r="N431" i="3"/>
  <c r="N430" i="3"/>
  <c r="N429" i="3"/>
  <c r="N428" i="3"/>
  <c r="N427" i="3"/>
  <c r="N426" i="3"/>
  <c r="N425" i="3"/>
  <c r="N424" i="3"/>
  <c r="N423" i="3"/>
  <c r="N422" i="3"/>
  <c r="N421" i="3"/>
  <c r="N420" i="3"/>
  <c r="N419" i="3"/>
  <c r="N418" i="3"/>
  <c r="N417" i="3"/>
  <c r="N416" i="3"/>
  <c r="N415" i="3"/>
  <c r="N414" i="3"/>
  <c r="N413" i="3"/>
  <c r="N412" i="3"/>
  <c r="N411" i="3"/>
  <c r="N410" i="3"/>
  <c r="N409" i="3"/>
  <c r="N408" i="3"/>
  <c r="N407" i="3"/>
  <c r="N406" i="3"/>
  <c r="N405" i="3"/>
  <c r="N404" i="3"/>
  <c r="N403" i="3"/>
  <c r="N402" i="3"/>
  <c r="N401" i="3"/>
  <c r="N400" i="3"/>
  <c r="N399" i="3"/>
  <c r="N398" i="3"/>
  <c r="N397" i="3"/>
  <c r="N396" i="3"/>
  <c r="N395" i="3"/>
  <c r="N394" i="3"/>
  <c r="N393" i="3"/>
  <c r="N392" i="3"/>
  <c r="N391" i="3"/>
  <c r="N390" i="3"/>
  <c r="N389" i="3"/>
  <c r="N388" i="3"/>
  <c r="N387" i="3"/>
  <c r="N386" i="3"/>
  <c r="N385" i="3"/>
  <c r="N384" i="3"/>
  <c r="N383" i="3"/>
  <c r="N382" i="3"/>
  <c r="N381" i="3"/>
  <c r="N380" i="3"/>
  <c r="N379" i="3"/>
  <c r="N378" i="3"/>
  <c r="N377" i="3"/>
  <c r="N376" i="3"/>
  <c r="N375" i="3"/>
  <c r="N374" i="3"/>
  <c r="N373" i="3"/>
  <c r="N372" i="3"/>
  <c r="N371" i="3"/>
  <c r="N370" i="3"/>
  <c r="N369" i="3"/>
  <c r="N368" i="3"/>
  <c r="N367" i="3"/>
  <c r="N366" i="3"/>
  <c r="N365" i="3"/>
  <c r="N364" i="3"/>
  <c r="N363" i="3"/>
  <c r="N362" i="3"/>
  <c r="N361" i="3"/>
  <c r="N360" i="3"/>
  <c r="N359" i="3"/>
  <c r="N358" i="3"/>
  <c r="N357" i="3"/>
  <c r="N356" i="3"/>
  <c r="N355" i="3"/>
  <c r="N354" i="3"/>
  <c r="N353" i="3"/>
  <c r="N352" i="3"/>
  <c r="N351" i="3"/>
  <c r="N350" i="3"/>
  <c r="N349" i="3"/>
  <c r="N348" i="3"/>
  <c r="N347" i="3"/>
  <c r="N346" i="3"/>
  <c r="N345" i="3"/>
  <c r="N344" i="3"/>
  <c r="N343" i="3"/>
  <c r="N342" i="3"/>
  <c r="N341" i="3"/>
  <c r="N340" i="3"/>
  <c r="N339" i="3"/>
  <c r="N338" i="3"/>
  <c r="N337" i="3"/>
  <c r="N336" i="3"/>
  <c r="N335" i="3"/>
  <c r="N334" i="3"/>
  <c r="N333" i="3"/>
  <c r="N332" i="3"/>
  <c r="N331" i="3"/>
  <c r="N330" i="3"/>
  <c r="N329" i="3"/>
  <c r="N328" i="3"/>
  <c r="N327" i="3"/>
  <c r="N326" i="3"/>
  <c r="N325" i="3"/>
  <c r="N324" i="3"/>
  <c r="N323" i="3"/>
  <c r="N322" i="3"/>
  <c r="N321" i="3"/>
  <c r="N320" i="3"/>
  <c r="N319" i="3"/>
  <c r="N318" i="3"/>
  <c r="N317" i="3"/>
  <c r="N316" i="3"/>
  <c r="N315" i="3"/>
  <c r="N314" i="3"/>
  <c r="N313" i="3"/>
  <c r="N312" i="3"/>
  <c r="N311" i="3"/>
  <c r="N310" i="3"/>
  <c r="N309" i="3"/>
  <c r="N308" i="3"/>
  <c r="N307" i="3"/>
  <c r="N306" i="3"/>
  <c r="N305" i="3"/>
  <c r="N304" i="3"/>
  <c r="N303" i="3"/>
  <c r="N302" i="3"/>
  <c r="N301" i="3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D211" i="1"/>
  <c r="F209" i="1"/>
  <c r="D209" i="1"/>
  <c r="H208" i="1"/>
  <c r="D208" i="1"/>
  <c r="F207" i="1"/>
  <c r="D207" i="1"/>
  <c r="D201" i="1"/>
  <c r="F198" i="1"/>
  <c r="F197" i="1"/>
  <c r="D197" i="1"/>
  <c r="F192" i="1"/>
  <c r="H189" i="1"/>
  <c r="F187" i="1"/>
  <c r="F185" i="1"/>
  <c r="F183" i="1"/>
  <c r="H182" i="1"/>
  <c r="F182" i="1"/>
  <c r="D181" i="1"/>
  <c r="F180" i="1"/>
  <c r="D180" i="1"/>
  <c r="D179" i="1"/>
  <c r="H178" i="1"/>
  <c r="F176" i="1"/>
  <c r="F175" i="1"/>
  <c r="D168" i="1"/>
  <c r="H167" i="1"/>
  <c r="H154" i="1"/>
  <c r="F151" i="1"/>
  <c r="D151" i="1"/>
  <c r="H150" i="1"/>
  <c r="D149" i="1"/>
  <c r="D148" i="1"/>
  <c r="D147" i="1"/>
  <c r="F145" i="1"/>
  <c r="F140" i="1"/>
  <c r="D131" i="1"/>
  <c r="H120" i="1"/>
  <c r="D120" i="1"/>
  <c r="H118" i="1"/>
  <c r="F118" i="1"/>
  <c r="D115" i="1"/>
  <c r="F113" i="1"/>
  <c r="H107" i="1"/>
  <c r="F107" i="1"/>
  <c r="H101" i="1"/>
  <c r="D96" i="1"/>
  <c r="H85" i="1"/>
  <c r="F85" i="1"/>
  <c r="H62" i="1"/>
  <c r="H56" i="1"/>
  <c r="D53" i="1"/>
  <c r="H51" i="1"/>
  <c r="F32" i="1"/>
  <c r="F28" i="1"/>
  <c r="D9" i="1"/>
  <c r="L198" i="5" l="1"/>
  <c r="C202" i="1" s="1"/>
  <c r="L135" i="5"/>
  <c r="C139" i="1" s="1"/>
  <c r="I146" i="5"/>
  <c r="X152" i="7" s="1"/>
  <c r="Q10" i="5"/>
  <c r="J14" i="1" s="1"/>
  <c r="I121" i="5"/>
  <c r="I154" i="5"/>
  <c r="X160" i="7" s="1"/>
  <c r="L173" i="5"/>
  <c r="C177" i="1" s="1"/>
  <c r="I179" i="5"/>
  <c r="X186" i="7" s="1"/>
  <c r="F116" i="5"/>
  <c r="E120" i="1" s="1"/>
  <c r="I5" i="5"/>
  <c r="X25" i="7" s="1"/>
  <c r="Q145" i="5"/>
  <c r="J149" i="1" s="1"/>
  <c r="F170" i="5"/>
  <c r="W177" i="7" s="1"/>
  <c r="I37" i="5"/>
  <c r="X43" i="7" s="1"/>
  <c r="F184" i="5"/>
  <c r="W191" i="7" s="1"/>
  <c r="I21" i="5"/>
  <c r="X71" i="7" s="1"/>
  <c r="L63" i="5"/>
  <c r="C67" i="1" s="1"/>
  <c r="N108" i="5"/>
  <c r="P108" i="5" s="1"/>
  <c r="U108" i="5" s="1"/>
  <c r="F67" i="5"/>
  <c r="E71" i="1" s="1"/>
  <c r="Q119" i="5"/>
  <c r="J123" i="1" s="1"/>
  <c r="L144" i="5"/>
  <c r="Q152" i="5"/>
  <c r="F196" i="5"/>
  <c r="W203" i="7" s="1"/>
  <c r="F124" i="5"/>
  <c r="W128" i="7" s="1"/>
  <c r="I44" i="5"/>
  <c r="X66" i="7" s="1"/>
  <c r="Q185" i="5"/>
  <c r="J189" i="1" s="1"/>
  <c r="I147" i="5"/>
  <c r="N70" i="5"/>
  <c r="P70" i="5" s="1"/>
  <c r="F191" i="5"/>
  <c r="E195" i="1" s="1"/>
  <c r="F202" i="5"/>
  <c r="E206" i="1" s="1"/>
  <c r="N3" i="5"/>
  <c r="P3" i="5" s="1"/>
  <c r="AA22" i="7" s="1"/>
  <c r="F61" i="5"/>
  <c r="W88" i="7" s="1"/>
  <c r="F48" i="5"/>
  <c r="W80" i="7" s="1"/>
  <c r="Q4" i="5"/>
  <c r="J8" i="1" s="1"/>
  <c r="I45" i="5"/>
  <c r="X67" i="7" s="1"/>
  <c r="F85" i="5"/>
  <c r="E89" i="1" s="1"/>
  <c r="L112" i="5"/>
  <c r="Y109" i="7" s="1"/>
  <c r="Q85" i="5"/>
  <c r="I18" i="5"/>
  <c r="G22" i="1" s="1"/>
  <c r="L137" i="5"/>
  <c r="Y143" i="7" s="1"/>
  <c r="F171" i="5"/>
  <c r="F83" i="5"/>
  <c r="W53" i="7" s="1"/>
  <c r="F141" i="5"/>
  <c r="E145" i="1" s="1"/>
  <c r="Q160" i="5"/>
  <c r="J164" i="1" s="1"/>
  <c r="I163" i="5"/>
  <c r="X169" i="7" s="1"/>
  <c r="L124" i="5"/>
  <c r="Y128" i="7" s="1"/>
  <c r="Q193" i="5"/>
  <c r="J197" i="1" s="1"/>
  <c r="L10" i="5"/>
  <c r="F16" i="5"/>
  <c r="F27" i="5"/>
  <c r="E31" i="1" s="1"/>
  <c r="I57" i="5"/>
  <c r="G61" i="1" s="1"/>
  <c r="I67" i="5"/>
  <c r="L58" i="5"/>
  <c r="C62" i="1" s="1"/>
  <c r="F6" i="5"/>
  <c r="W28" i="7" s="1"/>
  <c r="F73" i="5"/>
  <c r="Q136" i="5"/>
  <c r="J140" i="1" s="1"/>
  <c r="L38" i="5"/>
  <c r="C42" i="1" s="1"/>
  <c r="N95" i="5"/>
  <c r="P95" i="5" s="1"/>
  <c r="F41" i="5"/>
  <c r="E45" i="1" s="1"/>
  <c r="Q43" i="5"/>
  <c r="J47" i="1" s="1"/>
  <c r="L31" i="5"/>
  <c r="F199" i="5"/>
  <c r="W206" i="7" s="1"/>
  <c r="F164" i="1"/>
  <c r="N25" i="5"/>
  <c r="P25" i="5" s="1"/>
  <c r="N36" i="5"/>
  <c r="P36" i="5" s="1"/>
  <c r="I180" i="5"/>
  <c r="X187" i="7" s="1"/>
  <c r="N20" i="5"/>
  <c r="P20" i="5" s="1"/>
  <c r="E33" i="6" s="1"/>
  <c r="N5" i="5"/>
  <c r="P5" i="5" s="1"/>
  <c r="F54" i="5"/>
  <c r="W14" i="7" s="1"/>
  <c r="Q115" i="5"/>
  <c r="J119" i="1" s="1"/>
  <c r="L118" i="5"/>
  <c r="C122" i="1" s="1"/>
  <c r="Q5" i="5"/>
  <c r="J9" i="1" s="1"/>
  <c r="I13" i="5"/>
  <c r="X41" i="7" s="1"/>
  <c r="Q107" i="5"/>
  <c r="J111" i="1" s="1"/>
  <c r="I77" i="5"/>
  <c r="X16" i="7" s="1"/>
  <c r="I137" i="5"/>
  <c r="X143" i="7" s="1"/>
  <c r="N57" i="5"/>
  <c r="P57" i="5" s="1"/>
  <c r="E70" i="6" s="1"/>
  <c r="N107" i="5"/>
  <c r="P107" i="5" s="1"/>
  <c r="Q27" i="5"/>
  <c r="Z83" i="7" s="1"/>
  <c r="F60" i="5"/>
  <c r="W87" i="7" s="1"/>
  <c r="Q65" i="5"/>
  <c r="F78" i="6" s="1"/>
  <c r="I107" i="5"/>
  <c r="X95" i="7" s="1"/>
  <c r="F165" i="5"/>
  <c r="W171" i="7" s="1"/>
  <c r="Q203" i="5"/>
  <c r="J207" i="1" s="1"/>
  <c r="F168" i="5"/>
  <c r="E172" i="1" s="1"/>
  <c r="L121" i="5"/>
  <c r="C125" i="1" s="1"/>
  <c r="I11" i="5"/>
  <c r="X34" i="7" s="1"/>
  <c r="L30" i="5"/>
  <c r="C34" i="1" s="1"/>
  <c r="I52" i="5"/>
  <c r="X98" i="7" s="1"/>
  <c r="L60" i="5"/>
  <c r="N138" i="5"/>
  <c r="P138" i="5" s="1"/>
  <c r="L11" i="5"/>
  <c r="C15" i="1" s="1"/>
  <c r="I14" i="5"/>
  <c r="L52" i="5"/>
  <c r="C56" i="1" s="1"/>
  <c r="N83" i="5"/>
  <c r="P83" i="5" s="1"/>
  <c r="E96" i="6" s="1"/>
  <c r="I207" i="5"/>
  <c r="X214" i="7" s="1"/>
  <c r="Q132" i="5"/>
  <c r="F28" i="5"/>
  <c r="E32" i="1" s="1"/>
  <c r="F39" i="5"/>
  <c r="W49" i="7" s="1"/>
  <c r="F47" i="5"/>
  <c r="W77" i="7" s="1"/>
  <c r="I55" i="5"/>
  <c r="N119" i="5"/>
  <c r="P119" i="5" s="1"/>
  <c r="U119" i="5" s="1"/>
  <c r="N201" i="5"/>
  <c r="P201" i="5" s="1"/>
  <c r="AA208" i="7" s="1"/>
  <c r="L100" i="5"/>
  <c r="Y121" i="7" s="1"/>
  <c r="F114" i="5"/>
  <c r="E118" i="1" s="1"/>
  <c r="Q204" i="5"/>
  <c r="F217" i="6" s="1"/>
  <c r="F152" i="5"/>
  <c r="E156" i="1" s="1"/>
  <c r="N8" i="5"/>
  <c r="P8" i="5" s="1"/>
  <c r="I39" i="5"/>
  <c r="G43" i="1" s="1"/>
  <c r="L67" i="5"/>
  <c r="C71" i="1" s="1"/>
  <c r="F123" i="1"/>
  <c r="L149" i="5"/>
  <c r="C153" i="1" s="1"/>
  <c r="I204" i="5"/>
  <c r="G208" i="1" s="1"/>
  <c r="F156" i="1"/>
  <c r="I34" i="5"/>
  <c r="X37" i="7" s="1"/>
  <c r="I125" i="5"/>
  <c r="X129" i="7" s="1"/>
  <c r="Q68" i="5"/>
  <c r="J72" i="1" s="1"/>
  <c r="I194" i="5"/>
  <c r="X201" i="7" s="1"/>
  <c r="L28" i="5"/>
  <c r="Y97" i="7" s="1"/>
  <c r="F34" i="5"/>
  <c r="E38" i="1" s="1"/>
  <c r="L47" i="5"/>
  <c r="N73" i="5"/>
  <c r="P73" i="5" s="1"/>
  <c r="I169" i="5"/>
  <c r="G173" i="1" s="1"/>
  <c r="I29" i="5"/>
  <c r="X20" i="7" s="1"/>
  <c r="F111" i="1"/>
  <c r="F71" i="5"/>
  <c r="E75" i="1" s="1"/>
  <c r="L76" i="5"/>
  <c r="Y15" i="7" s="1"/>
  <c r="L125" i="5"/>
  <c r="Y129" i="7" s="1"/>
  <c r="L199" i="5"/>
  <c r="C203" i="1" s="1"/>
  <c r="L32" i="5"/>
  <c r="Y32" i="7" s="1"/>
  <c r="I43" i="5"/>
  <c r="X65" i="7" s="1"/>
  <c r="I74" i="5"/>
  <c r="X12" i="7" s="1"/>
  <c r="L98" i="5"/>
  <c r="C102" i="1" s="1"/>
  <c r="I109" i="5"/>
  <c r="X106" i="7" s="1"/>
  <c r="F156" i="5"/>
  <c r="W162" i="7" s="1"/>
  <c r="F178" i="5"/>
  <c r="E182" i="1" s="1"/>
  <c r="Q183" i="5"/>
  <c r="J187" i="1" s="1"/>
  <c r="I197" i="5"/>
  <c r="G201" i="1" s="1"/>
  <c r="E174" i="1"/>
  <c r="G176" i="1"/>
  <c r="Y198" i="7"/>
  <c r="C195" i="1"/>
  <c r="F115" i="5"/>
  <c r="E119" i="1" s="1"/>
  <c r="N192" i="5"/>
  <c r="P192" i="5" s="1"/>
  <c r="AA199" i="7" s="1"/>
  <c r="F20" i="5"/>
  <c r="E24" i="1" s="1"/>
  <c r="F86" i="5"/>
  <c r="W62" i="7" s="1"/>
  <c r="F94" i="5"/>
  <c r="E98" i="1" s="1"/>
  <c r="F102" i="5"/>
  <c r="E106" i="1" s="1"/>
  <c r="F160" i="5"/>
  <c r="N170" i="5"/>
  <c r="P170" i="5" s="1"/>
  <c r="I4" i="5"/>
  <c r="X23" i="7" s="1"/>
  <c r="L15" i="5"/>
  <c r="Y47" i="7" s="1"/>
  <c r="I20" i="5"/>
  <c r="X68" i="7" s="1"/>
  <c r="L36" i="5"/>
  <c r="Q46" i="5"/>
  <c r="F59" i="6" s="1"/>
  <c r="I115" i="5"/>
  <c r="X113" i="7" s="1"/>
  <c r="I128" i="5"/>
  <c r="X132" i="7" s="1"/>
  <c r="F131" i="5"/>
  <c r="E135" i="1" s="1"/>
  <c r="Q141" i="5"/>
  <c r="J145" i="1" s="1"/>
  <c r="F155" i="5"/>
  <c r="W161" i="7" s="1"/>
  <c r="F206" i="5"/>
  <c r="W213" i="7" s="1"/>
  <c r="I7" i="5"/>
  <c r="X29" i="7" s="1"/>
  <c r="F14" i="1"/>
  <c r="N7" i="5"/>
  <c r="P7" i="5" s="1"/>
  <c r="AA29" i="7" s="1"/>
  <c r="I41" i="5"/>
  <c r="X54" i="7" s="1"/>
  <c r="I86" i="5"/>
  <c r="X62" i="7" s="1"/>
  <c r="Q165" i="5"/>
  <c r="J169" i="1" s="1"/>
  <c r="F18" i="5"/>
  <c r="W59" i="7" s="1"/>
  <c r="N44" i="5"/>
  <c r="P44" i="5" s="1"/>
  <c r="E57" i="6" s="1"/>
  <c r="Q49" i="5"/>
  <c r="J53" i="1" s="1"/>
  <c r="I65" i="5"/>
  <c r="X85" i="7" s="1"/>
  <c r="Q73" i="5"/>
  <c r="J77" i="1" s="1"/>
  <c r="I81" i="5"/>
  <c r="X51" i="7" s="1"/>
  <c r="Q83" i="5"/>
  <c r="J87" i="1" s="1"/>
  <c r="Q97" i="5"/>
  <c r="Z104" i="7" s="1"/>
  <c r="N110" i="5"/>
  <c r="P110" i="5" s="1"/>
  <c r="U110" i="5" s="1"/>
  <c r="L128" i="5"/>
  <c r="I131" i="5"/>
  <c r="X137" i="7" s="1"/>
  <c r="F142" i="5"/>
  <c r="W148" i="7" s="1"/>
  <c r="F150" i="5"/>
  <c r="W156" i="7" s="1"/>
  <c r="I187" i="5"/>
  <c r="X194" i="7" s="1"/>
  <c r="N190" i="5"/>
  <c r="P190" i="5" s="1"/>
  <c r="E203" i="6" s="1"/>
  <c r="I201" i="5"/>
  <c r="N10" i="5"/>
  <c r="P10" i="5" s="1"/>
  <c r="E23" i="6" s="1"/>
  <c r="Q20" i="5"/>
  <c r="J24" i="1" s="1"/>
  <c r="N62" i="5"/>
  <c r="P62" i="5" s="1"/>
  <c r="AA89" i="7" s="1"/>
  <c r="L94" i="5"/>
  <c r="L123" i="5"/>
  <c r="Y127" i="7" s="1"/>
  <c r="L168" i="5"/>
  <c r="C172" i="1" s="1"/>
  <c r="I47" i="5"/>
  <c r="L65" i="5"/>
  <c r="C69" i="1" s="1"/>
  <c r="I84" i="5"/>
  <c r="Q100" i="5"/>
  <c r="J104" i="1" s="1"/>
  <c r="L187" i="5"/>
  <c r="C191" i="1" s="1"/>
  <c r="L193" i="5"/>
  <c r="C197" i="1" s="1"/>
  <c r="L206" i="5"/>
  <c r="Y213" i="7" s="1"/>
  <c r="N60" i="5"/>
  <c r="P60" i="5" s="1"/>
  <c r="AA87" i="7" s="1"/>
  <c r="Q86" i="5"/>
  <c r="L105" i="5"/>
  <c r="C109" i="1" s="1"/>
  <c r="F137" i="5"/>
  <c r="E141" i="1" s="1"/>
  <c r="L147" i="5"/>
  <c r="C151" i="1" s="1"/>
  <c r="F21" i="5"/>
  <c r="F95" i="5"/>
  <c r="E99" i="1" s="1"/>
  <c r="N129" i="5"/>
  <c r="P129" i="5" s="1"/>
  <c r="U129" i="5" s="1"/>
  <c r="N145" i="5"/>
  <c r="P145" i="5" s="1"/>
  <c r="U145" i="5" s="1"/>
  <c r="L163" i="5"/>
  <c r="Y169" i="7" s="1"/>
  <c r="N18" i="5"/>
  <c r="P18" i="5" s="1"/>
  <c r="U18" i="5" s="1"/>
  <c r="L18" i="5"/>
  <c r="C22" i="1" s="1"/>
  <c r="Q26" i="5"/>
  <c r="J30" i="1" s="1"/>
  <c r="L50" i="5"/>
  <c r="C54" i="1" s="1"/>
  <c r="N58" i="5"/>
  <c r="P58" i="5" s="1"/>
  <c r="U58" i="5" s="1"/>
  <c r="I103" i="5"/>
  <c r="G107" i="1" s="1"/>
  <c r="Q108" i="5"/>
  <c r="F121" i="6" s="1"/>
  <c r="F119" i="5"/>
  <c r="N142" i="5"/>
  <c r="P142" i="5" s="1"/>
  <c r="U142" i="5" s="1"/>
  <c r="F148" i="5"/>
  <c r="E152" i="1" s="1"/>
  <c r="F180" i="5"/>
  <c r="W187" i="7" s="1"/>
  <c r="N188" i="5"/>
  <c r="P188" i="5" s="1"/>
  <c r="E201" i="6" s="1"/>
  <c r="Q188" i="5"/>
  <c r="J192" i="1" s="1"/>
  <c r="F207" i="5"/>
  <c r="E211" i="1" s="1"/>
  <c r="N37" i="5"/>
  <c r="P37" i="5" s="1"/>
  <c r="U37" i="5" s="1"/>
  <c r="Q74" i="5"/>
  <c r="J78" i="1" s="1"/>
  <c r="F106" i="5"/>
  <c r="E110" i="1" s="1"/>
  <c r="I124" i="5"/>
  <c r="X128" i="7" s="1"/>
  <c r="F29" i="5"/>
  <c r="L13" i="5"/>
  <c r="Q16" i="5"/>
  <c r="Z48" i="7" s="1"/>
  <c r="N66" i="5"/>
  <c r="P66" i="5" s="1"/>
  <c r="U66" i="5" s="1"/>
  <c r="F101" i="1"/>
  <c r="F189" i="1"/>
  <c r="L3" i="5"/>
  <c r="C7" i="1" s="1"/>
  <c r="L34" i="5"/>
  <c r="C38" i="1" s="1"/>
  <c r="L42" i="5"/>
  <c r="Y57" i="7" s="1"/>
  <c r="Q47" i="5"/>
  <c r="J51" i="1" s="1"/>
  <c r="N61" i="5"/>
  <c r="P61" i="5" s="1"/>
  <c r="U61" i="5" s="1"/>
  <c r="L71" i="5"/>
  <c r="Y101" i="7" s="1"/>
  <c r="I82" i="5"/>
  <c r="I119" i="5"/>
  <c r="I143" i="5"/>
  <c r="X149" i="7" s="1"/>
  <c r="I156" i="5"/>
  <c r="X162" i="7" s="1"/>
  <c r="Q164" i="5"/>
  <c r="J168" i="1" s="1"/>
  <c r="I167" i="5"/>
  <c r="G171" i="1" s="1"/>
  <c r="I199" i="5"/>
  <c r="N202" i="5"/>
  <c r="P202" i="5" s="1"/>
  <c r="E215" i="6" s="1"/>
  <c r="L39" i="5"/>
  <c r="C43" i="1" s="1"/>
  <c r="N47" i="5"/>
  <c r="P47" i="5" s="1"/>
  <c r="I66" i="5"/>
  <c r="I135" i="5"/>
  <c r="G139" i="1" s="1"/>
  <c r="I164" i="5"/>
  <c r="X170" i="7" s="1"/>
  <c r="N167" i="5"/>
  <c r="P167" i="5" s="1"/>
  <c r="E180" i="6" s="1"/>
  <c r="F13" i="5"/>
  <c r="W41" i="7" s="1"/>
  <c r="L14" i="5"/>
  <c r="Y42" i="7" s="1"/>
  <c r="L119" i="5"/>
  <c r="Y118" i="7" s="1"/>
  <c r="L156" i="5"/>
  <c r="C160" i="1" s="1"/>
  <c r="Q8" i="5"/>
  <c r="F21" i="6" s="1"/>
  <c r="F138" i="5"/>
  <c r="E142" i="1" s="1"/>
  <c r="L45" i="5"/>
  <c r="C49" i="1" s="1"/>
  <c r="L59" i="5"/>
  <c r="Y86" i="7" s="1"/>
  <c r="N72" i="5"/>
  <c r="P72" i="5" s="1"/>
  <c r="U72" i="5" s="1"/>
  <c r="I122" i="5"/>
  <c r="N156" i="5"/>
  <c r="P156" i="5" s="1"/>
  <c r="AA162" i="7" s="1"/>
  <c r="I159" i="5"/>
  <c r="X165" i="7" s="1"/>
  <c r="Q205" i="5"/>
  <c r="F35" i="5"/>
  <c r="W38" i="7" s="1"/>
  <c r="I6" i="5"/>
  <c r="X28" i="7" s="1"/>
  <c r="L19" i="5"/>
  <c r="C23" i="1" s="1"/>
  <c r="N22" i="5"/>
  <c r="P22" i="5" s="1"/>
  <c r="L51" i="5"/>
  <c r="C55" i="1" s="1"/>
  <c r="F59" i="5"/>
  <c r="W86" i="7" s="1"/>
  <c r="L77" i="5"/>
  <c r="C81" i="1" s="1"/>
  <c r="I83" i="5"/>
  <c r="G87" i="1" s="1"/>
  <c r="I117" i="5"/>
  <c r="X116" i="7" s="1"/>
  <c r="L127" i="5"/>
  <c r="C131" i="1" s="1"/>
  <c r="I138" i="5"/>
  <c r="X144" i="7" s="1"/>
  <c r="L143" i="5"/>
  <c r="Y149" i="7" s="1"/>
  <c r="Q151" i="5"/>
  <c r="Q156" i="5"/>
  <c r="J160" i="1" s="1"/>
  <c r="Q162" i="5"/>
  <c r="J166" i="1" s="1"/>
  <c r="L175" i="5"/>
  <c r="Y182" i="7" s="1"/>
  <c r="L183" i="5"/>
  <c r="C187" i="1" s="1"/>
  <c r="N189" i="5"/>
  <c r="P189" i="5" s="1"/>
  <c r="AA196" i="7" s="1"/>
  <c r="N205" i="5"/>
  <c r="P205" i="5" s="1"/>
  <c r="U205" i="5" s="1"/>
  <c r="L162" i="5"/>
  <c r="Y168" i="7" s="1"/>
  <c r="L164" i="5"/>
  <c r="C168" i="1" s="1"/>
  <c r="N17" i="5"/>
  <c r="P17" i="5" s="1"/>
  <c r="AA58" i="7" s="1"/>
  <c r="Q22" i="5"/>
  <c r="Z72" i="7" s="1"/>
  <c r="F25" i="5"/>
  <c r="W76" i="7" s="1"/>
  <c r="L27" i="5"/>
  <c r="I30" i="5"/>
  <c r="X26" i="7" s="1"/>
  <c r="N35" i="5"/>
  <c r="P35" i="5" s="1"/>
  <c r="U35" i="5" s="1"/>
  <c r="N75" i="5"/>
  <c r="P75" i="5" s="1"/>
  <c r="U75" i="5" s="1"/>
  <c r="N99" i="5"/>
  <c r="P99" i="5" s="1"/>
  <c r="E112" i="6" s="1"/>
  <c r="L122" i="5"/>
  <c r="C126" i="1" s="1"/>
  <c r="N125" i="5"/>
  <c r="P125" i="5" s="1"/>
  <c r="AA129" i="7" s="1"/>
  <c r="F149" i="5"/>
  <c r="E153" i="1" s="1"/>
  <c r="D24" i="1"/>
  <c r="D136" i="1"/>
  <c r="I27" i="5"/>
  <c r="G31" i="1" s="1"/>
  <c r="F9" i="1"/>
  <c r="F149" i="1"/>
  <c r="H69" i="1"/>
  <c r="Q51" i="5"/>
  <c r="N64" i="5"/>
  <c r="P64" i="5" s="1"/>
  <c r="L91" i="5"/>
  <c r="F107" i="5"/>
  <c r="E111" i="1" s="1"/>
  <c r="F112" i="5"/>
  <c r="E116" i="1" s="1"/>
  <c r="L117" i="5"/>
  <c r="L120" i="5"/>
  <c r="Y124" i="7" s="1"/>
  <c r="I133" i="5"/>
  <c r="N136" i="5"/>
  <c r="P136" i="5" s="1"/>
  <c r="AA142" i="7" s="1"/>
  <c r="L138" i="5"/>
  <c r="C142" i="1" s="1"/>
  <c r="N154" i="5"/>
  <c r="P154" i="5" s="1"/>
  <c r="E167" i="6" s="1"/>
  <c r="I192" i="5"/>
  <c r="X199" i="7" s="1"/>
  <c r="L203" i="5"/>
  <c r="C207" i="1" s="1"/>
  <c r="F104" i="5"/>
  <c r="N104" i="5"/>
  <c r="P104" i="5" s="1"/>
  <c r="U104" i="5" s="1"/>
  <c r="F70" i="5"/>
  <c r="F127" i="5"/>
  <c r="E131" i="1" s="1"/>
  <c r="N127" i="5"/>
  <c r="P127" i="5" s="1"/>
  <c r="AA131" i="7" s="1"/>
  <c r="Q177" i="5"/>
  <c r="J181" i="1" s="1"/>
  <c r="F181" i="1"/>
  <c r="I19" i="5"/>
  <c r="Q40" i="5"/>
  <c r="J44" i="1" s="1"/>
  <c r="F44" i="1"/>
  <c r="N55" i="5"/>
  <c r="P55" i="5" s="1"/>
  <c r="AA17" i="7" s="1"/>
  <c r="Q60" i="5"/>
  <c r="Z87" i="7" s="1"/>
  <c r="Q196" i="5"/>
  <c r="J200" i="1" s="1"/>
  <c r="F200" i="1"/>
  <c r="F50" i="5"/>
  <c r="W82" i="7" s="1"/>
  <c r="I60" i="5"/>
  <c r="X87" i="7" s="1"/>
  <c r="F19" i="5"/>
  <c r="N19" i="5"/>
  <c r="P19" i="5" s="1"/>
  <c r="I53" i="5"/>
  <c r="X99" i="7" s="1"/>
  <c r="L53" i="5"/>
  <c r="C57" i="1" s="1"/>
  <c r="F23" i="1"/>
  <c r="Q19" i="5"/>
  <c r="N40" i="5"/>
  <c r="P40" i="5" s="1"/>
  <c r="AA50" i="7" s="1"/>
  <c r="H50" i="1"/>
  <c r="F164" i="5"/>
  <c r="E168" i="1" s="1"/>
  <c r="N164" i="5"/>
  <c r="P164" i="5" s="1"/>
  <c r="E177" i="6" s="1"/>
  <c r="N206" i="5"/>
  <c r="P206" i="5" s="1"/>
  <c r="AA213" i="7" s="1"/>
  <c r="F97" i="5"/>
  <c r="L97" i="5"/>
  <c r="C101" i="1" s="1"/>
  <c r="Q161" i="5"/>
  <c r="D165" i="1"/>
  <c r="Q191" i="5"/>
  <c r="J195" i="1" s="1"/>
  <c r="F195" i="1"/>
  <c r="Q35" i="5"/>
  <c r="H39" i="1"/>
  <c r="Q133" i="5"/>
  <c r="J137" i="1" s="1"/>
  <c r="F137" i="1"/>
  <c r="F7" i="5"/>
  <c r="I97" i="5"/>
  <c r="F120" i="5"/>
  <c r="W124" i="7" s="1"/>
  <c r="N122" i="5"/>
  <c r="P122" i="5" s="1"/>
  <c r="E135" i="6" s="1"/>
  <c r="Q159" i="5"/>
  <c r="J163" i="1" s="1"/>
  <c r="N194" i="5"/>
  <c r="P194" i="5" s="1"/>
  <c r="E207" i="6" s="1"/>
  <c r="Q94" i="5"/>
  <c r="J98" i="1" s="1"/>
  <c r="Q112" i="5"/>
  <c r="J116" i="1" s="1"/>
  <c r="D116" i="1"/>
  <c r="F110" i="5"/>
  <c r="E114" i="1" s="1"/>
  <c r="Q154" i="5"/>
  <c r="F167" i="6" s="1"/>
  <c r="D158" i="1"/>
  <c r="F197" i="5"/>
  <c r="E201" i="1" s="1"/>
  <c r="N197" i="5"/>
  <c r="P197" i="5" s="1"/>
  <c r="U197" i="5" s="1"/>
  <c r="Q105" i="5"/>
  <c r="J109" i="1" s="1"/>
  <c r="D109" i="1"/>
  <c r="F118" i="5"/>
  <c r="N118" i="5"/>
  <c r="P118" i="5" s="1"/>
  <c r="E131" i="6" s="1"/>
  <c r="I2" i="5"/>
  <c r="X21" i="7" s="1"/>
  <c r="L79" i="5"/>
  <c r="L115" i="5"/>
  <c r="C119" i="1" s="1"/>
  <c r="F139" i="5"/>
  <c r="W145" i="7" s="1"/>
  <c r="F147" i="5"/>
  <c r="N147" i="5"/>
  <c r="P147" i="5" s="1"/>
  <c r="E160" i="6" s="1"/>
  <c r="Q149" i="5"/>
  <c r="J153" i="1" s="1"/>
  <c r="D153" i="1"/>
  <c r="N90" i="5"/>
  <c r="P90" i="5" s="1"/>
  <c r="U90" i="5" s="1"/>
  <c r="F90" i="5"/>
  <c r="E94" i="1" s="1"/>
  <c r="Q110" i="5"/>
  <c r="J114" i="1" s="1"/>
  <c r="F117" i="1"/>
  <c r="Q113" i="5"/>
  <c r="F126" i="6" s="1"/>
  <c r="F108" i="5"/>
  <c r="L74" i="5"/>
  <c r="C78" i="1" s="1"/>
  <c r="N82" i="5"/>
  <c r="P82" i="5" s="1"/>
  <c r="AA52" i="7" s="1"/>
  <c r="W61" i="7"/>
  <c r="F40" i="1"/>
  <c r="Q36" i="5"/>
  <c r="F49" i="6" s="1"/>
  <c r="F77" i="5"/>
  <c r="W16" i="7" s="1"/>
  <c r="N77" i="5"/>
  <c r="P77" i="5" s="1"/>
  <c r="U77" i="5" s="1"/>
  <c r="F35" i="1"/>
  <c r="Q31" i="5"/>
  <c r="J35" i="1" s="1"/>
  <c r="L101" i="5"/>
  <c r="C105" i="1" s="1"/>
  <c r="X59" i="7"/>
  <c r="N26" i="5"/>
  <c r="P26" i="5" s="1"/>
  <c r="AA78" i="7" s="1"/>
  <c r="F26" i="5"/>
  <c r="E30" i="1" s="1"/>
  <c r="X24" i="7"/>
  <c r="H81" i="1"/>
  <c r="Q77" i="5"/>
  <c r="J81" i="1" s="1"/>
  <c r="Q98" i="5"/>
  <c r="H102" i="1"/>
  <c r="I150" i="5"/>
  <c r="G154" i="1" s="1"/>
  <c r="H30" i="1"/>
  <c r="F105" i="1"/>
  <c r="Q101" i="5"/>
  <c r="J105" i="1" s="1"/>
  <c r="I106" i="5"/>
  <c r="X94" i="7" s="1"/>
  <c r="X125" i="7"/>
  <c r="G125" i="1"/>
  <c r="L192" i="5"/>
  <c r="Y199" i="7" s="1"/>
  <c r="F184" i="1"/>
  <c r="Q180" i="5"/>
  <c r="J184" i="1" s="1"/>
  <c r="Q206" i="5"/>
  <c r="J210" i="1" s="1"/>
  <c r="F210" i="1"/>
  <c r="Q173" i="5"/>
  <c r="F186" i="6" s="1"/>
  <c r="H177" i="1"/>
  <c r="L194" i="5"/>
  <c r="Y201" i="7" s="1"/>
  <c r="Q91" i="5"/>
  <c r="Z79" i="7" s="1"/>
  <c r="F95" i="1"/>
  <c r="Q176" i="5"/>
  <c r="F52" i="1"/>
  <c r="Q48" i="5"/>
  <c r="J52" i="1" s="1"/>
  <c r="I104" i="5"/>
  <c r="F133" i="1"/>
  <c r="Q129" i="5"/>
  <c r="F142" i="6" s="1"/>
  <c r="F192" i="5"/>
  <c r="E196" i="1" s="1"/>
  <c r="I48" i="5"/>
  <c r="F51" i="5"/>
  <c r="E55" i="1" s="1"/>
  <c r="Q99" i="5"/>
  <c r="J103" i="1" s="1"/>
  <c r="F103" i="1"/>
  <c r="L202" i="5"/>
  <c r="C206" i="1" s="1"/>
  <c r="L23" i="5"/>
  <c r="Y73" i="7" s="1"/>
  <c r="L70" i="5"/>
  <c r="L104" i="5"/>
  <c r="C108" i="1" s="1"/>
  <c r="Q126" i="5"/>
  <c r="Z130" i="7" s="1"/>
  <c r="N94" i="5"/>
  <c r="P94" i="5" s="1"/>
  <c r="AA91" i="7" s="1"/>
  <c r="F135" i="5"/>
  <c r="N135" i="5"/>
  <c r="P135" i="5" s="1"/>
  <c r="AA141" i="7" s="1"/>
  <c r="Q166" i="5"/>
  <c r="J170" i="1" s="1"/>
  <c r="F170" i="1"/>
  <c r="Q171" i="5"/>
  <c r="J175" i="1" s="1"/>
  <c r="L174" i="5"/>
  <c r="C178" i="1" s="1"/>
  <c r="I190" i="5"/>
  <c r="F190" i="5"/>
  <c r="W197" i="7" s="1"/>
  <c r="L2" i="5"/>
  <c r="Y21" i="7" s="1"/>
  <c r="Q23" i="5"/>
  <c r="F36" i="6" s="1"/>
  <c r="Q30" i="5"/>
  <c r="L73" i="5"/>
  <c r="Y11" i="7" s="1"/>
  <c r="N86" i="5"/>
  <c r="P86" i="5" s="1"/>
  <c r="U86" i="5" s="1"/>
  <c r="L86" i="5"/>
  <c r="I94" i="5"/>
  <c r="L161" i="5"/>
  <c r="Y167" i="7" s="1"/>
  <c r="F174" i="5"/>
  <c r="F182" i="5"/>
  <c r="W189" i="7" s="1"/>
  <c r="F130" i="5"/>
  <c r="E134" i="1" s="1"/>
  <c r="N177" i="5"/>
  <c r="P177" i="5" s="1"/>
  <c r="U177" i="5" s="1"/>
  <c r="N4" i="5"/>
  <c r="P4" i="5" s="1"/>
  <c r="E17" i="6" s="1"/>
  <c r="N6" i="5"/>
  <c r="P6" i="5" s="1"/>
  <c r="N16" i="5"/>
  <c r="P16" i="5" s="1"/>
  <c r="U16" i="5" s="1"/>
  <c r="L26" i="5"/>
  <c r="C30" i="1" s="1"/>
  <c r="Q62" i="5"/>
  <c r="I89" i="5"/>
  <c r="X69" i="7" s="1"/>
  <c r="F89" i="5"/>
  <c r="E93" i="1" s="1"/>
  <c r="N101" i="5"/>
  <c r="P101" i="5" s="1"/>
  <c r="U101" i="5" s="1"/>
  <c r="F122" i="5"/>
  <c r="F132" i="5"/>
  <c r="N132" i="5"/>
  <c r="P132" i="5" s="1"/>
  <c r="AA138" i="7" s="1"/>
  <c r="I139" i="5"/>
  <c r="N171" i="5"/>
  <c r="P171" i="5" s="1"/>
  <c r="U171" i="5" s="1"/>
  <c r="N179" i="5"/>
  <c r="P179" i="5" s="1"/>
  <c r="AA186" i="7" s="1"/>
  <c r="Q184" i="5"/>
  <c r="J188" i="1" s="1"/>
  <c r="F204" i="5"/>
  <c r="W211" i="7" s="1"/>
  <c r="I206" i="5"/>
  <c r="X213" i="7" s="1"/>
  <c r="I70" i="5"/>
  <c r="X135" i="7" s="1"/>
  <c r="Q92" i="5"/>
  <c r="J96" i="1" s="1"/>
  <c r="N97" i="5"/>
  <c r="P97" i="5" s="1"/>
  <c r="AA104" i="7" s="1"/>
  <c r="I108" i="5"/>
  <c r="G112" i="1" s="1"/>
  <c r="N120" i="5"/>
  <c r="P120" i="5" s="1"/>
  <c r="U120" i="5" s="1"/>
  <c r="Q135" i="5"/>
  <c r="Z141" i="7" s="1"/>
  <c r="Q174" i="5"/>
  <c r="J178" i="1" s="1"/>
  <c r="D178" i="1"/>
  <c r="Q192" i="5"/>
  <c r="Q197" i="5"/>
  <c r="J201" i="1" s="1"/>
  <c r="I202" i="5"/>
  <c r="X209" i="7" s="1"/>
  <c r="I17" i="5"/>
  <c r="L21" i="5"/>
  <c r="Y71" i="7" s="1"/>
  <c r="I24" i="5"/>
  <c r="X74" i="7" s="1"/>
  <c r="Q41" i="5"/>
  <c r="F54" i="6" s="1"/>
  <c r="L48" i="5"/>
  <c r="Y80" i="7" s="1"/>
  <c r="N63" i="5"/>
  <c r="P63" i="5" s="1"/>
  <c r="E76" i="6" s="1"/>
  <c r="F75" i="5"/>
  <c r="F80" i="5"/>
  <c r="E84" i="1" s="1"/>
  <c r="Q104" i="5"/>
  <c r="J108" i="1" s="1"/>
  <c r="Q150" i="5"/>
  <c r="L182" i="5"/>
  <c r="Y189" i="7" s="1"/>
  <c r="F200" i="5"/>
  <c r="E204" i="1" s="1"/>
  <c r="N204" i="5"/>
  <c r="P204" i="5" s="1"/>
  <c r="AA211" i="7" s="1"/>
  <c r="L12" i="5"/>
  <c r="C16" i="1" s="1"/>
  <c r="L17" i="5"/>
  <c r="I51" i="5"/>
  <c r="G55" i="1" s="1"/>
  <c r="I63" i="5"/>
  <c r="X115" i="7" s="1"/>
  <c r="I80" i="5"/>
  <c r="Q106" i="5"/>
  <c r="J110" i="1" s="1"/>
  <c r="F111" i="5"/>
  <c r="W108" i="7" s="1"/>
  <c r="Q138" i="5"/>
  <c r="J142" i="1" s="1"/>
  <c r="F143" i="5"/>
  <c r="N143" i="5"/>
  <c r="P143" i="5" s="1"/>
  <c r="E156" i="6" s="1"/>
  <c r="L167" i="5"/>
  <c r="C171" i="1" s="1"/>
  <c r="L29" i="5"/>
  <c r="Y20" i="7" s="1"/>
  <c r="F44" i="5"/>
  <c r="E48" i="1" s="1"/>
  <c r="Q143" i="5"/>
  <c r="J147" i="1" s="1"/>
  <c r="F147" i="1"/>
  <c r="N155" i="5"/>
  <c r="P155" i="5" s="1"/>
  <c r="E168" i="6" s="1"/>
  <c r="L197" i="5"/>
  <c r="G109" i="1"/>
  <c r="F49" i="5"/>
  <c r="L80" i="5"/>
  <c r="N85" i="5"/>
  <c r="P85" i="5" s="1"/>
  <c r="U85" i="5" s="1"/>
  <c r="Q87" i="5"/>
  <c r="J91" i="1" s="1"/>
  <c r="D91" i="1"/>
  <c r="Q111" i="5"/>
  <c r="F115" i="1"/>
  <c r="F136" i="5"/>
  <c r="E140" i="1" s="1"/>
  <c r="N150" i="5"/>
  <c r="P150" i="5" s="1"/>
  <c r="AA156" i="7" s="1"/>
  <c r="I155" i="5"/>
  <c r="X161" i="7" s="1"/>
  <c r="Q157" i="5"/>
  <c r="F170" i="6" s="1"/>
  <c r="H161" i="1"/>
  <c r="F183" i="5"/>
  <c r="W190" i="7" s="1"/>
  <c r="F188" i="5"/>
  <c r="W195" i="7" s="1"/>
  <c r="F195" i="5"/>
  <c r="W202" i="7" s="1"/>
  <c r="I170" i="5"/>
  <c r="G174" i="1" s="1"/>
  <c r="I205" i="5"/>
  <c r="F65" i="1"/>
  <c r="Q61" i="5"/>
  <c r="J65" i="1" s="1"/>
  <c r="Q80" i="5"/>
  <c r="F93" i="6" s="1"/>
  <c r="I165" i="5"/>
  <c r="L190" i="5"/>
  <c r="C194" i="1" s="1"/>
  <c r="F96" i="1"/>
  <c r="D110" i="1"/>
  <c r="L8" i="5"/>
  <c r="Y30" i="7" s="1"/>
  <c r="I8" i="5"/>
  <c r="X30" i="7" s="1"/>
  <c r="Q15" i="5"/>
  <c r="J19" i="1" s="1"/>
  <c r="F78" i="5"/>
  <c r="N80" i="5"/>
  <c r="P80" i="5" s="1"/>
  <c r="E93" i="6" s="1"/>
  <c r="L85" i="5"/>
  <c r="Y61" i="7" s="1"/>
  <c r="L88" i="5"/>
  <c r="C92" i="1" s="1"/>
  <c r="F93" i="5"/>
  <c r="E97" i="1" s="1"/>
  <c r="L102" i="5"/>
  <c r="C106" i="1" s="1"/>
  <c r="F105" i="5"/>
  <c r="Q121" i="5"/>
  <c r="N126" i="5"/>
  <c r="P126" i="5" s="1"/>
  <c r="E139" i="6" s="1"/>
  <c r="I153" i="5"/>
  <c r="N183" i="5"/>
  <c r="P183" i="5" s="1"/>
  <c r="U183" i="5" s="1"/>
  <c r="L186" i="5"/>
  <c r="I188" i="5"/>
  <c r="X195" i="7" s="1"/>
  <c r="Q190" i="5"/>
  <c r="D194" i="1"/>
  <c r="I195" i="5"/>
  <c r="X202" i="7" s="1"/>
  <c r="F201" i="1"/>
  <c r="F30" i="5"/>
  <c r="N30" i="5"/>
  <c r="P30" i="5" s="1"/>
  <c r="AA26" i="7" s="1"/>
  <c r="Q32" i="5"/>
  <c r="J36" i="1" s="1"/>
  <c r="I35" i="5"/>
  <c r="X38" i="7" s="1"/>
  <c r="Q37" i="5"/>
  <c r="F41" i="1"/>
  <c r="F42" i="5"/>
  <c r="E46" i="1" s="1"/>
  <c r="L44" i="5"/>
  <c r="Y66" i="7" s="1"/>
  <c r="I59" i="5"/>
  <c r="X86" i="7" s="1"/>
  <c r="F126" i="5"/>
  <c r="E130" i="1" s="1"/>
  <c r="N146" i="5"/>
  <c r="P146" i="5" s="1"/>
  <c r="AA152" i="7" s="1"/>
  <c r="F146" i="5"/>
  <c r="E150" i="1" s="1"/>
  <c r="I151" i="5"/>
  <c r="L151" i="5"/>
  <c r="N165" i="5"/>
  <c r="P165" i="5" s="1"/>
  <c r="AA171" i="7" s="1"/>
  <c r="W175" i="7"/>
  <c r="I178" i="5"/>
  <c r="N186" i="5"/>
  <c r="P186" i="5" s="1"/>
  <c r="AA193" i="7" s="1"/>
  <c r="Q195" i="5"/>
  <c r="Z202" i="7" s="1"/>
  <c r="F196" i="1"/>
  <c r="Q59" i="5"/>
  <c r="J63" i="1" s="1"/>
  <c r="L61" i="5"/>
  <c r="C65" i="1" s="1"/>
  <c r="F64" i="5"/>
  <c r="E68" i="1" s="1"/>
  <c r="I78" i="5"/>
  <c r="X18" i="7" s="1"/>
  <c r="N134" i="5"/>
  <c r="P134" i="5" s="1"/>
  <c r="AA140" i="7" s="1"/>
  <c r="L136" i="5"/>
  <c r="F151" i="5"/>
  <c r="L153" i="5"/>
  <c r="Y159" i="7" s="1"/>
  <c r="F173" i="5"/>
  <c r="F186" i="5"/>
  <c r="E190" i="1" s="1"/>
  <c r="L188" i="5"/>
  <c r="Y195" i="7" s="1"/>
  <c r="L195" i="5"/>
  <c r="C199" i="1" s="1"/>
  <c r="F104" i="1"/>
  <c r="L49" i="5"/>
  <c r="Y81" i="7" s="1"/>
  <c r="Q54" i="5"/>
  <c r="F75" i="1"/>
  <c r="Q71" i="5"/>
  <c r="J75" i="1" s="1"/>
  <c r="Q93" i="5"/>
  <c r="F106" i="6" s="1"/>
  <c r="F98" i="5"/>
  <c r="I98" i="5"/>
  <c r="X105" i="7" s="1"/>
  <c r="I126" i="5"/>
  <c r="X130" i="7" s="1"/>
  <c r="Q131" i="5"/>
  <c r="Q134" i="5"/>
  <c r="J138" i="1" s="1"/>
  <c r="L148" i="5"/>
  <c r="C152" i="1" s="1"/>
  <c r="N168" i="5"/>
  <c r="P168" i="5" s="1"/>
  <c r="AA175" i="7" s="1"/>
  <c r="L176" i="5"/>
  <c r="Y183" i="7" s="1"/>
  <c r="L178" i="5"/>
  <c r="C182" i="1" s="1"/>
  <c r="F181" i="5"/>
  <c r="E185" i="1" s="1"/>
  <c r="Q186" i="5"/>
  <c r="J190" i="1" s="1"/>
  <c r="F45" i="1"/>
  <c r="F53" i="1"/>
  <c r="F77" i="1"/>
  <c r="D84" i="1"/>
  <c r="F154" i="1"/>
  <c r="F166" i="1"/>
  <c r="Q18" i="5"/>
  <c r="J22" i="1" s="1"/>
  <c r="L54" i="5"/>
  <c r="Y14" i="7" s="1"/>
  <c r="U57" i="5"/>
  <c r="I64" i="5"/>
  <c r="I76" i="5"/>
  <c r="X15" i="7" s="1"/>
  <c r="L78" i="5"/>
  <c r="Y18" i="7" s="1"/>
  <c r="L93" i="5"/>
  <c r="L129" i="5"/>
  <c r="C133" i="1" s="1"/>
  <c r="N131" i="5"/>
  <c r="P131" i="5" s="1"/>
  <c r="U131" i="5" s="1"/>
  <c r="L141" i="5"/>
  <c r="Q148" i="5"/>
  <c r="J152" i="1" s="1"/>
  <c r="I173" i="5"/>
  <c r="I186" i="5"/>
  <c r="I193" i="5"/>
  <c r="L7" i="5"/>
  <c r="Y29" i="7" s="1"/>
  <c r="I12" i="5"/>
  <c r="G16" i="1" s="1"/>
  <c r="Q21" i="5"/>
  <c r="J25" i="1" s="1"/>
  <c r="I33" i="5"/>
  <c r="X35" i="7" s="1"/>
  <c r="L35" i="5"/>
  <c r="C39" i="1" s="1"/>
  <c r="I38" i="5"/>
  <c r="X44" i="7" s="1"/>
  <c r="I40" i="5"/>
  <c r="X50" i="7" s="1"/>
  <c r="Q45" i="5"/>
  <c r="J49" i="1" s="1"/>
  <c r="N81" i="5"/>
  <c r="P81" i="5" s="1"/>
  <c r="AA51" i="7" s="1"/>
  <c r="L83" i="5"/>
  <c r="Y53" i="7" s="1"/>
  <c r="L90" i="5"/>
  <c r="Y70" i="7" s="1"/>
  <c r="I100" i="5"/>
  <c r="X121" i="7" s="1"/>
  <c r="Q127" i="5"/>
  <c r="J131" i="1" s="1"/>
  <c r="I148" i="5"/>
  <c r="X154" i="7" s="1"/>
  <c r="F153" i="5"/>
  <c r="E157" i="1" s="1"/>
  <c r="F157" i="5"/>
  <c r="E161" i="1" s="1"/>
  <c r="I162" i="5"/>
  <c r="X168" i="7" s="1"/>
  <c r="Q169" i="5"/>
  <c r="J173" i="1" s="1"/>
  <c r="Q179" i="5"/>
  <c r="L181" i="5"/>
  <c r="C185" i="1" s="1"/>
  <c r="N193" i="5"/>
  <c r="P193" i="5" s="1"/>
  <c r="AA200" i="7" s="1"/>
  <c r="F205" i="5"/>
  <c r="Q207" i="5"/>
  <c r="J211" i="1" s="1"/>
  <c r="Q7" i="5"/>
  <c r="J11" i="1" s="1"/>
  <c r="Q12" i="5"/>
  <c r="J16" i="1" s="1"/>
  <c r="N21" i="5"/>
  <c r="P21" i="5" s="1"/>
  <c r="AA71" i="7" s="1"/>
  <c r="I54" i="5"/>
  <c r="Q81" i="5"/>
  <c r="J85" i="1" s="1"/>
  <c r="I93" i="5"/>
  <c r="X90" i="7" s="1"/>
  <c r="I95" i="5"/>
  <c r="F100" i="5"/>
  <c r="N102" i="5"/>
  <c r="P102" i="5" s="1"/>
  <c r="AA123" i="7" s="1"/>
  <c r="N106" i="5"/>
  <c r="P106" i="5" s="1"/>
  <c r="U106" i="5" s="1"/>
  <c r="I118" i="5"/>
  <c r="I127" i="5"/>
  <c r="O127" i="5" s="1"/>
  <c r="V127" i="5" s="1"/>
  <c r="Q146" i="5"/>
  <c r="J150" i="1" s="1"/>
  <c r="Q153" i="5"/>
  <c r="L169" i="5"/>
  <c r="C173" i="1" s="1"/>
  <c r="F177" i="5"/>
  <c r="W184" i="7" s="1"/>
  <c r="N191" i="5"/>
  <c r="P191" i="5" s="1"/>
  <c r="AA198" i="7" s="1"/>
  <c r="F193" i="5"/>
  <c r="E197" i="1" s="1"/>
  <c r="Q200" i="5"/>
  <c r="J204" i="1" s="1"/>
  <c r="L207" i="5"/>
  <c r="C211" i="1" s="1"/>
  <c r="L33" i="5"/>
  <c r="C37" i="1" s="1"/>
  <c r="L107" i="5"/>
  <c r="C111" i="1" s="1"/>
  <c r="Q116" i="5"/>
  <c r="J120" i="1" s="1"/>
  <c r="Q118" i="5"/>
  <c r="J122" i="1" s="1"/>
  <c r="Q137" i="5"/>
  <c r="J141" i="1" s="1"/>
  <c r="L139" i="5"/>
  <c r="L146" i="5"/>
  <c r="C150" i="1" s="1"/>
  <c r="L155" i="5"/>
  <c r="I160" i="5"/>
  <c r="L177" i="5"/>
  <c r="N184" i="5"/>
  <c r="P184" i="5" s="1"/>
  <c r="AA191" i="7" s="1"/>
  <c r="L205" i="5"/>
  <c r="I96" i="5"/>
  <c r="X103" i="7" s="1"/>
  <c r="L109" i="5"/>
  <c r="Y106" i="7" s="1"/>
  <c r="Q155" i="5"/>
  <c r="J159" i="1" s="1"/>
  <c r="N175" i="5"/>
  <c r="P175" i="5" s="1"/>
  <c r="U175" i="5" s="1"/>
  <c r="Q182" i="5"/>
  <c r="J186" i="1" s="1"/>
  <c r="F49" i="1"/>
  <c r="H173" i="1"/>
  <c r="I31" i="5"/>
  <c r="X27" i="7" s="1"/>
  <c r="L41" i="5"/>
  <c r="O41" i="5" s="1"/>
  <c r="V41" i="5" s="1"/>
  <c r="L43" i="5"/>
  <c r="Y65" i="7" s="1"/>
  <c r="I50" i="5"/>
  <c r="X82" i="7" s="1"/>
  <c r="I79" i="5"/>
  <c r="Q84" i="5"/>
  <c r="J88" i="1" s="1"/>
  <c r="N89" i="5"/>
  <c r="P89" i="5" s="1"/>
  <c r="U89" i="5" s="1"/>
  <c r="I91" i="5"/>
  <c r="X79" i="7" s="1"/>
  <c r="N96" i="5"/>
  <c r="P96" i="5" s="1"/>
  <c r="AA103" i="7" s="1"/>
  <c r="N98" i="5"/>
  <c r="P98" i="5" s="1"/>
  <c r="E111" i="6" s="1"/>
  <c r="N109" i="5"/>
  <c r="P109" i="5" s="1"/>
  <c r="U109" i="5" s="1"/>
  <c r="L111" i="5"/>
  <c r="C115" i="1" s="1"/>
  <c r="I123" i="5"/>
  <c r="X127" i="7" s="1"/>
  <c r="Q130" i="5"/>
  <c r="Z136" i="7" s="1"/>
  <c r="L133" i="5"/>
  <c r="C137" i="1" s="1"/>
  <c r="N153" i="5"/>
  <c r="P153" i="5" s="1"/>
  <c r="U153" i="5" s="1"/>
  <c r="L160" i="5"/>
  <c r="Q175" i="5"/>
  <c r="J179" i="1" s="1"/>
  <c r="N180" i="5"/>
  <c r="P180" i="5" s="1"/>
  <c r="AA187" i="7" s="1"/>
  <c r="I182" i="5"/>
  <c r="L196" i="5"/>
  <c r="C200" i="1" s="1"/>
  <c r="Q198" i="5"/>
  <c r="J202" i="1" s="1"/>
  <c r="Q201" i="5"/>
  <c r="F214" i="6" s="1"/>
  <c r="L20" i="5"/>
  <c r="L24" i="5"/>
  <c r="L46" i="5"/>
  <c r="Y75" i="7" s="1"/>
  <c r="L57" i="5"/>
  <c r="Y24" i="7" s="1"/>
  <c r="Q70" i="5"/>
  <c r="F83" i="6" s="1"/>
  <c r="Q72" i="5"/>
  <c r="F85" i="6" s="1"/>
  <c r="Q96" i="5"/>
  <c r="N100" i="5"/>
  <c r="P100" i="5" s="1"/>
  <c r="U100" i="5" s="1"/>
  <c r="Q114" i="5"/>
  <c r="J118" i="1" s="1"/>
  <c r="L130" i="5"/>
  <c r="C134" i="1" s="1"/>
  <c r="L172" i="5"/>
  <c r="C176" i="1" s="1"/>
  <c r="I175" i="5"/>
  <c r="G94" i="1"/>
  <c r="C128" i="1"/>
  <c r="G198" i="1"/>
  <c r="G49" i="1"/>
  <c r="G183" i="1"/>
  <c r="G191" i="1"/>
  <c r="C196" i="1"/>
  <c r="E128" i="1"/>
  <c r="G110" i="1"/>
  <c r="G119" i="1"/>
  <c r="C179" i="1"/>
  <c r="C167" i="1"/>
  <c r="C116" i="1"/>
  <c r="G150" i="1"/>
  <c r="E188" i="1"/>
  <c r="E65" i="1"/>
  <c r="C64" i="1"/>
  <c r="C141" i="1"/>
  <c r="C19" i="1"/>
  <c r="Z85" i="7"/>
  <c r="G69" i="1"/>
  <c r="G81" i="1"/>
  <c r="C117" i="1"/>
  <c r="C18" i="1"/>
  <c r="G113" i="1"/>
  <c r="E146" i="1"/>
  <c r="C70" i="1"/>
  <c r="E52" i="1"/>
  <c r="G146" i="1"/>
  <c r="G132" i="1"/>
  <c r="G15" i="1"/>
  <c r="Y37" i="7"/>
  <c r="W89" i="7"/>
  <c r="E66" i="1"/>
  <c r="U64" i="5"/>
  <c r="AA76" i="7"/>
  <c r="E38" i="6"/>
  <c r="U25" i="5"/>
  <c r="AA55" i="7"/>
  <c r="E71" i="6"/>
  <c r="F39" i="6"/>
  <c r="E20" i="6"/>
  <c r="U7" i="5"/>
  <c r="Z30" i="7"/>
  <c r="J12" i="1"/>
  <c r="U60" i="5"/>
  <c r="Y40" i="7"/>
  <c r="C40" i="1"/>
  <c r="G48" i="1"/>
  <c r="W135" i="7"/>
  <c r="E74" i="1"/>
  <c r="W69" i="7"/>
  <c r="F91" i="5"/>
  <c r="N91" i="5"/>
  <c r="P91" i="5" s="1"/>
  <c r="F4" i="5"/>
  <c r="N9" i="5"/>
  <c r="P9" i="5" s="1"/>
  <c r="F9" i="5"/>
  <c r="I16" i="5"/>
  <c r="Q34" i="5"/>
  <c r="L64" i="5"/>
  <c r="L72" i="5"/>
  <c r="I72" i="5"/>
  <c r="J95" i="1"/>
  <c r="C186" i="1"/>
  <c r="Q95" i="5"/>
  <c r="F99" i="1"/>
  <c r="N23" i="5"/>
  <c r="P23" i="5" s="1"/>
  <c r="F23" i="5"/>
  <c r="N93" i="5"/>
  <c r="P93" i="5" s="1"/>
  <c r="Q14" i="5"/>
  <c r="F20" i="1"/>
  <c r="C63" i="1"/>
  <c r="F87" i="5"/>
  <c r="N87" i="5"/>
  <c r="P87" i="5" s="1"/>
  <c r="D122" i="1"/>
  <c r="L4" i="5"/>
  <c r="G10" i="1"/>
  <c r="O6" i="5"/>
  <c r="V6" i="5" s="1"/>
  <c r="W68" i="7"/>
  <c r="F134" i="5"/>
  <c r="U164" i="5"/>
  <c r="I176" i="5"/>
  <c r="G38" i="1"/>
  <c r="N31" i="5"/>
  <c r="P31" i="5" s="1"/>
  <c r="F31" i="5"/>
  <c r="N50" i="5"/>
  <c r="P50" i="5" s="1"/>
  <c r="N59" i="5"/>
  <c r="P59" i="5" s="1"/>
  <c r="Y33" i="7"/>
  <c r="F13" i="1"/>
  <c r="Q9" i="5"/>
  <c r="I32" i="5"/>
  <c r="F72" i="5"/>
  <c r="H59" i="1"/>
  <c r="Q55" i="5"/>
  <c r="AA174" i="7"/>
  <c r="H74" i="1"/>
  <c r="I46" i="5"/>
  <c r="Q57" i="5"/>
  <c r="Q66" i="5"/>
  <c r="F70" i="1"/>
  <c r="I112" i="5"/>
  <c r="N112" i="5"/>
  <c r="P112" i="5" s="1"/>
  <c r="F167" i="5"/>
  <c r="C14" i="1"/>
  <c r="G17" i="1"/>
  <c r="F31" i="1"/>
  <c r="H38" i="1"/>
  <c r="H63" i="1"/>
  <c r="N27" i="5"/>
  <c r="P27" i="5" s="1"/>
  <c r="N29" i="5"/>
  <c r="P29" i="5" s="1"/>
  <c r="Y44" i="7"/>
  <c r="AA66" i="7"/>
  <c r="F52" i="5"/>
  <c r="N52" i="5"/>
  <c r="P52" i="5" s="1"/>
  <c r="E123" i="6"/>
  <c r="F17" i="5"/>
  <c r="I22" i="5"/>
  <c r="L22" i="5"/>
  <c r="N24" i="5"/>
  <c r="P24" i="5" s="1"/>
  <c r="F24" i="5"/>
  <c r="Q38" i="5"/>
  <c r="U40" i="5"/>
  <c r="F79" i="5"/>
  <c r="N79" i="5"/>
  <c r="P79" i="5" s="1"/>
  <c r="I102" i="5"/>
  <c r="X215" i="7"/>
  <c r="Y77" i="7"/>
  <c r="I42" i="5"/>
  <c r="N42" i="5"/>
  <c r="P42" i="5" s="1"/>
  <c r="F176" i="5"/>
  <c r="N176" i="5"/>
  <c r="P176" i="5" s="1"/>
  <c r="E30" i="6"/>
  <c r="X174" i="7"/>
  <c r="F89" i="1"/>
  <c r="F3" i="5"/>
  <c r="N13" i="5"/>
  <c r="P13" i="5" s="1"/>
  <c r="N15" i="5"/>
  <c r="P15" i="5" s="1"/>
  <c r="F15" i="5"/>
  <c r="Q29" i="5"/>
  <c r="Z50" i="7"/>
  <c r="Y85" i="7"/>
  <c r="L69" i="5"/>
  <c r="I69" i="5"/>
  <c r="F96" i="6"/>
  <c r="J31" i="1"/>
  <c r="F22" i="5"/>
  <c r="W97" i="7"/>
  <c r="F58" i="5"/>
  <c r="E75" i="6"/>
  <c r="Y99" i="7"/>
  <c r="G37" i="1"/>
  <c r="E68" i="6"/>
  <c r="U83" i="5"/>
  <c r="AA53" i="7"/>
  <c r="D11" i="1"/>
  <c r="W78" i="7"/>
  <c r="F43" i="5"/>
  <c r="N43" i="5"/>
  <c r="P43" i="5" s="1"/>
  <c r="E140" i="6"/>
  <c r="U127" i="5"/>
  <c r="Y117" i="7"/>
  <c r="E63" i="1"/>
  <c r="Y150" i="7"/>
  <c r="L9" i="5"/>
  <c r="I9" i="5"/>
  <c r="Z23" i="7"/>
  <c r="F17" i="6"/>
  <c r="F55" i="1"/>
  <c r="Z135" i="7"/>
  <c r="Q13" i="5"/>
  <c r="N28" i="5"/>
  <c r="P28" i="5" s="1"/>
  <c r="I28" i="5"/>
  <c r="O28" i="5" s="1"/>
  <c r="Q50" i="5"/>
  <c r="I56" i="5"/>
  <c r="N56" i="5"/>
  <c r="P56" i="5" s="1"/>
  <c r="F99" i="5"/>
  <c r="I99" i="5"/>
  <c r="AA144" i="7"/>
  <c r="E151" i="6"/>
  <c r="U138" i="5"/>
  <c r="AA153" i="7"/>
  <c r="Y132" i="7"/>
  <c r="C132" i="1"/>
  <c r="N32" i="5"/>
  <c r="P32" i="5" s="1"/>
  <c r="F32" i="5"/>
  <c r="Z61" i="7"/>
  <c r="F98" i="6"/>
  <c r="J89" i="1"/>
  <c r="D139" i="1"/>
  <c r="N46" i="5"/>
  <c r="P46" i="5" s="1"/>
  <c r="F46" i="5"/>
  <c r="Q6" i="5"/>
  <c r="F10" i="1"/>
  <c r="F66" i="5"/>
  <c r="E31" i="6"/>
  <c r="G97" i="1"/>
  <c r="E21" i="6"/>
  <c r="F10" i="5"/>
  <c r="F12" i="5"/>
  <c r="N12" i="5"/>
  <c r="P12" i="5" s="1"/>
  <c r="X60" i="7"/>
  <c r="Z68" i="7"/>
  <c r="I26" i="5"/>
  <c r="F37" i="5"/>
  <c r="Y16" i="7"/>
  <c r="D83" i="1"/>
  <c r="Q79" i="5"/>
  <c r="Y125" i="7"/>
  <c r="Z158" i="7"/>
  <c r="F165" i="6"/>
  <c r="J156" i="1"/>
  <c r="X145" i="7"/>
  <c r="G143" i="1"/>
  <c r="E95" i="6"/>
  <c r="E85" i="6"/>
  <c r="AA10" i="7"/>
  <c r="I87" i="5"/>
  <c r="L87" i="5"/>
  <c r="E39" i="1"/>
  <c r="G25" i="1"/>
  <c r="H97" i="1"/>
  <c r="L5" i="5"/>
  <c r="F23" i="6"/>
  <c r="L56" i="5"/>
  <c r="Z160" i="7"/>
  <c r="J158" i="1"/>
  <c r="I10" i="5"/>
  <c r="X77" i="7"/>
  <c r="G51" i="1"/>
  <c r="D60" i="1"/>
  <c r="Q56" i="5"/>
  <c r="I62" i="5"/>
  <c r="L62" i="5"/>
  <c r="W95" i="7"/>
  <c r="N148" i="5"/>
  <c r="P148" i="5" s="1"/>
  <c r="W48" i="7"/>
  <c r="E20" i="1"/>
  <c r="W37" i="7"/>
  <c r="N137" i="5"/>
  <c r="P137" i="5" s="1"/>
  <c r="Q42" i="5"/>
  <c r="F46" i="1"/>
  <c r="W178" i="7"/>
  <c r="I85" i="5"/>
  <c r="E175" i="1"/>
  <c r="N34" i="5"/>
  <c r="P34" i="5" s="1"/>
  <c r="J20" i="1"/>
  <c r="Y28" i="7"/>
  <c r="C10" i="1"/>
  <c r="E16" i="6"/>
  <c r="U3" i="5"/>
  <c r="E22" i="1"/>
  <c r="F8" i="1"/>
  <c r="J50" i="1"/>
  <c r="C148" i="1"/>
  <c r="E2" i="8"/>
  <c r="D2" i="8"/>
  <c r="Q2" i="5"/>
  <c r="E18" i="6"/>
  <c r="AA25" i="7"/>
  <c r="U5" i="5"/>
  <c r="Y60" i="7"/>
  <c r="Y87" i="7"/>
  <c r="E163" i="6"/>
  <c r="X17" i="7"/>
  <c r="G59" i="1"/>
  <c r="I68" i="5"/>
  <c r="L68" i="5"/>
  <c r="AA100" i="7"/>
  <c r="E79" i="6"/>
  <c r="Y34" i="7"/>
  <c r="H22" i="1"/>
  <c r="C51" i="1"/>
  <c r="F138" i="1"/>
  <c r="U20" i="5"/>
  <c r="L37" i="5"/>
  <c r="W114" i="7"/>
  <c r="Q139" i="5"/>
  <c r="F143" i="1"/>
  <c r="Z147" i="7"/>
  <c r="F154" i="6"/>
  <c r="U146" i="5"/>
  <c r="L150" i="5"/>
  <c r="E39" i="6"/>
  <c r="E43" i="1"/>
  <c r="Y98" i="7"/>
  <c r="N54" i="5"/>
  <c r="P54" i="5" s="1"/>
  <c r="Y215" i="7"/>
  <c r="I110" i="5"/>
  <c r="Z109" i="7"/>
  <c r="W136" i="7"/>
  <c r="I134" i="5"/>
  <c r="N144" i="5"/>
  <c r="P144" i="5" s="1"/>
  <c r="F144" i="5"/>
  <c r="N76" i="5"/>
  <c r="P76" i="5" s="1"/>
  <c r="F76" i="5"/>
  <c r="W52" i="7"/>
  <c r="X172" i="7"/>
  <c r="I140" i="5"/>
  <c r="N49" i="5"/>
  <c r="P49" i="5" s="1"/>
  <c r="I49" i="5"/>
  <c r="F56" i="5"/>
  <c r="F80" i="1"/>
  <c r="Q76" i="5"/>
  <c r="Q82" i="5"/>
  <c r="L99" i="5"/>
  <c r="L110" i="5"/>
  <c r="F117" i="5"/>
  <c r="N117" i="5"/>
  <c r="P117" i="5" s="1"/>
  <c r="AA148" i="7"/>
  <c r="E155" i="6"/>
  <c r="I144" i="5"/>
  <c r="N159" i="5"/>
  <c r="P159" i="5" s="1"/>
  <c r="AA135" i="7"/>
  <c r="E83" i="6"/>
  <c r="U70" i="5"/>
  <c r="N84" i="5"/>
  <c r="P84" i="5" s="1"/>
  <c r="F84" i="5"/>
  <c r="Z215" i="7"/>
  <c r="Q117" i="5"/>
  <c r="N130" i="5"/>
  <c r="P130" i="5" s="1"/>
  <c r="I130" i="5"/>
  <c r="Q144" i="5"/>
  <c r="H148" i="1"/>
  <c r="F159" i="5"/>
  <c r="U165" i="5"/>
  <c r="Z113" i="7"/>
  <c r="F128" i="6"/>
  <c r="Z165" i="7"/>
  <c r="Y55" i="7"/>
  <c r="W111" i="7"/>
  <c r="F69" i="5"/>
  <c r="N69" i="5"/>
  <c r="P69" i="5" s="1"/>
  <c r="Z138" i="7"/>
  <c r="F145" i="6"/>
  <c r="J136" i="1"/>
  <c r="W84" i="7"/>
  <c r="E96" i="1"/>
  <c r="F110" i="6"/>
  <c r="J101" i="1"/>
  <c r="AA161" i="7"/>
  <c r="O204" i="5"/>
  <c r="V204" i="5" s="1"/>
  <c r="Z12" i="7"/>
  <c r="L82" i="5"/>
  <c r="O82" i="5" s="1"/>
  <c r="AA126" i="7"/>
  <c r="F139" i="6"/>
  <c r="W147" i="7"/>
  <c r="AA197" i="7"/>
  <c r="Q3" i="5"/>
  <c r="F7" i="1"/>
  <c r="F5" i="5"/>
  <c r="Q17" i="5"/>
  <c r="N39" i="5"/>
  <c r="P39" i="5" s="1"/>
  <c r="Q58" i="5"/>
  <c r="F62" i="1"/>
  <c r="Y88" i="7"/>
  <c r="X111" i="7"/>
  <c r="G71" i="1"/>
  <c r="L84" i="5"/>
  <c r="F88" i="5"/>
  <c r="F96" i="5"/>
  <c r="W92" i="7"/>
  <c r="AA93" i="7"/>
  <c r="E118" i="6"/>
  <c r="U105" i="5"/>
  <c r="Y113" i="7"/>
  <c r="Q128" i="5"/>
  <c r="L159" i="5"/>
  <c r="I3" i="5"/>
  <c r="U26" i="5"/>
  <c r="H32" i="1"/>
  <c r="Q28" i="5"/>
  <c r="N33" i="5"/>
  <c r="P33" i="5" s="1"/>
  <c r="O39" i="5"/>
  <c r="F63" i="5"/>
  <c r="Q69" i="5"/>
  <c r="H73" i="1"/>
  <c r="W101" i="7"/>
  <c r="W11" i="7"/>
  <c r="E77" i="1"/>
  <c r="Q78" i="5"/>
  <c r="D82" i="1"/>
  <c r="Q88" i="5"/>
  <c r="I92" i="5"/>
  <c r="N92" i="5"/>
  <c r="P92" i="5" s="1"/>
  <c r="J117" i="1"/>
  <c r="Y211" i="7"/>
  <c r="F14" i="5"/>
  <c r="N14" i="5"/>
  <c r="P14" i="5" s="1"/>
  <c r="I23" i="5"/>
  <c r="Q25" i="5"/>
  <c r="F29" i="1"/>
  <c r="Y27" i="7"/>
  <c r="C35" i="1"/>
  <c r="F33" i="5"/>
  <c r="F38" i="5"/>
  <c r="N45" i="5"/>
  <c r="P45" i="5" s="1"/>
  <c r="F45" i="5"/>
  <c r="Y96" i="7"/>
  <c r="I58" i="5"/>
  <c r="AA88" i="7"/>
  <c r="E74" i="6"/>
  <c r="Q63" i="5"/>
  <c r="F67" i="1"/>
  <c r="N65" i="5"/>
  <c r="P65" i="5" s="1"/>
  <c r="F65" i="5"/>
  <c r="Z11" i="7"/>
  <c r="F86" i="6"/>
  <c r="I88" i="5"/>
  <c r="F118" i="6"/>
  <c r="N115" i="5"/>
  <c r="P115" i="5" s="1"/>
  <c r="I141" i="5"/>
  <c r="N141" i="5"/>
  <c r="P141" i="5" s="1"/>
  <c r="W170" i="7"/>
  <c r="O164" i="5"/>
  <c r="V164" i="5" s="1"/>
  <c r="N11" i="5"/>
  <c r="P11" i="5" s="1"/>
  <c r="I25" i="5"/>
  <c r="Q33" i="5"/>
  <c r="L40" i="5"/>
  <c r="F40" i="5"/>
  <c r="Z88" i="7"/>
  <c r="F74" i="6"/>
  <c r="Y111" i="7"/>
  <c r="AA11" i="7"/>
  <c r="E86" i="6"/>
  <c r="U73" i="5"/>
  <c r="Q123" i="5"/>
  <c r="X153" i="7"/>
  <c r="G151" i="1"/>
  <c r="N151" i="5"/>
  <c r="P151" i="5" s="1"/>
  <c r="N162" i="5"/>
  <c r="P162" i="5" s="1"/>
  <c r="F162" i="5"/>
  <c r="E190" i="6"/>
  <c r="F189" i="5"/>
  <c r="L189" i="5"/>
  <c r="E217" i="6"/>
  <c r="F8" i="5"/>
  <c r="F11" i="5"/>
  <c r="N38" i="5"/>
  <c r="P38" i="5" s="1"/>
  <c r="N48" i="5"/>
  <c r="P48" i="5" s="1"/>
  <c r="I73" i="5"/>
  <c r="O73" i="5" s="1"/>
  <c r="E88" i="6"/>
  <c r="Z92" i="7"/>
  <c r="Q125" i="5"/>
  <c r="F129" i="1"/>
  <c r="Y133" i="7"/>
  <c r="X139" i="7"/>
  <c r="G137" i="1"/>
  <c r="W143" i="7"/>
  <c r="O137" i="5"/>
  <c r="N157" i="5"/>
  <c r="P157" i="5" s="1"/>
  <c r="F190" i="6"/>
  <c r="Y191" i="7"/>
  <c r="N2" i="5"/>
  <c r="P2" i="5" s="1"/>
  <c r="F2" i="5"/>
  <c r="Q11" i="5"/>
  <c r="X42" i="7"/>
  <c r="G18" i="1"/>
  <c r="L25" i="5"/>
  <c r="E49" i="6"/>
  <c r="AA40" i="7"/>
  <c r="U36" i="5"/>
  <c r="Z65" i="7"/>
  <c r="F56" i="6"/>
  <c r="E51" i="1"/>
  <c r="O48" i="5"/>
  <c r="Y82" i="7"/>
  <c r="F81" i="5"/>
  <c r="Z62" i="7"/>
  <c r="F99" i="6"/>
  <c r="J90" i="1"/>
  <c r="Q102" i="5"/>
  <c r="F120" i="6"/>
  <c r="Z95" i="7"/>
  <c r="G129" i="1"/>
  <c r="Y141" i="7"/>
  <c r="Z157" i="7"/>
  <c r="F164" i="6"/>
  <c r="J155" i="1"/>
  <c r="N169" i="5"/>
  <c r="P169" i="5" s="1"/>
  <c r="F169" i="5"/>
  <c r="J177" i="1"/>
  <c r="F53" i="5"/>
  <c r="F68" i="5"/>
  <c r="L96" i="5"/>
  <c r="Z131" i="7"/>
  <c r="I152" i="5"/>
  <c r="Y174" i="7"/>
  <c r="F197" i="6"/>
  <c r="F187" i="5"/>
  <c r="N187" i="5"/>
  <c r="P187" i="5" s="1"/>
  <c r="L16" i="5"/>
  <c r="F58" i="6"/>
  <c r="AA24" i="7"/>
  <c r="F81" i="6"/>
  <c r="Z119" i="7"/>
  <c r="Q122" i="5"/>
  <c r="F174" i="6"/>
  <c r="Y187" i="7"/>
  <c r="I200" i="5"/>
  <c r="N200" i="5"/>
  <c r="P200" i="5" s="1"/>
  <c r="I15" i="5"/>
  <c r="F36" i="5"/>
  <c r="F57" i="5"/>
  <c r="N114" i="5"/>
  <c r="P114" i="5" s="1"/>
  <c r="W137" i="7"/>
  <c r="L134" i="5"/>
  <c r="F156" i="6"/>
  <c r="F163" i="6"/>
  <c r="L152" i="5"/>
  <c r="L165" i="5"/>
  <c r="O165" i="5" s="1"/>
  <c r="U202" i="5"/>
  <c r="N103" i="5"/>
  <c r="P103" i="5" s="1"/>
  <c r="Z171" i="7"/>
  <c r="F178" i="6"/>
  <c r="N172" i="5"/>
  <c r="P172" i="5" s="1"/>
  <c r="F172" i="5"/>
  <c r="Z190" i="7"/>
  <c r="F196" i="6"/>
  <c r="E3" i="8"/>
  <c r="D3" i="8"/>
  <c r="L81" i="5"/>
  <c r="E108" i="6"/>
  <c r="AA102" i="7"/>
  <c r="U95" i="5"/>
  <c r="F103" i="5"/>
  <c r="Q120" i="5"/>
  <c r="I129" i="5"/>
  <c r="L158" i="5"/>
  <c r="I158" i="5"/>
  <c r="F191" i="6"/>
  <c r="Z185" i="7"/>
  <c r="Y205" i="7"/>
  <c r="I36" i="5"/>
  <c r="I61" i="5"/>
  <c r="I75" i="5"/>
  <c r="Z84" i="7"/>
  <c r="F105" i="6"/>
  <c r="W102" i="7"/>
  <c r="Q103" i="5"/>
  <c r="E120" i="6"/>
  <c r="AA95" i="7"/>
  <c r="U107" i="5"/>
  <c r="I114" i="5"/>
  <c r="W144" i="7"/>
  <c r="Z181" i="7"/>
  <c r="I183" i="5"/>
  <c r="E4" i="8"/>
  <c r="D4" i="8"/>
  <c r="Q44" i="5"/>
  <c r="L75" i="5"/>
  <c r="N78" i="5"/>
  <c r="P78" i="5" s="1"/>
  <c r="Q89" i="5"/>
  <c r="Z121" i="7"/>
  <c r="F113" i="6"/>
  <c r="N111" i="5"/>
  <c r="P111" i="5" s="1"/>
  <c r="L114" i="5"/>
  <c r="F129" i="6"/>
  <c r="Z114" i="7"/>
  <c r="N140" i="5"/>
  <c r="P140" i="5" s="1"/>
  <c r="N149" i="5"/>
  <c r="P149" i="5" s="1"/>
  <c r="I149" i="5"/>
  <c r="O149" i="5" s="1"/>
  <c r="U168" i="5"/>
  <c r="F209" i="6"/>
  <c r="I198" i="5"/>
  <c r="Q52" i="5"/>
  <c r="N53" i="5"/>
  <c r="P53" i="5" s="1"/>
  <c r="N68" i="5"/>
  <c r="P68" i="5" s="1"/>
  <c r="N71" i="5"/>
  <c r="P71" i="5" s="1"/>
  <c r="N74" i="5"/>
  <c r="P74" i="5" s="1"/>
  <c r="L92" i="5"/>
  <c r="I111" i="5"/>
  <c r="I116" i="5"/>
  <c r="AA130" i="7"/>
  <c r="U126" i="5"/>
  <c r="L131" i="5"/>
  <c r="N133" i="5"/>
  <c r="P133" i="5" s="1"/>
  <c r="F133" i="5"/>
  <c r="E149" i="6"/>
  <c r="F140" i="5"/>
  <c r="Y153" i="7"/>
  <c r="Y162" i="7"/>
  <c r="O156" i="5"/>
  <c r="V156" i="5" s="1"/>
  <c r="N166" i="5"/>
  <c r="P166" i="5" s="1"/>
  <c r="F166" i="5"/>
  <c r="E192" i="6"/>
  <c r="I181" i="5"/>
  <c r="N181" i="5"/>
  <c r="P181" i="5" s="1"/>
  <c r="I196" i="5"/>
  <c r="N196" i="5"/>
  <c r="P196" i="5" s="1"/>
  <c r="N67" i="5"/>
  <c r="P67" i="5" s="1"/>
  <c r="I71" i="5"/>
  <c r="F74" i="5"/>
  <c r="L103" i="5"/>
  <c r="W130" i="7"/>
  <c r="AA133" i="7"/>
  <c r="E142" i="6"/>
  <c r="F146" i="6"/>
  <c r="Z139" i="7"/>
  <c r="Z142" i="7"/>
  <c r="F149" i="6"/>
  <c r="Q140" i="5"/>
  <c r="AA151" i="7"/>
  <c r="Y155" i="7"/>
  <c r="N160" i="5"/>
  <c r="P160" i="5" s="1"/>
  <c r="Z170" i="7"/>
  <c r="F179" i="6"/>
  <c r="Y177" i="7"/>
  <c r="F179" i="5"/>
  <c r="AA94" i="7"/>
  <c r="N121" i="5"/>
  <c r="P121" i="5" s="1"/>
  <c r="N128" i="5"/>
  <c r="P128" i="5" s="1"/>
  <c r="F158" i="6"/>
  <c r="Z151" i="7"/>
  <c r="Z81" i="7"/>
  <c r="F62" i="6"/>
  <c r="Q53" i="5"/>
  <c r="Q67" i="5"/>
  <c r="L89" i="5"/>
  <c r="L106" i="5"/>
  <c r="O106" i="5" s="1"/>
  <c r="F113" i="5"/>
  <c r="N113" i="5"/>
  <c r="P113" i="5" s="1"/>
  <c r="E132" i="6"/>
  <c r="F121" i="5"/>
  <c r="F128" i="5"/>
  <c r="Q142" i="5"/>
  <c r="Q24" i="5"/>
  <c r="Q39" i="5"/>
  <c r="N51" i="5"/>
  <c r="P51" i="5" s="1"/>
  <c r="F55" i="5"/>
  <c r="Q64" i="5"/>
  <c r="N116" i="5"/>
  <c r="P116" i="5" s="1"/>
  <c r="F132" i="6"/>
  <c r="Z118" i="7"/>
  <c r="N124" i="5"/>
  <c r="P124" i="5" s="1"/>
  <c r="U136" i="5"/>
  <c r="Z166" i="7"/>
  <c r="F173" i="6"/>
  <c r="Y170" i="7"/>
  <c r="L179" i="5"/>
  <c r="Z192" i="7"/>
  <c r="F198" i="6"/>
  <c r="Y210" i="7"/>
  <c r="I189" i="5"/>
  <c r="N88" i="5"/>
  <c r="P88" i="5" s="1"/>
  <c r="W123" i="7"/>
  <c r="L140" i="5"/>
  <c r="L166" i="5"/>
  <c r="I166" i="5"/>
  <c r="Q189" i="5"/>
  <c r="Y200" i="7"/>
  <c r="U194" i="5"/>
  <c r="F201" i="5"/>
  <c r="N139" i="5"/>
  <c r="P139" i="5" s="1"/>
  <c r="I161" i="5"/>
  <c r="AA178" i="7"/>
  <c r="U193" i="5"/>
  <c r="E206" i="6"/>
  <c r="N152" i="5"/>
  <c r="P152" i="5" s="1"/>
  <c r="N158" i="5"/>
  <c r="P158" i="5" s="1"/>
  <c r="F158" i="5"/>
  <c r="Q168" i="5"/>
  <c r="I171" i="5"/>
  <c r="O197" i="5"/>
  <c r="W91" i="7"/>
  <c r="O94" i="5"/>
  <c r="L95" i="5"/>
  <c r="E122" i="6"/>
  <c r="I113" i="5"/>
  <c r="Z162" i="7"/>
  <c r="I168" i="5"/>
  <c r="Y180" i="7"/>
  <c r="F175" i="5"/>
  <c r="Q75" i="5"/>
  <c r="F101" i="5"/>
  <c r="F109" i="5"/>
  <c r="F129" i="5"/>
  <c r="L142" i="5"/>
  <c r="F145" i="5"/>
  <c r="F154" i="5"/>
  <c r="N163" i="5"/>
  <c r="P163" i="5" s="1"/>
  <c r="L171" i="5"/>
  <c r="E204" i="6"/>
  <c r="W70" i="7"/>
  <c r="Y93" i="7"/>
  <c r="Q109" i="5"/>
  <c r="L116" i="5"/>
  <c r="F163" i="5"/>
  <c r="N173" i="5"/>
  <c r="P173" i="5" s="1"/>
  <c r="Z198" i="7"/>
  <c r="Q90" i="5"/>
  <c r="I101" i="5"/>
  <c r="L126" i="5"/>
  <c r="I145" i="5"/>
  <c r="L157" i="5"/>
  <c r="I157" i="5"/>
  <c r="Q163" i="5"/>
  <c r="Y175" i="7"/>
  <c r="U188" i="5"/>
  <c r="AA195" i="7"/>
  <c r="L145" i="5"/>
  <c r="Z195" i="7"/>
  <c r="N41" i="5"/>
  <c r="P41" i="5" s="1"/>
  <c r="L55" i="5"/>
  <c r="AA215" i="7"/>
  <c r="E121" i="6"/>
  <c r="F125" i="5"/>
  <c r="L132" i="5"/>
  <c r="Q147" i="5"/>
  <c r="L154" i="5"/>
  <c r="X177" i="7"/>
  <c r="N203" i="5"/>
  <c r="P203" i="5" s="1"/>
  <c r="F203" i="5"/>
  <c r="F216" i="6"/>
  <c r="Z210" i="7"/>
  <c r="I203" i="5"/>
  <c r="Z200" i="7"/>
  <c r="F206" i="6"/>
  <c r="E214" i="6"/>
  <c r="U201" i="5"/>
  <c r="Q167" i="5"/>
  <c r="Q187" i="5"/>
  <c r="W199" i="7"/>
  <c r="N199" i="5"/>
  <c r="P199" i="5" s="1"/>
  <c r="AA124" i="7"/>
  <c r="E133" i="6"/>
  <c r="N123" i="5"/>
  <c r="P123" i="5" s="1"/>
  <c r="Q158" i="5"/>
  <c r="E183" i="6"/>
  <c r="Q172" i="5"/>
  <c r="I120" i="5"/>
  <c r="O120" i="5" s="1"/>
  <c r="V120" i="5" s="1"/>
  <c r="F123" i="5"/>
  <c r="I132" i="5"/>
  <c r="N178" i="5"/>
  <c r="P178" i="5" s="1"/>
  <c r="N182" i="5"/>
  <c r="P182" i="5" s="1"/>
  <c r="E205" i="6"/>
  <c r="F198" i="5"/>
  <c r="N198" i="5"/>
  <c r="P198" i="5" s="1"/>
  <c r="F161" i="5"/>
  <c r="N185" i="5"/>
  <c r="P185" i="5" s="1"/>
  <c r="F185" i="5"/>
  <c r="W198" i="7"/>
  <c r="L200" i="5"/>
  <c r="I185" i="5"/>
  <c r="F194" i="5"/>
  <c r="N195" i="5"/>
  <c r="P195" i="5" s="1"/>
  <c r="F210" i="6"/>
  <c r="N207" i="5"/>
  <c r="P207" i="5" s="1"/>
  <c r="Z163" i="7"/>
  <c r="I174" i="5"/>
  <c r="I191" i="5"/>
  <c r="O191" i="5" s="1"/>
  <c r="Q194" i="5"/>
  <c r="Q124" i="5"/>
  <c r="Q170" i="5"/>
  <c r="W209" i="7"/>
  <c r="F220" i="6"/>
  <c r="Q181" i="5"/>
  <c r="Q202" i="5"/>
  <c r="I136" i="5"/>
  <c r="N161" i="5"/>
  <c r="P161" i="5" s="1"/>
  <c r="N174" i="5"/>
  <c r="P174" i="5" s="1"/>
  <c r="I177" i="5"/>
  <c r="U192" i="5"/>
  <c r="Q199" i="5"/>
  <c r="L185" i="5"/>
  <c r="I184" i="5"/>
  <c r="L201" i="5"/>
  <c r="F219" i="6"/>
  <c r="O95" i="5" l="1"/>
  <c r="AA38" i="7"/>
  <c r="AA118" i="7"/>
  <c r="E144" i="6"/>
  <c r="F140" i="6"/>
  <c r="O67" i="5"/>
  <c r="V67" i="5" s="1"/>
  <c r="E159" i="6"/>
  <c r="U62" i="5"/>
  <c r="F53" i="6"/>
  <c r="C166" i="1"/>
  <c r="X53" i="7"/>
  <c r="E203" i="1"/>
  <c r="W154" i="7"/>
  <c r="G9" i="1"/>
  <c r="E219" i="6"/>
  <c r="U186" i="5"/>
  <c r="U206" i="5"/>
  <c r="O71" i="5"/>
  <c r="F143" i="6"/>
  <c r="Y12" i="7"/>
  <c r="O20" i="5"/>
  <c r="Z94" i="7"/>
  <c r="E138" i="6"/>
  <c r="U17" i="5"/>
  <c r="U44" i="5"/>
  <c r="O202" i="5"/>
  <c r="V202" i="5" s="1"/>
  <c r="U125" i="5"/>
  <c r="C80" i="1"/>
  <c r="Z16" i="7"/>
  <c r="O205" i="5"/>
  <c r="W112" i="7"/>
  <c r="Y122" i="7"/>
  <c r="Y49" i="7"/>
  <c r="G135" i="1"/>
  <c r="G6" i="1"/>
  <c r="AA107" i="7"/>
  <c r="AA159" i="7"/>
  <c r="E169" i="1"/>
  <c r="U179" i="5"/>
  <c r="W188" i="7"/>
  <c r="Y131" i="7"/>
  <c r="AA209" i="7"/>
  <c r="Y209" i="7"/>
  <c r="Z93" i="7"/>
  <c r="E29" i="1"/>
  <c r="Z107" i="7"/>
  <c r="Y59" i="7"/>
  <c r="Y67" i="7"/>
  <c r="Z33" i="7"/>
  <c r="AA68" i="7"/>
  <c r="Y115" i="7"/>
  <c r="F104" i="6"/>
  <c r="G8" i="1"/>
  <c r="E87" i="1"/>
  <c r="E160" i="1"/>
  <c r="F204" i="6"/>
  <c r="F123" i="6"/>
  <c r="AA43" i="7"/>
  <c r="G158" i="1"/>
  <c r="G47" i="1"/>
  <c r="X204" i="7"/>
  <c r="E200" i="1"/>
  <c r="AA212" i="7"/>
  <c r="J45" i="1"/>
  <c r="E159" i="1"/>
  <c r="O192" i="5"/>
  <c r="F169" i="6"/>
  <c r="F211" i="6"/>
  <c r="Z155" i="7"/>
  <c r="AA137" i="7"/>
  <c r="Z184" i="7"/>
  <c r="AA184" i="7"/>
  <c r="X211" i="7"/>
  <c r="U156" i="5"/>
  <c r="F45" i="6"/>
  <c r="X49" i="7"/>
  <c r="U82" i="5"/>
  <c r="Y26" i="7"/>
  <c r="Y22" i="7"/>
  <c r="Z53" i="7"/>
  <c r="F60" i="6"/>
  <c r="G85" i="1"/>
  <c r="E10" i="1"/>
  <c r="X176" i="7"/>
  <c r="E169" i="6"/>
  <c r="O119" i="5"/>
  <c r="C13" i="9" s="1"/>
  <c r="X156" i="7"/>
  <c r="Z144" i="7"/>
  <c r="F151" i="6"/>
  <c r="Z189" i="7"/>
  <c r="W214" i="7"/>
  <c r="F112" i="6"/>
  <c r="U94" i="5"/>
  <c r="C46" i="1"/>
  <c r="E29" i="6"/>
  <c r="Y214" i="7"/>
  <c r="O207" i="5"/>
  <c r="V207" i="5" s="1"/>
  <c r="AA182" i="7"/>
  <c r="O195" i="5"/>
  <c r="V195" i="5" s="1"/>
  <c r="C77" i="1"/>
  <c r="Z120" i="7"/>
  <c r="AA48" i="7"/>
  <c r="G11" i="1"/>
  <c r="E218" i="6"/>
  <c r="U80" i="5"/>
  <c r="F159" i="6"/>
  <c r="Z180" i="7"/>
  <c r="O115" i="5"/>
  <c r="V115" i="5" s="1"/>
  <c r="F168" i="6"/>
  <c r="E202" i="6"/>
  <c r="Z152" i="7"/>
  <c r="Y144" i="7"/>
  <c r="Z173" i="7"/>
  <c r="J112" i="1"/>
  <c r="AA160" i="7"/>
  <c r="W83" i="7"/>
  <c r="E208" i="1"/>
  <c r="G56" i="1"/>
  <c r="W109" i="7"/>
  <c r="AA201" i="7"/>
  <c r="F177" i="6"/>
  <c r="AA190" i="7"/>
  <c r="AA13" i="7"/>
  <c r="C157" i="1"/>
  <c r="C198" i="1"/>
  <c r="O51" i="5"/>
  <c r="V51" i="5" s="1"/>
  <c r="U150" i="5"/>
  <c r="W54" i="7"/>
  <c r="G184" i="1"/>
  <c r="F182" i="6"/>
  <c r="G159" i="1"/>
  <c r="Y188" i="7"/>
  <c r="F44" i="6"/>
  <c r="W45" i="7"/>
  <c r="J26" i="1"/>
  <c r="G41" i="1"/>
  <c r="O170" i="5"/>
  <c r="V170" i="5" s="1"/>
  <c r="E158" i="6"/>
  <c r="E143" i="1"/>
  <c r="F35" i="6"/>
  <c r="C36" i="1"/>
  <c r="G111" i="1"/>
  <c r="I123" i="1"/>
  <c r="D132" i="6"/>
  <c r="J97" i="1"/>
  <c r="W207" i="7"/>
  <c r="C113" i="1"/>
  <c r="U154" i="5"/>
  <c r="E166" i="6"/>
  <c r="F84" i="6"/>
  <c r="Y136" i="7"/>
  <c r="X96" i="7"/>
  <c r="U118" i="5"/>
  <c r="Y92" i="7"/>
  <c r="W159" i="7"/>
  <c r="AA204" i="7"/>
  <c r="E210" i="6"/>
  <c r="F175" i="6"/>
  <c r="Z203" i="7"/>
  <c r="AA59" i="7"/>
  <c r="E98" i="6"/>
  <c r="Z78" i="7"/>
  <c r="G78" i="1"/>
  <c r="G167" i="1"/>
  <c r="Y104" i="7"/>
  <c r="O138" i="5"/>
  <c r="V138" i="5" s="1"/>
  <c r="J84" i="1"/>
  <c r="O146" i="5"/>
  <c r="D159" i="6" s="1"/>
  <c r="Z46" i="7"/>
  <c r="Y126" i="7"/>
  <c r="Z154" i="7"/>
  <c r="E54" i="1"/>
  <c r="Y123" i="7"/>
  <c r="J139" i="1"/>
  <c r="G90" i="1"/>
  <c r="O173" i="5"/>
  <c r="V173" i="5" s="1"/>
  <c r="U204" i="5"/>
  <c r="Z213" i="7"/>
  <c r="U189" i="5"/>
  <c r="O147" i="5"/>
  <c r="D160" i="6" s="1"/>
  <c r="Z149" i="7"/>
  <c r="Z191" i="7"/>
  <c r="J130" i="1"/>
  <c r="C32" i="1"/>
  <c r="W113" i="7"/>
  <c r="Z117" i="7"/>
  <c r="Z54" i="7"/>
  <c r="AA33" i="7"/>
  <c r="E17" i="1"/>
  <c r="E73" i="6"/>
  <c r="J69" i="1"/>
  <c r="E58" i="1"/>
  <c r="C89" i="1"/>
  <c r="O13" i="5"/>
  <c r="V13" i="5" s="1"/>
  <c r="J64" i="1"/>
  <c r="U147" i="5"/>
  <c r="AA170" i="7"/>
  <c r="E184" i="6"/>
  <c r="Z122" i="7"/>
  <c r="W152" i="7"/>
  <c r="O70" i="5"/>
  <c r="T70" i="5" s="1"/>
  <c r="Z80" i="7"/>
  <c r="O29" i="5"/>
  <c r="V29" i="5" s="1"/>
  <c r="Z40" i="7"/>
  <c r="X39" i="7"/>
  <c r="O100" i="5"/>
  <c r="D113" i="6" s="1"/>
  <c r="Y185" i="7"/>
  <c r="G74" i="1"/>
  <c r="E53" i="6"/>
  <c r="G211" i="1"/>
  <c r="F148" i="6"/>
  <c r="O155" i="5"/>
  <c r="V155" i="5" s="1"/>
  <c r="U191" i="5"/>
  <c r="W193" i="7"/>
  <c r="F119" i="6"/>
  <c r="F162" i="6"/>
  <c r="AA105" i="7"/>
  <c r="Z71" i="7"/>
  <c r="C47" i="1"/>
  <c r="G57" i="1"/>
  <c r="AA61" i="7"/>
  <c r="C25" i="1"/>
  <c r="G64" i="1"/>
  <c r="G196" i="1"/>
  <c r="Y154" i="7"/>
  <c r="C147" i="1"/>
  <c r="G166" i="1"/>
  <c r="Z67" i="7"/>
  <c r="C124" i="1"/>
  <c r="C180" i="1"/>
  <c r="O34" i="5"/>
  <c r="AA115" i="7"/>
  <c r="Z77" i="7"/>
  <c r="W131" i="7"/>
  <c r="E210" i="1"/>
  <c r="E48" i="6"/>
  <c r="G206" i="1"/>
  <c r="F125" i="6"/>
  <c r="W96" i="7"/>
  <c r="Y38" i="7"/>
  <c r="J183" i="1"/>
  <c r="F192" i="6"/>
  <c r="Z186" i="7"/>
  <c r="E145" i="6"/>
  <c r="U132" i="5"/>
  <c r="J34" i="1"/>
  <c r="Z26" i="7"/>
  <c r="C121" i="1"/>
  <c r="Y116" i="7"/>
  <c r="U170" i="5"/>
  <c r="AA177" i="7"/>
  <c r="J157" i="1"/>
  <c r="Z159" i="7"/>
  <c r="J133" i="1"/>
  <c r="Z133" i="7"/>
  <c r="Y83" i="7"/>
  <c r="C31" i="1"/>
  <c r="X100" i="7"/>
  <c r="G70" i="1"/>
  <c r="U8" i="5"/>
  <c r="AA30" i="7"/>
  <c r="O89" i="5"/>
  <c r="V89" i="5" s="1"/>
  <c r="F166" i="6"/>
  <c r="O78" i="5"/>
  <c r="Z60" i="7"/>
  <c r="F32" i="6"/>
  <c r="J23" i="1"/>
  <c r="X141" i="7"/>
  <c r="C95" i="1"/>
  <c r="Y79" i="7"/>
  <c r="E35" i="6"/>
  <c r="AA72" i="7"/>
  <c r="U22" i="5"/>
  <c r="AA77" i="7"/>
  <c r="E60" i="6"/>
  <c r="U47" i="5"/>
  <c r="W20" i="7"/>
  <c r="E33" i="1"/>
  <c r="Y91" i="7"/>
  <c r="C98" i="1"/>
  <c r="Z204" i="7"/>
  <c r="C11" i="1"/>
  <c r="F20" i="6"/>
  <c r="X104" i="7"/>
  <c r="G101" i="1"/>
  <c r="J102" i="1"/>
  <c r="Z105" i="7"/>
  <c r="F111" i="6"/>
  <c r="O7" i="5"/>
  <c r="D20" i="6" s="1"/>
  <c r="X206" i="7"/>
  <c r="O199" i="5"/>
  <c r="V199" i="5" s="1"/>
  <c r="G54" i="1"/>
  <c r="Z137" i="7"/>
  <c r="F144" i="6"/>
  <c r="J115" i="1"/>
  <c r="F124" i="6"/>
  <c r="J196" i="1"/>
  <c r="F205" i="6"/>
  <c r="J66" i="1"/>
  <c r="Z89" i="7"/>
  <c r="F75" i="6"/>
  <c r="J180" i="1"/>
  <c r="F189" i="6"/>
  <c r="Z183" i="7"/>
  <c r="AA45" i="7"/>
  <c r="E77" i="6"/>
  <c r="Z199" i="7"/>
  <c r="E199" i="6"/>
  <c r="Z182" i="7"/>
  <c r="U143" i="5"/>
  <c r="F43" i="6"/>
  <c r="Z108" i="7"/>
  <c r="Z47" i="7"/>
  <c r="F31" i="6"/>
  <c r="Y68" i="7"/>
  <c r="J27" i="1"/>
  <c r="C181" i="1"/>
  <c r="Y184" i="7"/>
  <c r="AA92" i="7"/>
  <c r="E117" i="6"/>
  <c r="J55" i="1"/>
  <c r="Z96" i="7"/>
  <c r="F64" i="6"/>
  <c r="J209" i="1"/>
  <c r="Z212" i="7"/>
  <c r="F218" i="6"/>
  <c r="E25" i="1"/>
  <c r="W71" i="7"/>
  <c r="C145" i="1"/>
  <c r="Y147" i="7"/>
  <c r="F188" i="6"/>
  <c r="AA149" i="7"/>
  <c r="E196" i="6"/>
  <c r="O93" i="5"/>
  <c r="V93" i="5" s="1"/>
  <c r="C94" i="1"/>
  <c r="O90" i="5"/>
  <c r="D103" i="6" s="1"/>
  <c r="Y90" i="7"/>
  <c r="C97" i="1"/>
  <c r="Z86" i="7"/>
  <c r="F72" i="6"/>
  <c r="AA60" i="7"/>
  <c r="E32" i="6"/>
  <c r="U19" i="5"/>
  <c r="E108" i="1"/>
  <c r="O104" i="5"/>
  <c r="J41" i="1"/>
  <c r="Z43" i="7"/>
  <c r="E188" i="6"/>
  <c r="F87" i="6"/>
  <c r="W90" i="7"/>
  <c r="U10" i="5"/>
  <c r="G34" i="1"/>
  <c r="W105" i="7"/>
  <c r="O98" i="5"/>
  <c r="V98" i="5" s="1"/>
  <c r="O30" i="5"/>
  <c r="V30" i="5" s="1"/>
  <c r="C21" i="1"/>
  <c r="Y58" i="7"/>
  <c r="E19" i="6"/>
  <c r="U6" i="5"/>
  <c r="Z38" i="7"/>
  <c r="F48" i="6"/>
  <c r="J39" i="1"/>
  <c r="W60" i="7"/>
  <c r="E23" i="1"/>
  <c r="J100" i="1"/>
  <c r="Z103" i="7"/>
  <c r="J199" i="1"/>
  <c r="F208" i="6"/>
  <c r="U4" i="5"/>
  <c r="AA23" i="7"/>
  <c r="G169" i="1"/>
  <c r="X171" i="7"/>
  <c r="C84" i="1"/>
  <c r="Y46" i="7"/>
  <c r="Z56" i="7"/>
  <c r="Z176" i="7"/>
  <c r="C58" i="1"/>
  <c r="X185" i="7"/>
  <c r="G182" i="1"/>
  <c r="O178" i="5"/>
  <c r="V178" i="5" s="1"/>
  <c r="Z197" i="7"/>
  <c r="F203" i="6"/>
  <c r="J194" i="1"/>
  <c r="E186" i="1"/>
  <c r="O182" i="5"/>
  <c r="V189" i="7" s="1"/>
  <c r="J165" i="1"/>
  <c r="Z167" i="7"/>
  <c r="J154" i="1"/>
  <c r="Z156" i="7"/>
  <c r="Y181" i="7"/>
  <c r="C190" i="1"/>
  <c r="Y193" i="7"/>
  <c r="C28" i="1"/>
  <c r="Y74" i="7"/>
  <c r="J58" i="1"/>
  <c r="F67" i="6"/>
  <c r="Z14" i="7"/>
  <c r="C155" i="1"/>
  <c r="Y157" i="7"/>
  <c r="O50" i="5"/>
  <c r="D63" i="6" s="1"/>
  <c r="AA120" i="7"/>
  <c r="U99" i="5"/>
  <c r="AA70" i="7"/>
  <c r="Z211" i="7"/>
  <c r="J208" i="1"/>
  <c r="O27" i="5"/>
  <c r="I31" i="1" s="1"/>
  <c r="C104" i="1"/>
  <c r="F33" i="6"/>
  <c r="Z75" i="7"/>
  <c r="E64" i="1"/>
  <c r="Y190" i="7"/>
  <c r="O122" i="5"/>
  <c r="V122" i="5" s="1"/>
  <c r="W94" i="7"/>
  <c r="F201" i="6"/>
  <c r="C17" i="1"/>
  <c r="G33" i="1"/>
  <c r="C129" i="1"/>
  <c r="Y206" i="7"/>
  <c r="F199" i="6"/>
  <c r="AA122" i="7"/>
  <c r="Z110" i="7"/>
  <c r="C127" i="1"/>
  <c r="F18" i="6"/>
  <c r="Y41" i="7"/>
  <c r="U167" i="5"/>
  <c r="F40" i="6"/>
  <c r="E90" i="1"/>
  <c r="W185" i="7"/>
  <c r="Z193" i="7"/>
  <c r="W200" i="7"/>
  <c r="O181" i="5"/>
  <c r="V181" i="5" s="1"/>
  <c r="Y105" i="7"/>
  <c r="U180" i="5"/>
  <c r="U155" i="5"/>
  <c r="G141" i="1"/>
  <c r="O47" i="5"/>
  <c r="V47" i="5" s="1"/>
  <c r="Z25" i="7"/>
  <c r="O18" i="5"/>
  <c r="V18" i="5" s="1"/>
  <c r="O168" i="5"/>
  <c r="V168" i="5" s="1"/>
  <c r="Y194" i="7"/>
  <c r="U190" i="5"/>
  <c r="W158" i="7"/>
  <c r="O124" i="5"/>
  <c r="I128" i="1" s="1"/>
  <c r="C52" i="1"/>
  <c r="O19" i="5"/>
  <c r="D32" i="6" s="1"/>
  <c r="E50" i="6"/>
  <c r="C123" i="1"/>
  <c r="F97" i="6"/>
  <c r="E103" i="6"/>
  <c r="E147" i="6"/>
  <c r="J74" i="1"/>
  <c r="C24" i="1"/>
  <c r="U97" i="5"/>
  <c r="X83" i="7"/>
  <c r="G12" i="1"/>
  <c r="E124" i="1"/>
  <c r="J135" i="1"/>
  <c r="G63" i="1"/>
  <c r="AA69" i="7"/>
  <c r="F50" i="6"/>
  <c r="Z143" i="7"/>
  <c r="G142" i="1"/>
  <c r="Y95" i="7"/>
  <c r="O107" i="5"/>
  <c r="V107" i="5" s="1"/>
  <c r="E194" i="1"/>
  <c r="W155" i="7"/>
  <c r="O136" i="5"/>
  <c r="V142" i="7" s="1"/>
  <c r="F100" i="6"/>
  <c r="C6" i="1"/>
  <c r="W57" i="7"/>
  <c r="Y35" i="7"/>
  <c r="J40" i="1"/>
  <c r="E34" i="6"/>
  <c r="G104" i="1"/>
  <c r="G163" i="1"/>
  <c r="G128" i="1"/>
  <c r="G160" i="1"/>
  <c r="O160" i="5"/>
  <c r="V160" i="5" s="1"/>
  <c r="U96" i="5"/>
  <c r="O21" i="5"/>
  <c r="S21" i="5" s="1"/>
  <c r="F25" i="6"/>
  <c r="O64" i="5"/>
  <c r="I68" i="1" s="1"/>
  <c r="G95" i="1"/>
  <c r="O60" i="5"/>
  <c r="T60" i="5" s="1"/>
  <c r="F107" i="6"/>
  <c r="Y176" i="7"/>
  <c r="Z73" i="7"/>
  <c r="G93" i="1"/>
  <c r="E109" i="6"/>
  <c r="F184" i="6"/>
  <c r="Y139" i="7"/>
  <c r="V118" i="7"/>
  <c r="Z168" i="7"/>
  <c r="Z112" i="7"/>
  <c r="Z27" i="7"/>
  <c r="F117" i="6"/>
  <c r="Y64" i="7"/>
  <c r="F172" i="6"/>
  <c r="O150" i="5"/>
  <c r="C44" i="9" s="1"/>
  <c r="Z91" i="7"/>
  <c r="U55" i="5"/>
  <c r="F29" i="6"/>
  <c r="Z51" i="7"/>
  <c r="U135" i="5"/>
  <c r="G24" i="1"/>
  <c r="G203" i="1"/>
  <c r="C75" i="1"/>
  <c r="F127" i="6"/>
  <c r="U98" i="5"/>
  <c r="E148" i="6"/>
  <c r="F109" i="6"/>
  <c r="AA46" i="7"/>
  <c r="Y152" i="7"/>
  <c r="W107" i="7"/>
  <c r="G100" i="1"/>
  <c r="F28" i="6"/>
  <c r="E94" i="6"/>
  <c r="O108" i="5"/>
  <c r="V108" i="5" s="1"/>
  <c r="O59" i="5"/>
  <c r="T59" i="5" s="1"/>
  <c r="G168" i="1"/>
  <c r="T19" i="5"/>
  <c r="I23" i="1"/>
  <c r="Z63" i="7"/>
  <c r="G80" i="1"/>
  <c r="F90" i="6"/>
  <c r="C82" i="1"/>
  <c r="Y39" i="7"/>
  <c r="X56" i="7"/>
  <c r="G88" i="1"/>
  <c r="O83" i="5"/>
  <c r="V83" i="5" s="1"/>
  <c r="Z205" i="7"/>
  <c r="G35" i="1"/>
  <c r="O116" i="5"/>
  <c r="I120" i="1" s="1"/>
  <c r="G121" i="1"/>
  <c r="X126" i="7"/>
  <c r="G126" i="1"/>
  <c r="J76" i="1"/>
  <c r="Z207" i="7"/>
  <c r="F193" i="6"/>
  <c r="E193" i="6"/>
  <c r="E178" i="6"/>
  <c r="Z10" i="7"/>
  <c r="AA28" i="7"/>
  <c r="F147" i="6"/>
  <c r="E110" i="6"/>
  <c r="Z29" i="7"/>
  <c r="E154" i="1"/>
  <c r="F213" i="6"/>
  <c r="Z178" i="7"/>
  <c r="Z187" i="7"/>
  <c r="G67" i="1"/>
  <c r="G42" i="1"/>
  <c r="C50" i="1"/>
  <c r="U30" i="5"/>
  <c r="G39" i="1"/>
  <c r="O135" i="5"/>
  <c r="V141" i="7" s="1"/>
  <c r="E102" i="1"/>
  <c r="G147" i="1"/>
  <c r="C87" i="1"/>
  <c r="E43" i="6"/>
  <c r="W166" i="7"/>
  <c r="E164" i="1"/>
  <c r="J161" i="1"/>
  <c r="G130" i="1"/>
  <c r="G199" i="1"/>
  <c r="F94" i="6"/>
  <c r="U21" i="5"/>
  <c r="X118" i="7"/>
  <c r="G123" i="1"/>
  <c r="X208" i="7"/>
  <c r="G205" i="1"/>
  <c r="E187" i="1"/>
  <c r="X52" i="7"/>
  <c r="G86" i="1"/>
  <c r="C33" i="1"/>
  <c r="U81" i="5"/>
  <c r="AA117" i="7"/>
  <c r="C48" i="1"/>
  <c r="O143" i="5"/>
  <c r="V149" i="7" s="1"/>
  <c r="U63" i="5"/>
  <c r="C12" i="1"/>
  <c r="F195" i="6"/>
  <c r="AA106" i="7"/>
  <c r="E181" i="6"/>
  <c r="O180" i="5"/>
  <c r="D193" i="6" s="1"/>
  <c r="Z101" i="7"/>
  <c r="U134" i="5"/>
  <c r="O148" i="5"/>
  <c r="D161" i="6" s="1"/>
  <c r="J134" i="1"/>
  <c r="G23" i="1"/>
  <c r="E107" i="6"/>
  <c r="G28" i="1"/>
  <c r="C210" i="1"/>
  <c r="W118" i="7"/>
  <c r="E123" i="1"/>
  <c r="E184" i="1"/>
  <c r="G45" i="1"/>
  <c r="E99" i="6"/>
  <c r="AA62" i="7"/>
  <c r="E81" i="1"/>
  <c r="E90" i="6"/>
  <c r="AA16" i="7"/>
  <c r="X182" i="7"/>
  <c r="G179" i="1"/>
  <c r="Y212" i="7"/>
  <c r="C209" i="1"/>
  <c r="X117" i="7"/>
  <c r="G122" i="1"/>
  <c r="X180" i="7"/>
  <c r="G177" i="1"/>
  <c r="W180" i="7"/>
  <c r="E177" i="1"/>
  <c r="Z125" i="7"/>
  <c r="J125" i="1"/>
  <c r="Y135" i="7"/>
  <c r="C74" i="1"/>
  <c r="Y36" i="7"/>
  <c r="C83" i="1"/>
  <c r="W93" i="7"/>
  <c r="E109" i="1"/>
  <c r="X91" i="7"/>
  <c r="G98" i="1"/>
  <c r="U184" i="5"/>
  <c r="W157" i="7"/>
  <c r="E155" i="1"/>
  <c r="Y62" i="7"/>
  <c r="C90" i="1"/>
  <c r="O86" i="5"/>
  <c r="Z59" i="7"/>
  <c r="O42" i="5"/>
  <c r="V42" i="5" s="1"/>
  <c r="E197" i="6"/>
  <c r="E181" i="1"/>
  <c r="G102" i="1"/>
  <c r="E115" i="1"/>
  <c r="X166" i="7"/>
  <c r="G164" i="1"/>
  <c r="W121" i="7"/>
  <c r="E104" i="1"/>
  <c r="Y142" i="7"/>
  <c r="C140" i="1"/>
  <c r="O153" i="5"/>
  <c r="V153" i="5" s="1"/>
  <c r="C53" i="1"/>
  <c r="Y161" i="7"/>
  <c r="C159" i="1"/>
  <c r="X102" i="7"/>
  <c r="G99" i="1"/>
  <c r="W149" i="7"/>
  <c r="E147" i="1"/>
  <c r="W138" i="7"/>
  <c r="E136" i="1"/>
  <c r="W117" i="7"/>
  <c r="E122" i="1"/>
  <c r="O105" i="5"/>
  <c r="V105" i="5" s="1"/>
  <c r="U122" i="5"/>
  <c r="O186" i="5"/>
  <c r="V186" i="5" s="1"/>
  <c r="E102" i="6"/>
  <c r="O77" i="5"/>
  <c r="V77" i="5" s="1"/>
  <c r="C27" i="1"/>
  <c r="O44" i="5"/>
  <c r="I48" i="1" s="1"/>
  <c r="F150" i="6"/>
  <c r="F73" i="6"/>
  <c r="Y197" i="7"/>
  <c r="O206" i="5"/>
  <c r="S206" i="5" s="1"/>
  <c r="Y145" i="7"/>
  <c r="C143" i="1"/>
  <c r="W126" i="7"/>
  <c r="E126" i="1"/>
  <c r="O151" i="5"/>
  <c r="V157" i="7" s="1"/>
  <c r="Z32" i="7"/>
  <c r="O35" i="5"/>
  <c r="V35" i="5" s="1"/>
  <c r="W66" i="7"/>
  <c r="C192" i="1"/>
  <c r="V119" i="5"/>
  <c r="W18" i="7"/>
  <c r="E82" i="1"/>
  <c r="X58" i="7"/>
  <c r="G21" i="1"/>
  <c r="W215" i="7"/>
  <c r="E112" i="1"/>
  <c r="G152" i="1"/>
  <c r="O188" i="5"/>
  <c r="V188" i="5" s="1"/>
  <c r="X80" i="7"/>
  <c r="G52" i="1"/>
  <c r="Y179" i="7"/>
  <c r="C61" i="1"/>
  <c r="E192" i="1"/>
  <c r="X36" i="7"/>
  <c r="G83" i="1"/>
  <c r="F134" i="6"/>
  <c r="Y108" i="7"/>
  <c r="O80" i="5"/>
  <c r="V80" i="5" s="1"/>
  <c r="E113" i="6"/>
  <c r="F131" i="6"/>
  <c r="U102" i="5"/>
  <c r="Z90" i="7"/>
  <c r="G127" i="1"/>
  <c r="X14" i="7"/>
  <c r="G58" i="1"/>
  <c r="X45" i="7"/>
  <c r="G68" i="1"/>
  <c r="X46" i="7"/>
  <c r="G84" i="1"/>
  <c r="Y203" i="7"/>
  <c r="O139" i="5"/>
  <c r="T139" i="5" s="1"/>
  <c r="W163" i="7"/>
  <c r="O193" i="5"/>
  <c r="V193" i="5" s="1"/>
  <c r="O102" i="5"/>
  <c r="V102" i="5" s="1"/>
  <c r="F187" i="6"/>
  <c r="O61" i="5"/>
  <c r="V61" i="5" s="1"/>
  <c r="F114" i="6"/>
  <c r="W46" i="7"/>
  <c r="AA121" i="7"/>
  <c r="E115" i="6"/>
  <c r="O118" i="5"/>
  <c r="V118" i="5" s="1"/>
  <c r="G82" i="1"/>
  <c r="W26" i="7"/>
  <c r="E34" i="1"/>
  <c r="X197" i="7"/>
  <c r="G194" i="1"/>
  <c r="X92" i="7"/>
  <c r="G108" i="1"/>
  <c r="S7" i="5"/>
  <c r="Z208" i="7"/>
  <c r="J205" i="1"/>
  <c r="Y54" i="7"/>
  <c r="C45" i="1"/>
  <c r="I11" i="1"/>
  <c r="W104" i="7"/>
  <c r="E101" i="1"/>
  <c r="F34" i="6"/>
  <c r="O54" i="5"/>
  <c r="D67" i="6" s="1"/>
  <c r="O26" i="5"/>
  <c r="V78" i="7" s="1"/>
  <c r="Z140" i="7"/>
  <c r="T119" i="5"/>
  <c r="G44" i="1"/>
  <c r="O190" i="5"/>
  <c r="X189" i="7"/>
  <c r="G186" i="1"/>
  <c r="W212" i="7"/>
  <c r="E209" i="1"/>
  <c r="W81" i="7"/>
  <c r="E53" i="1"/>
  <c r="G210" i="1"/>
  <c r="C165" i="1"/>
  <c r="E199" i="1"/>
  <c r="X157" i="7"/>
  <c r="G155" i="1"/>
  <c r="Y204" i="7"/>
  <c r="C201" i="1"/>
  <c r="W141" i="7"/>
  <c r="E139" i="1"/>
  <c r="E119" i="6"/>
  <c r="F161" i="6"/>
  <c r="Y166" i="7"/>
  <c r="C164" i="1"/>
  <c r="W181" i="7"/>
  <c r="E178" i="1"/>
  <c r="W153" i="7"/>
  <c r="E151" i="1"/>
  <c r="X200" i="7"/>
  <c r="G197" i="1"/>
  <c r="X159" i="7"/>
  <c r="G157" i="1"/>
  <c r="X212" i="7"/>
  <c r="G209" i="1"/>
  <c r="Z214" i="7"/>
  <c r="Y202" i="7"/>
  <c r="Z161" i="7"/>
  <c r="W204" i="7"/>
  <c r="E114" i="6"/>
  <c r="W142" i="7"/>
  <c r="Z39" i="7"/>
  <c r="F61" i="6"/>
  <c r="Y78" i="7"/>
  <c r="G192" i="1"/>
  <c r="O97" i="5"/>
  <c r="X131" i="7"/>
  <c r="G131" i="1"/>
  <c r="X193" i="7"/>
  <c r="G190" i="1"/>
  <c r="W13" i="7"/>
  <c r="E79" i="1"/>
  <c r="W29" i="7"/>
  <c r="E11" i="1"/>
  <c r="O171" i="5"/>
  <c r="V178" i="7" s="1"/>
  <c r="T143" i="5"/>
  <c r="S124" i="5"/>
  <c r="O16" i="5"/>
  <c r="V48" i="7" s="1"/>
  <c r="C37" i="9"/>
  <c r="S119" i="5"/>
  <c r="C4" i="8"/>
  <c r="T7" i="5"/>
  <c r="I210" i="1"/>
  <c r="I164" i="1"/>
  <c r="O110" i="5"/>
  <c r="V110" i="5" s="1"/>
  <c r="C59" i="9"/>
  <c r="D178" i="6"/>
  <c r="V171" i="7"/>
  <c r="S165" i="5"/>
  <c r="T165" i="5"/>
  <c r="I169" i="1"/>
  <c r="V102" i="7"/>
  <c r="D108" i="6"/>
  <c r="S95" i="5"/>
  <c r="I99" i="1"/>
  <c r="T95" i="5"/>
  <c r="C30" i="9"/>
  <c r="D149" i="6"/>
  <c r="S136" i="5"/>
  <c r="T136" i="5"/>
  <c r="I140" i="1"/>
  <c r="V136" i="5"/>
  <c r="S89" i="5"/>
  <c r="T89" i="5"/>
  <c r="V97" i="7"/>
  <c r="D41" i="6"/>
  <c r="T28" i="5"/>
  <c r="S28" i="5"/>
  <c r="I32" i="1"/>
  <c r="V28" i="5"/>
  <c r="V45" i="7"/>
  <c r="S64" i="5"/>
  <c r="E191" i="6"/>
  <c r="AA185" i="7"/>
  <c r="U178" i="5"/>
  <c r="F180" i="6"/>
  <c r="Z174" i="7"/>
  <c r="J171" i="1"/>
  <c r="Y138" i="7"/>
  <c r="C136" i="1"/>
  <c r="C67" i="9"/>
  <c r="S173" i="5"/>
  <c r="D186" i="6"/>
  <c r="V180" i="7"/>
  <c r="I177" i="1"/>
  <c r="X73" i="7"/>
  <c r="G27" i="1"/>
  <c r="AA84" i="7"/>
  <c r="E105" i="6"/>
  <c r="U92" i="5"/>
  <c r="Y119" i="7"/>
  <c r="C72" i="1"/>
  <c r="D47" i="6"/>
  <c r="V37" i="7"/>
  <c r="T34" i="5"/>
  <c r="S34" i="5"/>
  <c r="I38" i="1"/>
  <c r="Z36" i="7"/>
  <c r="F92" i="6"/>
  <c r="J83" i="1"/>
  <c r="X19" i="7"/>
  <c r="G60" i="1"/>
  <c r="F42" i="6"/>
  <c r="Z20" i="7"/>
  <c r="J33" i="1"/>
  <c r="E42" i="6"/>
  <c r="AA20" i="7"/>
  <c r="U29" i="5"/>
  <c r="Z100" i="7"/>
  <c r="F79" i="6"/>
  <c r="J70" i="1"/>
  <c r="Y10" i="7"/>
  <c r="C76" i="1"/>
  <c r="B4" i="8"/>
  <c r="W34" i="7"/>
  <c r="O11" i="5"/>
  <c r="E15" i="1"/>
  <c r="Z127" i="7"/>
  <c r="F136" i="6"/>
  <c r="J127" i="1"/>
  <c r="X138" i="7"/>
  <c r="O132" i="5"/>
  <c r="V132" i="5" s="1"/>
  <c r="G136" i="1"/>
  <c r="W129" i="7"/>
  <c r="O125" i="5"/>
  <c r="E129" i="1"/>
  <c r="Z175" i="7"/>
  <c r="F181" i="6"/>
  <c r="J172" i="1"/>
  <c r="Z45" i="7"/>
  <c r="F77" i="6"/>
  <c r="J68" i="1"/>
  <c r="Y137" i="7"/>
  <c r="C135" i="1"/>
  <c r="T151" i="5"/>
  <c r="D164" i="6"/>
  <c r="W30" i="7"/>
  <c r="O8" i="5"/>
  <c r="E12" i="1"/>
  <c r="AA42" i="7"/>
  <c r="E27" i="6"/>
  <c r="U14" i="5"/>
  <c r="X84" i="7"/>
  <c r="G96" i="1"/>
  <c r="X22" i="7"/>
  <c r="G7" i="1"/>
  <c r="V52" i="7"/>
  <c r="D95" i="6"/>
  <c r="T82" i="5"/>
  <c r="S82" i="5"/>
  <c r="I86" i="1"/>
  <c r="X119" i="7"/>
  <c r="G72" i="1"/>
  <c r="V156" i="7"/>
  <c r="D163" i="6"/>
  <c r="S150" i="5"/>
  <c r="Z82" i="7"/>
  <c r="F63" i="6"/>
  <c r="J54" i="1"/>
  <c r="E40" i="6"/>
  <c r="AA83" i="7"/>
  <c r="U27" i="5"/>
  <c r="AA146" i="7"/>
  <c r="E153" i="6"/>
  <c r="U140" i="5"/>
  <c r="Y207" i="7"/>
  <c r="C204" i="1"/>
  <c r="S182" i="5"/>
  <c r="I186" i="1"/>
  <c r="AA139" i="7"/>
  <c r="E146" i="6"/>
  <c r="U133" i="5"/>
  <c r="Z66" i="7"/>
  <c r="F57" i="6"/>
  <c r="J48" i="1"/>
  <c r="X164" i="7"/>
  <c r="G162" i="1"/>
  <c r="Z126" i="7"/>
  <c r="F135" i="6"/>
  <c r="J126" i="1"/>
  <c r="X158" i="7"/>
  <c r="G156" i="1"/>
  <c r="F202" i="6"/>
  <c r="Z196" i="7"/>
  <c r="J193" i="1"/>
  <c r="W127" i="7"/>
  <c r="O123" i="5"/>
  <c r="E127" i="1"/>
  <c r="X155" i="7"/>
  <c r="G153" i="1"/>
  <c r="Y25" i="7"/>
  <c r="C9" i="1"/>
  <c r="X31" i="7"/>
  <c r="G13" i="1"/>
  <c r="I22" i="1"/>
  <c r="V34" i="5"/>
  <c r="Y164" i="7"/>
  <c r="C162" i="1"/>
  <c r="O92" i="5"/>
  <c r="V92" i="5" s="1"/>
  <c r="X61" i="7"/>
  <c r="G89" i="1"/>
  <c r="O85" i="5"/>
  <c r="F19" i="6"/>
  <c r="Z28" i="7"/>
  <c r="J10" i="1"/>
  <c r="D218" i="6"/>
  <c r="V212" i="7"/>
  <c r="C99" i="9"/>
  <c r="S205" i="5"/>
  <c r="V205" i="5"/>
  <c r="T205" i="5"/>
  <c r="I209" i="1"/>
  <c r="W182" i="7"/>
  <c r="O175" i="5"/>
  <c r="E179" i="1"/>
  <c r="W164" i="7"/>
  <c r="O158" i="5"/>
  <c r="V158" i="5" s="1"/>
  <c r="E162" i="1"/>
  <c r="X173" i="7"/>
  <c r="G170" i="1"/>
  <c r="W17" i="7"/>
  <c r="E59" i="1"/>
  <c r="O55" i="5"/>
  <c r="V55" i="5" s="1"/>
  <c r="AA132" i="7"/>
  <c r="E141" i="6"/>
  <c r="U128" i="5"/>
  <c r="AA203" i="7"/>
  <c r="E209" i="6"/>
  <c r="U196" i="5"/>
  <c r="X133" i="7"/>
  <c r="G133" i="1"/>
  <c r="W179" i="7"/>
  <c r="O172" i="5"/>
  <c r="E176" i="1"/>
  <c r="V143" i="7"/>
  <c r="C31" i="9"/>
  <c r="D150" i="6"/>
  <c r="T137" i="5"/>
  <c r="S137" i="5"/>
  <c r="I141" i="1"/>
  <c r="X76" i="7"/>
  <c r="G29" i="1"/>
  <c r="W42" i="7"/>
  <c r="O14" i="5"/>
  <c r="E18" i="1"/>
  <c r="Z64" i="7"/>
  <c r="F101" i="6"/>
  <c r="J92" i="1"/>
  <c r="AA134" i="7"/>
  <c r="E82" i="6"/>
  <c r="U69" i="5"/>
  <c r="W165" i="7"/>
  <c r="O159" i="5"/>
  <c r="V159" i="5" s="1"/>
  <c r="E163" i="1"/>
  <c r="W19" i="7"/>
  <c r="O56" i="5"/>
  <c r="V56" i="5" s="1"/>
  <c r="E60" i="1"/>
  <c r="W150" i="7"/>
  <c r="O144" i="5"/>
  <c r="E148" i="1"/>
  <c r="E67" i="6"/>
  <c r="AA14" i="7"/>
  <c r="U54" i="5"/>
  <c r="Z145" i="7"/>
  <c r="F152" i="6"/>
  <c r="J143" i="1"/>
  <c r="C96" i="9"/>
  <c r="T202" i="5"/>
  <c r="S202" i="5"/>
  <c r="V209" i="7"/>
  <c r="D215" i="6"/>
  <c r="I206" i="1"/>
  <c r="X124" i="7"/>
  <c r="G124" i="1"/>
  <c r="F176" i="6"/>
  <c r="Z169" i="7"/>
  <c r="J167" i="1"/>
  <c r="E171" i="6"/>
  <c r="AA164" i="7"/>
  <c r="U158" i="5"/>
  <c r="Y173" i="7"/>
  <c r="C170" i="1"/>
  <c r="AA96" i="7"/>
  <c r="E64" i="6"/>
  <c r="U51" i="5"/>
  <c r="Z99" i="7"/>
  <c r="F66" i="6"/>
  <c r="J57" i="1"/>
  <c r="AA125" i="7"/>
  <c r="E134" i="6"/>
  <c r="U121" i="5"/>
  <c r="X203" i="7"/>
  <c r="O196" i="5"/>
  <c r="G200" i="1"/>
  <c r="E162" i="6"/>
  <c r="AA155" i="7"/>
  <c r="U149" i="5"/>
  <c r="X190" i="7"/>
  <c r="O183" i="5"/>
  <c r="G187" i="1"/>
  <c r="E185" i="6"/>
  <c r="AA179" i="7"/>
  <c r="U172" i="5"/>
  <c r="E24" i="6"/>
  <c r="AA34" i="7"/>
  <c r="U11" i="5"/>
  <c r="C80" i="9"/>
  <c r="W134" i="7"/>
  <c r="O69" i="5"/>
  <c r="V69" i="5" s="1"/>
  <c r="E73" i="1"/>
  <c r="X81" i="7"/>
  <c r="G53" i="1"/>
  <c r="O49" i="5"/>
  <c r="D93" i="6"/>
  <c r="S80" i="5"/>
  <c r="AA150" i="7"/>
  <c r="E157" i="6"/>
  <c r="U144" i="5"/>
  <c r="W75" i="7"/>
  <c r="O46" i="5"/>
  <c r="E50" i="1"/>
  <c r="O152" i="5"/>
  <c r="V152" i="5" s="1"/>
  <c r="Y31" i="7"/>
  <c r="C13" i="1"/>
  <c r="Y103" i="7"/>
  <c r="C100" i="1"/>
  <c r="D80" i="6"/>
  <c r="V111" i="7"/>
  <c r="T67" i="5"/>
  <c r="I71" i="1"/>
  <c r="S67" i="5"/>
  <c r="Z150" i="7"/>
  <c r="F157" i="6"/>
  <c r="J148" i="1"/>
  <c r="X140" i="7"/>
  <c r="G138" i="1"/>
  <c r="E25" i="6"/>
  <c r="AA39" i="7"/>
  <c r="U12" i="5"/>
  <c r="E59" i="6"/>
  <c r="AA75" i="7"/>
  <c r="U46" i="5"/>
  <c r="X97" i="7"/>
  <c r="G32" i="1"/>
  <c r="W72" i="7"/>
  <c r="O22" i="5"/>
  <c r="V22" i="5" s="1"/>
  <c r="E26" i="1"/>
  <c r="E104" i="6"/>
  <c r="AA79" i="7"/>
  <c r="U91" i="5"/>
  <c r="O200" i="5"/>
  <c r="V200" i="5" s="1"/>
  <c r="Z18" i="7"/>
  <c r="F91" i="6"/>
  <c r="J82" i="1"/>
  <c r="AA81" i="7"/>
  <c r="E62" i="6"/>
  <c r="U49" i="5"/>
  <c r="Z177" i="7"/>
  <c r="F183" i="6"/>
  <c r="J174" i="1"/>
  <c r="Y163" i="7"/>
  <c r="C161" i="1"/>
  <c r="X175" i="7"/>
  <c r="G172" i="1"/>
  <c r="V200" i="7"/>
  <c r="Z74" i="7"/>
  <c r="F37" i="6"/>
  <c r="J28" i="1"/>
  <c r="Z146" i="7"/>
  <c r="F153" i="6"/>
  <c r="J144" i="1"/>
  <c r="X188" i="7"/>
  <c r="G185" i="1"/>
  <c r="C16" i="9"/>
  <c r="T122" i="5"/>
  <c r="Z124" i="7"/>
  <c r="F133" i="6"/>
  <c r="J124" i="1"/>
  <c r="Y140" i="7"/>
  <c r="C138" i="1"/>
  <c r="W119" i="7"/>
  <c r="O68" i="5"/>
  <c r="V68" i="5" s="1"/>
  <c r="E72" i="1"/>
  <c r="D86" i="6"/>
  <c r="V11" i="7"/>
  <c r="S73" i="5"/>
  <c r="I77" i="1"/>
  <c r="T73" i="5"/>
  <c r="T93" i="5"/>
  <c r="I97" i="1"/>
  <c r="AA154" i="7"/>
  <c r="E161" i="6"/>
  <c r="U148" i="5"/>
  <c r="Y89" i="7"/>
  <c r="C66" i="1"/>
  <c r="W39" i="7"/>
  <c r="O12" i="5"/>
  <c r="E16" i="1"/>
  <c r="E41" i="6"/>
  <c r="AA97" i="7"/>
  <c r="U28" i="5"/>
  <c r="V41" i="7"/>
  <c r="D26" i="6"/>
  <c r="T13" i="5"/>
  <c r="S13" i="5"/>
  <c r="I17" i="1"/>
  <c r="AA57" i="7"/>
  <c r="E55" i="6"/>
  <c r="U42" i="5"/>
  <c r="W79" i="7"/>
  <c r="O91" i="5"/>
  <c r="E95" i="1"/>
  <c r="W85" i="7"/>
  <c r="E69" i="1"/>
  <c r="O65" i="5"/>
  <c r="X136" i="7"/>
  <c r="G134" i="1"/>
  <c r="U159" i="5"/>
  <c r="AA165" i="7"/>
  <c r="E172" i="6"/>
  <c r="W15" i="7"/>
  <c r="O76" i="5"/>
  <c r="E80" i="1"/>
  <c r="O130" i="5"/>
  <c r="F70" i="6"/>
  <c r="Z24" i="7"/>
  <c r="J61" i="1"/>
  <c r="F27" i="6"/>
  <c r="Z42" i="7"/>
  <c r="J18" i="1"/>
  <c r="Y208" i="7"/>
  <c r="C205" i="1"/>
  <c r="F137" i="6"/>
  <c r="Z128" i="7"/>
  <c r="J128" i="1"/>
  <c r="Y17" i="7"/>
  <c r="C59" i="1"/>
  <c r="X151" i="7"/>
  <c r="G149" i="1"/>
  <c r="V151" i="5"/>
  <c r="X114" i="7"/>
  <c r="G120" i="1"/>
  <c r="O131" i="5"/>
  <c r="V131" i="5" s="1"/>
  <c r="AA85" i="7"/>
  <c r="E78" i="6"/>
  <c r="U65" i="5"/>
  <c r="AA136" i="7"/>
  <c r="E143" i="6"/>
  <c r="U130" i="5"/>
  <c r="AA15" i="7"/>
  <c r="E89" i="6"/>
  <c r="U76" i="5"/>
  <c r="D120" i="6"/>
  <c r="X89" i="7"/>
  <c r="G66" i="1"/>
  <c r="W33" i="7"/>
  <c r="E14" i="1"/>
  <c r="O10" i="5"/>
  <c r="W47" i="7"/>
  <c r="O15" i="5"/>
  <c r="E19" i="1"/>
  <c r="X57" i="7"/>
  <c r="G46" i="1"/>
  <c r="X75" i="7"/>
  <c r="G50" i="1"/>
  <c r="AA90" i="7"/>
  <c r="E106" i="6"/>
  <c r="U93" i="5"/>
  <c r="X108" i="7"/>
  <c r="G115" i="1"/>
  <c r="O111" i="5"/>
  <c r="X13" i="7"/>
  <c r="O75" i="5"/>
  <c r="V75" i="5" s="1"/>
  <c r="G79" i="1"/>
  <c r="V170" i="7"/>
  <c r="D177" i="6"/>
  <c r="C58" i="9"/>
  <c r="S164" i="5"/>
  <c r="T164" i="5"/>
  <c r="I168" i="1"/>
  <c r="Y165" i="7"/>
  <c r="C163" i="1"/>
  <c r="Z55" i="7"/>
  <c r="F71" i="6"/>
  <c r="J62" i="1"/>
  <c r="Z116" i="7"/>
  <c r="F130" i="6"/>
  <c r="J121" i="1"/>
  <c r="F69" i="6"/>
  <c r="Z19" i="7"/>
  <c r="J60" i="1"/>
  <c r="AA65" i="7"/>
  <c r="E56" i="6"/>
  <c r="U43" i="5"/>
  <c r="AA47" i="7"/>
  <c r="E28" i="6"/>
  <c r="U15" i="5"/>
  <c r="B3" i="8"/>
  <c r="AA158" i="7"/>
  <c r="E165" i="6"/>
  <c r="U152" i="5"/>
  <c r="Y146" i="7"/>
  <c r="C144" i="1"/>
  <c r="Y186" i="7"/>
  <c r="C183" i="1"/>
  <c r="V188" i="7"/>
  <c r="C75" i="9"/>
  <c r="D194" i="6"/>
  <c r="T181" i="5"/>
  <c r="S181" i="5"/>
  <c r="I185" i="1"/>
  <c r="C3" i="8"/>
  <c r="E72" i="6"/>
  <c r="AA86" i="7"/>
  <c r="U59" i="5"/>
  <c r="V182" i="5"/>
  <c r="Y45" i="7"/>
  <c r="C68" i="1"/>
  <c r="V64" i="5"/>
  <c r="Z49" i="7"/>
  <c r="F52" i="6"/>
  <c r="J43" i="1"/>
  <c r="X191" i="7"/>
  <c r="G188" i="1"/>
  <c r="O184" i="5"/>
  <c r="C85" i="9"/>
  <c r="V198" i="7"/>
  <c r="D204" i="6"/>
  <c r="T191" i="5"/>
  <c r="S191" i="5"/>
  <c r="V191" i="5"/>
  <c r="I195" i="1"/>
  <c r="E54" i="6"/>
  <c r="AA54" i="7"/>
  <c r="U41" i="5"/>
  <c r="W99" i="7"/>
  <c r="O53" i="5"/>
  <c r="E57" i="1"/>
  <c r="F115" i="6"/>
  <c r="Z123" i="7"/>
  <c r="J106" i="1"/>
  <c r="Y76" i="7"/>
  <c r="C29" i="1"/>
  <c r="I51" i="1"/>
  <c r="W22" i="7"/>
  <c r="E7" i="1"/>
  <c r="O3" i="5"/>
  <c r="D57" i="6"/>
  <c r="Z44" i="7"/>
  <c r="F51" i="6"/>
  <c r="J42" i="1"/>
  <c r="AA82" i="7"/>
  <c r="E63" i="6"/>
  <c r="U50" i="5"/>
  <c r="D33" i="6"/>
  <c r="V68" i="7"/>
  <c r="I24" i="1"/>
  <c r="T20" i="5"/>
  <c r="S20" i="5"/>
  <c r="V20" i="5"/>
  <c r="Y84" i="7"/>
  <c r="C96" i="1"/>
  <c r="AA112" i="7"/>
  <c r="E127" i="6"/>
  <c r="U114" i="5"/>
  <c r="F138" i="6"/>
  <c r="Z129" i="7"/>
  <c r="J129" i="1"/>
  <c r="E154" i="6"/>
  <c r="AA147" i="7"/>
  <c r="U141" i="5"/>
  <c r="Z201" i="7"/>
  <c r="F207" i="6"/>
  <c r="J198" i="1"/>
  <c r="Z164" i="7"/>
  <c r="F171" i="6"/>
  <c r="J162" i="1"/>
  <c r="X210" i="7"/>
  <c r="G207" i="1"/>
  <c r="F103" i="6"/>
  <c r="Z70" i="7"/>
  <c r="J94" i="1"/>
  <c r="O25" i="5"/>
  <c r="F26" i="6"/>
  <c r="Z41" i="7"/>
  <c r="J17" i="1"/>
  <c r="X123" i="7"/>
  <c r="G106" i="1"/>
  <c r="W74" i="7"/>
  <c r="O24" i="5"/>
  <c r="E28" i="1"/>
  <c r="AA98" i="7"/>
  <c r="E65" i="6"/>
  <c r="U52" i="5"/>
  <c r="O62" i="5"/>
  <c r="V62" i="5" s="1"/>
  <c r="X163" i="7"/>
  <c r="G161" i="1"/>
  <c r="Y130" i="7"/>
  <c r="C130" i="1"/>
  <c r="D133" i="6"/>
  <c r="C14" i="9"/>
  <c r="V124" i="7"/>
  <c r="S120" i="5"/>
  <c r="T120" i="5"/>
  <c r="I124" i="1"/>
  <c r="Y196" i="7"/>
  <c r="C193" i="1"/>
  <c r="AA192" i="7"/>
  <c r="E198" i="6"/>
  <c r="U185" i="5"/>
  <c r="Y178" i="7"/>
  <c r="C175" i="1"/>
  <c r="Z148" i="7"/>
  <c r="F155" i="6"/>
  <c r="J146" i="1"/>
  <c r="AA173" i="7"/>
  <c r="E179" i="6"/>
  <c r="U166" i="5"/>
  <c r="AA12" i="7"/>
  <c r="E87" i="6"/>
  <c r="U74" i="5"/>
  <c r="E124" i="6"/>
  <c r="AA108" i="7"/>
  <c r="U111" i="5"/>
  <c r="W24" i="7"/>
  <c r="O57" i="5"/>
  <c r="E61" i="1"/>
  <c r="W196" i="7"/>
  <c r="O189" i="5"/>
  <c r="V189" i="5" s="1"/>
  <c r="E193" i="1"/>
  <c r="X147" i="7"/>
  <c r="G145" i="1"/>
  <c r="Z132" i="7"/>
  <c r="F141" i="6"/>
  <c r="J132" i="1"/>
  <c r="Z57" i="7"/>
  <c r="F55" i="6"/>
  <c r="J46" i="1"/>
  <c r="S42" i="5"/>
  <c r="I46" i="1"/>
  <c r="X198" i="7"/>
  <c r="G195" i="1"/>
  <c r="AA127" i="7"/>
  <c r="U123" i="5"/>
  <c r="E136" i="6"/>
  <c r="AA169" i="7"/>
  <c r="E176" i="6"/>
  <c r="U163" i="5"/>
  <c r="Y102" i="7"/>
  <c r="C99" i="1"/>
  <c r="V95" i="5"/>
  <c r="G193" i="1"/>
  <c r="X196" i="7"/>
  <c r="AA101" i="7"/>
  <c r="E84" i="6"/>
  <c r="U71" i="5"/>
  <c r="W40" i="7"/>
  <c r="O36" i="5"/>
  <c r="E40" i="1"/>
  <c r="X55" i="7"/>
  <c r="G62" i="1"/>
  <c r="Z134" i="7"/>
  <c r="F82" i="6"/>
  <c r="J73" i="1"/>
  <c r="X150" i="7"/>
  <c r="G148" i="1"/>
  <c r="AA143" i="7"/>
  <c r="E150" i="6"/>
  <c r="U137" i="5"/>
  <c r="X120" i="7"/>
  <c r="G103" i="1"/>
  <c r="AA74" i="7"/>
  <c r="E37" i="6"/>
  <c r="U24" i="5"/>
  <c r="W98" i="7"/>
  <c r="E56" i="1"/>
  <c r="O52" i="5"/>
  <c r="Z17" i="7"/>
  <c r="F68" i="6"/>
  <c r="J59" i="1"/>
  <c r="V28" i="7"/>
  <c r="D19" i="6"/>
  <c r="S6" i="5"/>
  <c r="I10" i="1"/>
  <c r="T6" i="5"/>
  <c r="V73" i="5"/>
  <c r="Y63" i="7"/>
  <c r="C91" i="1"/>
  <c r="W120" i="7"/>
  <c r="O99" i="5"/>
  <c r="V99" i="5" s="1"/>
  <c r="E103" i="1"/>
  <c r="Y72" i="7"/>
  <c r="C26" i="1"/>
  <c r="V82" i="7"/>
  <c r="S50" i="5"/>
  <c r="I54" i="1"/>
  <c r="V50" i="5"/>
  <c r="W27" i="7"/>
  <c r="O31" i="5"/>
  <c r="E35" i="1"/>
  <c r="W73" i="7"/>
  <c r="O23" i="5"/>
  <c r="E27" i="1"/>
  <c r="AA41" i="7"/>
  <c r="E26" i="6"/>
  <c r="U13" i="5"/>
  <c r="C89" i="9"/>
  <c r="T195" i="5"/>
  <c r="S195" i="5"/>
  <c r="V202" i="7"/>
  <c r="D208" i="6"/>
  <c r="I199" i="1"/>
  <c r="W173" i="7"/>
  <c r="O166" i="5"/>
  <c r="V166" i="5" s="1"/>
  <c r="E170" i="1"/>
  <c r="Y112" i="7"/>
  <c r="C118" i="1"/>
  <c r="O114" i="5"/>
  <c r="V114" i="5" s="1"/>
  <c r="Z58" i="7"/>
  <c r="F30" i="6"/>
  <c r="J21" i="1"/>
  <c r="X107" i="7"/>
  <c r="G114" i="1"/>
  <c r="X184" i="7"/>
  <c r="G181" i="1"/>
  <c r="O177" i="5"/>
  <c r="W167" i="7"/>
  <c r="O161" i="5"/>
  <c r="E165" i="1"/>
  <c r="Y151" i="7"/>
  <c r="C149" i="1"/>
  <c r="W132" i="7"/>
  <c r="O128" i="5"/>
  <c r="E132" i="1"/>
  <c r="O126" i="5"/>
  <c r="C50" i="9"/>
  <c r="D169" i="6"/>
  <c r="V162" i="7"/>
  <c r="T156" i="5"/>
  <c r="S156" i="5"/>
  <c r="I160" i="1"/>
  <c r="D111" i="6"/>
  <c r="V105" i="7"/>
  <c r="T98" i="5"/>
  <c r="S98" i="5"/>
  <c r="I102" i="1"/>
  <c r="X88" i="7"/>
  <c r="G65" i="1"/>
  <c r="AA207" i="7"/>
  <c r="E213" i="6"/>
  <c r="U200" i="5"/>
  <c r="Y48" i="7"/>
  <c r="C20" i="1"/>
  <c r="Z34" i="7"/>
  <c r="F24" i="6"/>
  <c r="J15" i="1"/>
  <c r="W25" i="7"/>
  <c r="O5" i="5"/>
  <c r="V5" i="5" s="1"/>
  <c r="E9" i="1"/>
  <c r="Y52" i="7"/>
  <c r="V82" i="5"/>
  <c r="C86" i="1"/>
  <c r="X146" i="7"/>
  <c r="G144" i="1"/>
  <c r="X63" i="7"/>
  <c r="G91" i="1"/>
  <c r="X72" i="7"/>
  <c r="G26" i="1"/>
  <c r="W10" i="7"/>
  <c r="O72" i="5"/>
  <c r="V72" i="5" s="1"/>
  <c r="E76" i="1"/>
  <c r="AA27" i="7"/>
  <c r="E44" i="6"/>
  <c r="U31" i="5"/>
  <c r="E36" i="6"/>
  <c r="AA73" i="7"/>
  <c r="U23" i="5"/>
  <c r="F47" i="6"/>
  <c r="Z37" i="7"/>
  <c r="J38" i="1"/>
  <c r="O157" i="5"/>
  <c r="W65" i="7"/>
  <c r="O43" i="5"/>
  <c r="E47" i="1"/>
  <c r="Z206" i="7"/>
  <c r="F212" i="6"/>
  <c r="J203" i="1"/>
  <c r="AA64" i="7"/>
  <c r="E101" i="6"/>
  <c r="U88" i="5"/>
  <c r="C41" i="9"/>
  <c r="V153" i="7"/>
  <c r="T147" i="5"/>
  <c r="S147" i="5"/>
  <c r="I151" i="1"/>
  <c r="W186" i="7"/>
  <c r="O179" i="5"/>
  <c r="E183" i="1"/>
  <c r="X47" i="7"/>
  <c r="G19" i="1"/>
  <c r="AA113" i="7"/>
  <c r="U115" i="5"/>
  <c r="E128" i="6"/>
  <c r="F102" i="6"/>
  <c r="Z69" i="7"/>
  <c r="J93" i="1"/>
  <c r="X112" i="7"/>
  <c r="G118" i="1"/>
  <c r="Y51" i="7"/>
  <c r="C85" i="1"/>
  <c r="W21" i="7"/>
  <c r="C2" i="8"/>
  <c r="B2" i="8"/>
  <c r="O2" i="5"/>
  <c r="E6" i="1"/>
  <c r="W58" i="7"/>
  <c r="O17" i="5"/>
  <c r="E21" i="1"/>
  <c r="W174" i="7"/>
  <c r="O167" i="5"/>
  <c r="E171" i="1"/>
  <c r="Y23" i="7"/>
  <c r="C8" i="1"/>
  <c r="S118" i="5"/>
  <c r="I122" i="1"/>
  <c r="V26" i="7"/>
  <c r="D43" i="6"/>
  <c r="S30" i="5"/>
  <c r="T30" i="5"/>
  <c r="Z179" i="7"/>
  <c r="F185" i="6"/>
  <c r="J176" i="1"/>
  <c r="W125" i="7"/>
  <c r="O121" i="5"/>
  <c r="E125" i="1"/>
  <c r="W151" i="7"/>
  <c r="O145" i="5"/>
  <c r="V145" i="5" s="1"/>
  <c r="E149" i="1"/>
  <c r="AA114" i="7"/>
  <c r="E129" i="6"/>
  <c r="U116" i="5"/>
  <c r="W56" i="7"/>
  <c r="O84" i="5"/>
  <c r="V84" i="5" s="1"/>
  <c r="E88" i="1"/>
  <c r="W43" i="7"/>
  <c r="O37" i="5"/>
  <c r="V37" i="5" s="1"/>
  <c r="E41" i="1"/>
  <c r="X134" i="7"/>
  <c r="G73" i="1"/>
  <c r="V135" i="7"/>
  <c r="D83" i="6"/>
  <c r="V70" i="5"/>
  <c r="S70" i="5"/>
  <c r="I74" i="1"/>
  <c r="C21" i="9"/>
  <c r="V131" i="7"/>
  <c r="D140" i="6"/>
  <c r="T127" i="5"/>
  <c r="S127" i="5"/>
  <c r="I131" i="1"/>
  <c r="F108" i="6"/>
  <c r="Z102" i="7"/>
  <c r="J99" i="1"/>
  <c r="C2" i="9"/>
  <c r="D121" i="6"/>
  <c r="T108" i="5"/>
  <c r="I112" i="1"/>
  <c r="S108" i="5"/>
  <c r="W192" i="7"/>
  <c r="O185" i="5"/>
  <c r="V185" i="5" s="1"/>
  <c r="E189" i="1"/>
  <c r="X122" i="7"/>
  <c r="G105" i="1"/>
  <c r="D91" i="6"/>
  <c r="V18" i="7"/>
  <c r="T78" i="5"/>
  <c r="S78" i="5"/>
  <c r="I82" i="1"/>
  <c r="V78" i="5"/>
  <c r="AA119" i="7"/>
  <c r="E81" i="6"/>
  <c r="U68" i="5"/>
  <c r="E187" i="6"/>
  <c r="AA181" i="7"/>
  <c r="U174" i="5"/>
  <c r="AA214" i="7"/>
  <c r="E220" i="6"/>
  <c r="U207" i="5"/>
  <c r="W160" i="7"/>
  <c r="O154" i="5"/>
  <c r="V154" i="5" s="1"/>
  <c r="E158" i="1"/>
  <c r="V204" i="7"/>
  <c r="C91" i="9"/>
  <c r="D210" i="6"/>
  <c r="S197" i="5"/>
  <c r="V197" i="5"/>
  <c r="T197" i="5"/>
  <c r="I201" i="1"/>
  <c r="X40" i="7"/>
  <c r="G40" i="1"/>
  <c r="X207" i="7"/>
  <c r="G204" i="1"/>
  <c r="W168" i="7"/>
  <c r="O162" i="5"/>
  <c r="E166" i="1"/>
  <c r="W67" i="7"/>
  <c r="O45" i="5"/>
  <c r="E49" i="1"/>
  <c r="AA116" i="7"/>
  <c r="E130" i="6"/>
  <c r="U117" i="5"/>
  <c r="AA167" i="7"/>
  <c r="E174" i="6"/>
  <c r="U161" i="5"/>
  <c r="X167" i="7"/>
  <c r="G165" i="1"/>
  <c r="V187" i="7"/>
  <c r="C74" i="9"/>
  <c r="S180" i="5"/>
  <c r="F4" i="8"/>
  <c r="F3" i="8"/>
  <c r="F2" i="8"/>
  <c r="E15" i="6"/>
  <c r="AA21" i="7"/>
  <c r="U2" i="5"/>
  <c r="AA67" i="7"/>
  <c r="U45" i="5"/>
  <c r="E58" i="6"/>
  <c r="F16" i="6"/>
  <c r="Z22" i="7"/>
  <c r="J7" i="1"/>
  <c r="V83" i="7"/>
  <c r="D40" i="6"/>
  <c r="W44" i="7"/>
  <c r="O38" i="5"/>
  <c r="E42" i="1"/>
  <c r="W115" i="7"/>
  <c r="O63" i="5"/>
  <c r="E67" i="1"/>
  <c r="V92" i="7"/>
  <c r="D117" i="6"/>
  <c r="S104" i="5"/>
  <c r="I108" i="1"/>
  <c r="T104" i="5"/>
  <c r="Y156" i="7"/>
  <c r="V150" i="5"/>
  <c r="C154" i="1"/>
  <c r="Y19" i="7"/>
  <c r="C60" i="1"/>
  <c r="Y134" i="7"/>
  <c r="C73" i="1"/>
  <c r="X183" i="7"/>
  <c r="G180" i="1"/>
  <c r="AA188" i="7"/>
  <c r="U181" i="5"/>
  <c r="E194" i="6"/>
  <c r="D151" i="6"/>
  <c r="C32" i="9"/>
  <c r="V144" i="7"/>
  <c r="T138" i="5"/>
  <c r="S138" i="5"/>
  <c r="I142" i="1"/>
  <c r="X181" i="7"/>
  <c r="O174" i="5"/>
  <c r="G178" i="1"/>
  <c r="C62" i="9"/>
  <c r="V175" i="7"/>
  <c r="T168" i="5"/>
  <c r="S168" i="5"/>
  <c r="D107" i="6"/>
  <c r="V91" i="7"/>
  <c r="V94" i="5"/>
  <c r="T94" i="5"/>
  <c r="S94" i="5"/>
  <c r="I98" i="1"/>
  <c r="AA128" i="7"/>
  <c r="E137" i="6"/>
  <c r="U124" i="5"/>
  <c r="AA206" i="7"/>
  <c r="E212" i="6"/>
  <c r="U199" i="5"/>
  <c r="AA172" i="7"/>
  <c r="E116" i="6"/>
  <c r="U103" i="5"/>
  <c r="V71" i="7"/>
  <c r="D34" i="6"/>
  <c r="T21" i="5"/>
  <c r="V21" i="5"/>
  <c r="I25" i="1"/>
  <c r="W210" i="7"/>
  <c r="O203" i="5"/>
  <c r="E207" i="1"/>
  <c r="AA18" i="7"/>
  <c r="E91" i="6"/>
  <c r="U78" i="5"/>
  <c r="W51" i="7"/>
  <c r="O81" i="5"/>
  <c r="V81" i="5" s="1"/>
  <c r="E85" i="1"/>
  <c r="AA168" i="7"/>
  <c r="E175" i="6"/>
  <c r="U162" i="5"/>
  <c r="V159" i="7"/>
  <c r="C47" i="9"/>
  <c r="D166" i="6"/>
  <c r="T153" i="5"/>
  <c r="S153" i="5"/>
  <c r="W116" i="7"/>
  <c r="E121" i="1"/>
  <c r="O117" i="5"/>
  <c r="I58" i="1"/>
  <c r="X142" i="7"/>
  <c r="G140" i="1"/>
  <c r="U203" i="5"/>
  <c r="AA210" i="7"/>
  <c r="E216" i="6"/>
  <c r="E186" i="6"/>
  <c r="AA180" i="7"/>
  <c r="U173" i="5"/>
  <c r="Y148" i="7"/>
  <c r="C146" i="1"/>
  <c r="O142" i="5"/>
  <c r="V142" i="5" s="1"/>
  <c r="AA145" i="7"/>
  <c r="E152" i="6"/>
  <c r="U139" i="5"/>
  <c r="AA166" i="7"/>
  <c r="E173" i="6"/>
  <c r="U160" i="5"/>
  <c r="Y172" i="7"/>
  <c r="C107" i="1"/>
  <c r="V147" i="5"/>
  <c r="AA99" i="7"/>
  <c r="E66" i="6"/>
  <c r="U53" i="5"/>
  <c r="Y13" i="7"/>
  <c r="C79" i="1"/>
  <c r="V180" i="5"/>
  <c r="AA194" i="7"/>
  <c r="E200" i="6"/>
  <c r="U187" i="5"/>
  <c r="W176" i="7"/>
  <c r="E173" i="1"/>
  <c r="O169" i="5"/>
  <c r="AA56" i="7"/>
  <c r="E97" i="6"/>
  <c r="U84" i="5"/>
  <c r="Y107" i="7"/>
  <c r="C114" i="1"/>
  <c r="V96" i="7"/>
  <c r="D64" i="6"/>
  <c r="S51" i="5"/>
  <c r="T51" i="5"/>
  <c r="I55" i="1"/>
  <c r="AA202" i="7"/>
  <c r="E208" i="6"/>
  <c r="U195" i="5"/>
  <c r="AA205" i="7"/>
  <c r="E211" i="6"/>
  <c r="U198" i="5"/>
  <c r="C86" i="9"/>
  <c r="V199" i="7"/>
  <c r="D205" i="6"/>
  <c r="T192" i="5"/>
  <c r="S192" i="5"/>
  <c r="V192" i="5"/>
  <c r="I196" i="1"/>
  <c r="C64" i="9"/>
  <c r="V177" i="7"/>
  <c r="T170" i="5"/>
  <c r="S170" i="5"/>
  <c r="I174" i="1"/>
  <c r="W169" i="7"/>
  <c r="O163" i="5"/>
  <c r="E167" i="1"/>
  <c r="V137" i="5"/>
  <c r="O201" i="5"/>
  <c r="V201" i="5" s="1"/>
  <c r="W208" i="7"/>
  <c r="E205" i="1"/>
  <c r="AA110" i="7"/>
  <c r="E126" i="6"/>
  <c r="U113" i="5"/>
  <c r="W12" i="7"/>
  <c r="O74" i="5"/>
  <c r="E78" i="1"/>
  <c r="Z98" i="7"/>
  <c r="F65" i="6"/>
  <c r="J56" i="1"/>
  <c r="W194" i="7"/>
  <c r="O187" i="5"/>
  <c r="E191" i="1"/>
  <c r="AA176" i="7"/>
  <c r="E182" i="6"/>
  <c r="U169" i="5"/>
  <c r="X11" i="7"/>
  <c r="G77" i="1"/>
  <c r="X64" i="7"/>
  <c r="G92" i="1"/>
  <c r="W35" i="7"/>
  <c r="O33" i="5"/>
  <c r="E37" i="1"/>
  <c r="V54" i="5"/>
  <c r="Y120" i="7"/>
  <c r="C103" i="1"/>
  <c r="V20" i="7"/>
  <c r="D42" i="6"/>
  <c r="T29" i="5"/>
  <c r="S29" i="5"/>
  <c r="I33" i="1"/>
  <c r="AA109" i="7"/>
  <c r="E125" i="6"/>
  <c r="U112" i="5"/>
  <c r="AA63" i="7"/>
  <c r="E100" i="6"/>
  <c r="U87" i="5"/>
  <c r="X48" i="7"/>
  <c r="G20" i="1"/>
  <c r="V113" i="7"/>
  <c r="C9" i="9"/>
  <c r="S115" i="5"/>
  <c r="D128" i="6"/>
  <c r="T115" i="5"/>
  <c r="I119" i="1"/>
  <c r="W201" i="7"/>
  <c r="O194" i="5"/>
  <c r="E198" i="1"/>
  <c r="Y114" i="7"/>
  <c r="C120" i="1"/>
  <c r="W110" i="7"/>
  <c r="O113" i="5"/>
  <c r="E117" i="1"/>
  <c r="W50" i="7"/>
  <c r="E44" i="1"/>
  <c r="O40" i="5"/>
  <c r="D52" i="6"/>
  <c r="V49" i="7"/>
  <c r="T39" i="5"/>
  <c r="S39" i="5"/>
  <c r="I43" i="1"/>
  <c r="W103" i="7"/>
  <c r="O96" i="5"/>
  <c r="V96" i="5" s="1"/>
  <c r="E100" i="1"/>
  <c r="Y43" i="7"/>
  <c r="C41" i="1"/>
  <c r="X78" i="7"/>
  <c r="G30" i="1"/>
  <c r="W32" i="7"/>
  <c r="O32" i="5"/>
  <c r="E36" i="1"/>
  <c r="W55" i="7"/>
  <c r="E62" i="1"/>
  <c r="O58" i="5"/>
  <c r="AA36" i="7"/>
  <c r="E92" i="6"/>
  <c r="U79" i="5"/>
  <c r="X109" i="7"/>
  <c r="O112" i="5"/>
  <c r="G116" i="1"/>
  <c r="X32" i="7"/>
  <c r="G36" i="1"/>
  <c r="W63" i="7"/>
  <c r="O87" i="5"/>
  <c r="V87" i="5" s="1"/>
  <c r="E91" i="1"/>
  <c r="W31" i="7"/>
  <c r="O9" i="5"/>
  <c r="E13" i="1"/>
  <c r="C93" i="9"/>
  <c r="V206" i="7"/>
  <c r="D212" i="6"/>
  <c r="S199" i="5"/>
  <c r="T199" i="5"/>
  <c r="I203" i="1"/>
  <c r="C101" i="9"/>
  <c r="V214" i="7"/>
  <c r="T207" i="5"/>
  <c r="S207" i="5"/>
  <c r="I211" i="1"/>
  <c r="D220" i="6"/>
  <c r="X110" i="7"/>
  <c r="G117" i="1"/>
  <c r="AA49" i="7"/>
  <c r="E52" i="6"/>
  <c r="U39" i="5"/>
  <c r="Y171" i="7"/>
  <c r="V165" i="5"/>
  <c r="C169" i="1"/>
  <c r="E61" i="6"/>
  <c r="AA80" i="7"/>
  <c r="U48" i="5"/>
  <c r="E164" i="6"/>
  <c r="AA157" i="7"/>
  <c r="U151" i="5"/>
  <c r="Y50" i="7"/>
  <c r="C44" i="1"/>
  <c r="V93" i="7"/>
  <c r="D118" i="6"/>
  <c r="AA35" i="7"/>
  <c r="E46" i="6"/>
  <c r="U33" i="5"/>
  <c r="W64" i="7"/>
  <c r="O88" i="5"/>
  <c r="E92" i="1"/>
  <c r="C49" i="9"/>
  <c r="D168" i="6"/>
  <c r="V161" i="7"/>
  <c r="T155" i="5"/>
  <c r="S155" i="5"/>
  <c r="I159" i="1"/>
  <c r="E5" i="8"/>
  <c r="D5" i="8"/>
  <c r="B9" i="8" s="1"/>
  <c r="Z21" i="7"/>
  <c r="F15" i="6"/>
  <c r="J6" i="1"/>
  <c r="X33" i="7"/>
  <c r="G14" i="1"/>
  <c r="D54" i="6"/>
  <c r="V54" i="7"/>
  <c r="T41" i="5"/>
  <c r="S41" i="5"/>
  <c r="I45" i="1"/>
  <c r="E45" i="6"/>
  <c r="AA32" i="7"/>
  <c r="U32" i="5"/>
  <c r="W36" i="7"/>
  <c r="O79" i="5"/>
  <c r="E83" i="1"/>
  <c r="Z31" i="7"/>
  <c r="F22" i="6"/>
  <c r="J13" i="1"/>
  <c r="C40" i="9"/>
  <c r="V152" i="7"/>
  <c r="S146" i="5"/>
  <c r="T146" i="5"/>
  <c r="I150" i="1"/>
  <c r="AA31" i="7"/>
  <c r="E22" i="6"/>
  <c r="U9" i="5"/>
  <c r="F76" i="6"/>
  <c r="Z115" i="7"/>
  <c r="J67" i="1"/>
  <c r="W205" i="7"/>
  <c r="O198" i="5"/>
  <c r="E202" i="1"/>
  <c r="W133" i="7"/>
  <c r="O129" i="5"/>
  <c r="E133" i="1"/>
  <c r="X178" i="7"/>
  <c r="G175" i="1"/>
  <c r="X101" i="7"/>
  <c r="G75" i="1"/>
  <c r="W146" i="7"/>
  <c r="O140" i="5"/>
  <c r="V140" i="5" s="1"/>
  <c r="E144" i="1"/>
  <c r="X205" i="7"/>
  <c r="G202" i="1"/>
  <c r="Z209" i="7"/>
  <c r="F215" i="6"/>
  <c r="J206" i="1"/>
  <c r="X192" i="7"/>
  <c r="G189" i="1"/>
  <c r="Z194" i="7"/>
  <c r="F200" i="6"/>
  <c r="J191" i="1"/>
  <c r="Y160" i="7"/>
  <c r="C158" i="1"/>
  <c r="Z106" i="7"/>
  <c r="F122" i="6"/>
  <c r="J113" i="1"/>
  <c r="W106" i="7"/>
  <c r="O109" i="5"/>
  <c r="E113" i="1"/>
  <c r="W122" i="7"/>
  <c r="O101" i="5"/>
  <c r="E105" i="1"/>
  <c r="Y69" i="7"/>
  <c r="C93" i="1"/>
  <c r="Z172" i="7"/>
  <c r="F116" i="6"/>
  <c r="J107" i="1"/>
  <c r="Y158" i="7"/>
  <c r="C156" i="1"/>
  <c r="Z35" i="7"/>
  <c r="F46" i="6"/>
  <c r="J37" i="1"/>
  <c r="Z97" i="7"/>
  <c r="F41" i="6"/>
  <c r="J32" i="1"/>
  <c r="Y56" i="7"/>
  <c r="C88" i="1"/>
  <c r="D217" i="6"/>
  <c r="V211" i="7"/>
  <c r="C98" i="9"/>
  <c r="S204" i="5"/>
  <c r="T204" i="5"/>
  <c r="I208" i="1"/>
  <c r="F95" i="6"/>
  <c r="Z52" i="7"/>
  <c r="J86" i="1"/>
  <c r="AA37" i="7"/>
  <c r="E47" i="6"/>
  <c r="U34" i="5"/>
  <c r="AA183" i="7"/>
  <c r="E189" i="6"/>
  <c r="U176" i="5"/>
  <c r="V104" i="5"/>
  <c r="W140" i="7"/>
  <c r="O134" i="5"/>
  <c r="V134" i="5" s="1"/>
  <c r="E138" i="1"/>
  <c r="W23" i="7"/>
  <c r="E8" i="1"/>
  <c r="O4" i="5"/>
  <c r="V4" i="5" s="1"/>
  <c r="Y192" i="7"/>
  <c r="C189" i="1"/>
  <c r="C43" i="9"/>
  <c r="D162" i="6"/>
  <c r="V155" i="7"/>
  <c r="S149" i="5"/>
  <c r="T149" i="5"/>
  <c r="I153" i="1"/>
  <c r="W172" i="7"/>
  <c r="O103" i="5"/>
  <c r="V103" i="5" s="1"/>
  <c r="E107" i="1"/>
  <c r="V101" i="7"/>
  <c r="D84" i="6"/>
  <c r="S71" i="5"/>
  <c r="T71" i="5"/>
  <c r="I75" i="1"/>
  <c r="V71" i="5"/>
  <c r="V94" i="7"/>
  <c r="D119" i="6"/>
  <c r="T106" i="5"/>
  <c r="S106" i="5"/>
  <c r="I110" i="1"/>
  <c r="Y94" i="7"/>
  <c r="C110" i="1"/>
  <c r="V106" i="5"/>
  <c r="V149" i="5"/>
  <c r="AA111" i="7"/>
  <c r="E80" i="6"/>
  <c r="U67" i="5"/>
  <c r="F194" i="6"/>
  <c r="Z188" i="7"/>
  <c r="J185" i="1"/>
  <c r="C72" i="9"/>
  <c r="D191" i="6"/>
  <c r="V185" i="7"/>
  <c r="S178" i="5"/>
  <c r="Z153" i="7"/>
  <c r="F160" i="6"/>
  <c r="J151" i="1"/>
  <c r="AA189" i="7"/>
  <c r="E195" i="6"/>
  <c r="U182" i="5"/>
  <c r="Z13" i="7"/>
  <c r="F88" i="6"/>
  <c r="J79" i="1"/>
  <c r="Z111" i="7"/>
  <c r="F80" i="6"/>
  <c r="J71" i="1"/>
  <c r="W139" i="7"/>
  <c r="O133" i="5"/>
  <c r="E137" i="1"/>
  <c r="D61" i="6"/>
  <c r="V80" i="7"/>
  <c r="V48" i="5"/>
  <c r="T48" i="5"/>
  <c r="S48" i="5"/>
  <c r="I52" i="1"/>
  <c r="AA163" i="7"/>
  <c r="E170" i="6"/>
  <c r="U157" i="5"/>
  <c r="AA44" i="7"/>
  <c r="E51" i="6"/>
  <c r="U38" i="5"/>
  <c r="Z76" i="7"/>
  <c r="F38" i="6"/>
  <c r="J29" i="1"/>
  <c r="O141" i="5"/>
  <c r="F89" i="6"/>
  <c r="Z15" i="7"/>
  <c r="J80" i="1"/>
  <c r="S35" i="5"/>
  <c r="W100" i="7"/>
  <c r="O66" i="5"/>
  <c r="E70" i="1"/>
  <c r="AA19" i="7"/>
  <c r="E69" i="6"/>
  <c r="U56" i="5"/>
  <c r="W183" i="7"/>
  <c r="O176" i="5"/>
  <c r="E180" i="1"/>
  <c r="V39" i="5"/>
  <c r="X10" i="7"/>
  <c r="G76" i="1"/>
  <c r="S100" i="5" l="1"/>
  <c r="T100" i="5"/>
  <c r="S61" i="5"/>
  <c r="V66" i="7"/>
  <c r="C33" i="9"/>
  <c r="I106" i="1"/>
  <c r="T102" i="5"/>
  <c r="S102" i="5"/>
  <c r="V123" i="7"/>
  <c r="I111" i="1"/>
  <c r="S107" i="5"/>
  <c r="T173" i="5"/>
  <c r="O5" i="6"/>
  <c r="E6" i="2" s="1"/>
  <c r="V95" i="7"/>
  <c r="S59" i="5"/>
  <c r="V100" i="5"/>
  <c r="T50" i="5"/>
  <c r="V57" i="7"/>
  <c r="I126" i="1"/>
  <c r="T64" i="5"/>
  <c r="V143" i="5"/>
  <c r="V29" i="7"/>
  <c r="V146" i="5"/>
  <c r="D135" i="6"/>
  <c r="V60" i="5"/>
  <c r="V7" i="5"/>
  <c r="S122" i="5"/>
  <c r="V126" i="7"/>
  <c r="V124" i="5"/>
  <c r="D137" i="6"/>
  <c r="D183" i="6"/>
  <c r="D181" i="6"/>
  <c r="T107" i="5"/>
  <c r="T182" i="5"/>
  <c r="T42" i="5"/>
  <c r="S19" i="5"/>
  <c r="S18" i="5"/>
  <c r="I93" i="1"/>
  <c r="V19" i="5"/>
  <c r="T18" i="5"/>
  <c r="V69" i="7"/>
  <c r="D31" i="6"/>
  <c r="D102" i="6"/>
  <c r="C18" i="9"/>
  <c r="D115" i="6"/>
  <c r="T118" i="5"/>
  <c r="V128" i="7"/>
  <c r="V27" i="5"/>
  <c r="D131" i="6"/>
  <c r="T44" i="5"/>
  <c r="S93" i="5"/>
  <c r="D77" i="6"/>
  <c r="I104" i="1"/>
  <c r="V90" i="5"/>
  <c r="S44" i="5"/>
  <c r="S27" i="5"/>
  <c r="C12" i="9"/>
  <c r="V44" i="5"/>
  <c r="V90" i="7"/>
  <c r="T124" i="5"/>
  <c r="V60" i="7"/>
  <c r="I147" i="1"/>
  <c r="I172" i="1"/>
  <c r="T27" i="5"/>
  <c r="D106" i="6"/>
  <c r="D173" i="6"/>
  <c r="V193" i="7"/>
  <c r="C54" i="9"/>
  <c r="T160" i="5"/>
  <c r="S135" i="5"/>
  <c r="T150" i="5"/>
  <c r="V145" i="7"/>
  <c r="D55" i="6"/>
  <c r="C76" i="9"/>
  <c r="V121" i="7"/>
  <c r="T193" i="5"/>
  <c r="D195" i="6"/>
  <c r="I154" i="1"/>
  <c r="T26" i="5"/>
  <c r="S160" i="5"/>
  <c r="D39" i="6"/>
  <c r="V166" i="7"/>
  <c r="I65" i="1"/>
  <c r="D74" i="6"/>
  <c r="V88" i="7"/>
  <c r="T83" i="5"/>
  <c r="I152" i="1"/>
  <c r="V59" i="7"/>
  <c r="I94" i="1"/>
  <c r="S54" i="5"/>
  <c r="I39" i="1"/>
  <c r="V116" i="5"/>
  <c r="T54" i="5"/>
  <c r="V16" i="5"/>
  <c r="S47" i="5"/>
  <c r="S148" i="5"/>
  <c r="S90" i="5"/>
  <c r="T47" i="5"/>
  <c r="T148" i="5"/>
  <c r="T90" i="5"/>
  <c r="I109" i="1"/>
  <c r="V14" i="7"/>
  <c r="I184" i="1"/>
  <c r="D60" i="6"/>
  <c r="V154" i="7"/>
  <c r="V70" i="7"/>
  <c r="S143" i="5"/>
  <c r="V38" i="7"/>
  <c r="D48" i="6"/>
  <c r="I182" i="1"/>
  <c r="S105" i="5"/>
  <c r="T180" i="5"/>
  <c r="V77" i="7"/>
  <c r="S193" i="5"/>
  <c r="I84" i="1"/>
  <c r="C42" i="9"/>
  <c r="T178" i="5"/>
  <c r="T105" i="5"/>
  <c r="V215" i="7"/>
  <c r="I34" i="1"/>
  <c r="V148" i="5"/>
  <c r="D206" i="6"/>
  <c r="T80" i="5"/>
  <c r="I64" i="1"/>
  <c r="D73" i="6"/>
  <c r="V87" i="7"/>
  <c r="C45" i="9"/>
  <c r="V59" i="5"/>
  <c r="V86" i="7"/>
  <c r="I63" i="1"/>
  <c r="D72" i="6"/>
  <c r="S116" i="5"/>
  <c r="T116" i="5"/>
  <c r="D129" i="6"/>
  <c r="V114" i="7"/>
  <c r="D199" i="6"/>
  <c r="C10" i="9"/>
  <c r="T61" i="5"/>
  <c r="I197" i="1"/>
  <c r="S60" i="5"/>
  <c r="D148" i="6"/>
  <c r="C87" i="9"/>
  <c r="S151" i="5"/>
  <c r="D219" i="6"/>
  <c r="I87" i="1"/>
  <c r="V53" i="7"/>
  <c r="D96" i="6"/>
  <c r="T188" i="5"/>
  <c r="S188" i="5"/>
  <c r="T135" i="5"/>
  <c r="V135" i="5"/>
  <c r="I139" i="1"/>
  <c r="C29" i="9"/>
  <c r="V26" i="5"/>
  <c r="I30" i="1"/>
  <c r="D156" i="6"/>
  <c r="S26" i="5"/>
  <c r="S83" i="5"/>
  <c r="D90" i="6"/>
  <c r="I81" i="1"/>
  <c r="V16" i="7"/>
  <c r="D110" i="6"/>
  <c r="V104" i="7"/>
  <c r="S97" i="5"/>
  <c r="I101" i="1"/>
  <c r="T97" i="5"/>
  <c r="V97" i="5"/>
  <c r="I194" i="1"/>
  <c r="C84" i="9"/>
  <c r="V197" i="7"/>
  <c r="D203" i="6"/>
  <c r="T190" i="5"/>
  <c r="S190" i="5"/>
  <c r="V190" i="5"/>
  <c r="V195" i="7"/>
  <c r="D201" i="6"/>
  <c r="T86" i="5"/>
  <c r="V86" i="5"/>
  <c r="D99" i="6"/>
  <c r="V62" i="7"/>
  <c r="S86" i="5"/>
  <c r="I90" i="1"/>
  <c r="I192" i="1"/>
  <c r="T35" i="5"/>
  <c r="V117" i="7"/>
  <c r="V46" i="7"/>
  <c r="I155" i="1"/>
  <c r="C100" i="9"/>
  <c r="V213" i="7"/>
  <c r="V206" i="5"/>
  <c r="T206" i="5"/>
  <c r="K4" i="7"/>
  <c r="V107" i="7"/>
  <c r="I143" i="1"/>
  <c r="C4" i="9"/>
  <c r="V171" i="5"/>
  <c r="V139" i="5"/>
  <c r="I190" i="1"/>
  <c r="D184" i="6"/>
  <c r="S77" i="5"/>
  <c r="T186" i="5"/>
  <c r="D152" i="6"/>
  <c r="C65" i="9"/>
  <c r="O4" i="6"/>
  <c r="E5" i="2" s="1"/>
  <c r="S139" i="5"/>
  <c r="C82" i="9"/>
  <c r="I157" i="1"/>
  <c r="T77" i="5"/>
  <c r="S186" i="5"/>
  <c r="I20" i="1"/>
  <c r="I175" i="1"/>
  <c r="T16" i="5"/>
  <c r="S171" i="5"/>
  <c r="I114" i="1"/>
  <c r="J4" i="7"/>
  <c r="S16" i="5"/>
  <c r="D29" i="6"/>
  <c r="T171" i="5"/>
  <c r="S110" i="5"/>
  <c r="D123" i="6"/>
  <c r="T110" i="5"/>
  <c r="I6" i="7"/>
  <c r="J3" i="7"/>
  <c r="I5" i="7"/>
  <c r="I4" i="7"/>
  <c r="I2" i="7"/>
  <c r="O9" i="6"/>
  <c r="E10" i="2" s="1"/>
  <c r="O7" i="6"/>
  <c r="E8" i="2" s="1"/>
  <c r="L6" i="7"/>
  <c r="L3" i="7"/>
  <c r="J5" i="7"/>
  <c r="L4" i="7"/>
  <c r="C79" i="9"/>
  <c r="V192" i="7"/>
  <c r="D198" i="6"/>
  <c r="T185" i="5"/>
  <c r="S185" i="5"/>
  <c r="I189" i="1"/>
  <c r="C35" i="9"/>
  <c r="D154" i="6"/>
  <c r="V147" i="7"/>
  <c r="T141" i="5"/>
  <c r="S141" i="5"/>
  <c r="I145" i="1"/>
  <c r="V141" i="5"/>
  <c r="C57" i="9"/>
  <c r="V169" i="7"/>
  <c r="D176" i="6"/>
  <c r="T163" i="5"/>
  <c r="S163" i="5"/>
  <c r="I167" i="1"/>
  <c r="V163" i="5"/>
  <c r="K6" i="7"/>
  <c r="V74" i="7"/>
  <c r="D37" i="6"/>
  <c r="T24" i="5"/>
  <c r="S24" i="5"/>
  <c r="I28" i="1"/>
  <c r="V24" i="5"/>
  <c r="D25" i="6"/>
  <c r="V39" i="7"/>
  <c r="S12" i="5"/>
  <c r="I16" i="1"/>
  <c r="T12" i="5"/>
  <c r="V12" i="5"/>
  <c r="O3" i="6"/>
  <c r="E4" i="2" s="1"/>
  <c r="V64" i="7"/>
  <c r="D101" i="6"/>
  <c r="T88" i="5"/>
  <c r="S88" i="5"/>
  <c r="I92" i="1"/>
  <c r="V88" i="5"/>
  <c r="V43" i="7"/>
  <c r="D50" i="6"/>
  <c r="S37" i="5"/>
  <c r="I41" i="1"/>
  <c r="T37" i="5"/>
  <c r="C46" i="9"/>
  <c r="V158" i="7"/>
  <c r="D165" i="6"/>
  <c r="T152" i="5"/>
  <c r="S152" i="5"/>
  <c r="I156" i="1"/>
  <c r="V163" i="7"/>
  <c r="C51" i="9"/>
  <c r="D170" i="6"/>
  <c r="T157" i="5"/>
  <c r="S157" i="5"/>
  <c r="I161" i="1"/>
  <c r="C81" i="9"/>
  <c r="V194" i="7"/>
  <c r="D200" i="6"/>
  <c r="S187" i="5"/>
  <c r="T187" i="5"/>
  <c r="I191" i="1"/>
  <c r="V187" i="5"/>
  <c r="D180" i="6"/>
  <c r="C61" i="9"/>
  <c r="V174" i="7"/>
  <c r="T167" i="5"/>
  <c r="S167" i="5"/>
  <c r="I171" i="1"/>
  <c r="V167" i="5"/>
  <c r="V99" i="7"/>
  <c r="D66" i="6"/>
  <c r="I57" i="1"/>
  <c r="S53" i="5"/>
  <c r="T53" i="5"/>
  <c r="V53" i="5"/>
  <c r="V85" i="7"/>
  <c r="D78" i="6"/>
  <c r="T65" i="5"/>
  <c r="S65" i="5"/>
  <c r="I69" i="1"/>
  <c r="V65" i="5"/>
  <c r="V75" i="7"/>
  <c r="D59" i="6"/>
  <c r="T46" i="5"/>
  <c r="S46" i="5"/>
  <c r="I50" i="1"/>
  <c r="V46" i="5"/>
  <c r="V34" i="7"/>
  <c r="D24" i="6"/>
  <c r="S11" i="5"/>
  <c r="I15" i="1"/>
  <c r="T11" i="5"/>
  <c r="V11" i="5"/>
  <c r="V31" i="7"/>
  <c r="D22" i="6"/>
  <c r="I13" i="1"/>
  <c r="S9" i="5"/>
  <c r="T9" i="5"/>
  <c r="C56" i="9"/>
  <c r="V168" i="7"/>
  <c r="D175" i="6"/>
  <c r="S162" i="5"/>
  <c r="I166" i="1"/>
  <c r="V162" i="5"/>
  <c r="T162" i="5"/>
  <c r="V56" i="7"/>
  <c r="D97" i="6"/>
  <c r="S84" i="5"/>
  <c r="T84" i="5"/>
  <c r="I88" i="1"/>
  <c r="V84" i="7"/>
  <c r="D105" i="6"/>
  <c r="T92" i="5"/>
  <c r="S92" i="5"/>
  <c r="I96" i="1"/>
  <c r="C15" i="9"/>
  <c r="V125" i="7"/>
  <c r="D134" i="6"/>
  <c r="S121" i="5"/>
  <c r="T121" i="5"/>
  <c r="I125" i="1"/>
  <c r="V121" i="5"/>
  <c r="V186" i="7"/>
  <c r="D192" i="6"/>
  <c r="C73" i="9"/>
  <c r="T179" i="5"/>
  <c r="S179" i="5"/>
  <c r="I183" i="1"/>
  <c r="V25" i="7"/>
  <c r="D18" i="6"/>
  <c r="T5" i="5"/>
  <c r="I9" i="1"/>
  <c r="S5" i="5"/>
  <c r="I3" i="7"/>
  <c r="V42" i="7"/>
  <c r="D27" i="6"/>
  <c r="I18" i="1"/>
  <c r="V14" i="5"/>
  <c r="T14" i="5"/>
  <c r="S14" i="5"/>
  <c r="V58" i="7"/>
  <c r="D30" i="6"/>
  <c r="T17" i="5"/>
  <c r="S17" i="5"/>
  <c r="I21" i="1"/>
  <c r="V17" i="5"/>
  <c r="J6" i="7"/>
  <c r="D36" i="6"/>
  <c r="V73" i="7"/>
  <c r="S23" i="5"/>
  <c r="T23" i="5"/>
  <c r="I27" i="1"/>
  <c r="V23" i="5"/>
  <c r="V157" i="5"/>
  <c r="C17" i="9"/>
  <c r="D136" i="6"/>
  <c r="V127" i="7"/>
  <c r="T123" i="5"/>
  <c r="S123" i="5"/>
  <c r="I127" i="1"/>
  <c r="V123" i="5"/>
  <c r="V50" i="7"/>
  <c r="D53" i="6"/>
  <c r="T40" i="5"/>
  <c r="S40" i="5"/>
  <c r="I44" i="1"/>
  <c r="C3" i="9"/>
  <c r="V106" i="7"/>
  <c r="D122" i="6"/>
  <c r="T109" i="5"/>
  <c r="S109" i="5"/>
  <c r="I113" i="1"/>
  <c r="V109" i="5"/>
  <c r="V63" i="7"/>
  <c r="D100" i="6"/>
  <c r="T87" i="5"/>
  <c r="S87" i="5"/>
  <c r="I91" i="1"/>
  <c r="O8" i="6"/>
  <c r="E9" i="2" s="1"/>
  <c r="V72" i="7"/>
  <c r="D35" i="6"/>
  <c r="T22" i="5"/>
  <c r="I26" i="1"/>
  <c r="S22" i="5"/>
  <c r="V36" i="7"/>
  <c r="D92" i="6"/>
  <c r="T79" i="5"/>
  <c r="S79" i="5"/>
  <c r="I83" i="1"/>
  <c r="V79" i="5"/>
  <c r="D216" i="6"/>
  <c r="C97" i="9"/>
  <c r="V210" i="7"/>
  <c r="T203" i="5"/>
  <c r="S203" i="5"/>
  <c r="I207" i="1"/>
  <c r="V203" i="5"/>
  <c r="V79" i="7"/>
  <c r="S91" i="5"/>
  <c r="D104" i="6"/>
  <c r="T91" i="5"/>
  <c r="I95" i="1"/>
  <c r="V91" i="5"/>
  <c r="L5" i="7"/>
  <c r="L2" i="7"/>
  <c r="V172" i="7"/>
  <c r="T103" i="5"/>
  <c r="D116" i="6"/>
  <c r="S103" i="5"/>
  <c r="I107" i="1"/>
  <c r="D44" i="6"/>
  <c r="V27" i="7"/>
  <c r="V31" i="5"/>
  <c r="T31" i="5"/>
  <c r="S31" i="5"/>
  <c r="I35" i="1"/>
  <c r="V35" i="7"/>
  <c r="D46" i="6"/>
  <c r="T33" i="5"/>
  <c r="I37" i="1"/>
  <c r="S33" i="5"/>
  <c r="V33" i="5"/>
  <c r="C63" i="9"/>
  <c r="V176" i="7"/>
  <c r="D182" i="6"/>
  <c r="T169" i="5"/>
  <c r="S169" i="5"/>
  <c r="I173" i="1"/>
  <c r="V169" i="5"/>
  <c r="C39" i="9"/>
  <c r="D158" i="6"/>
  <c r="V151" i="7"/>
  <c r="S145" i="5"/>
  <c r="I149" i="1"/>
  <c r="T145" i="5"/>
  <c r="C8" i="9"/>
  <c r="D127" i="6"/>
  <c r="V112" i="7"/>
  <c r="T114" i="5"/>
  <c r="S114" i="5"/>
  <c r="I118" i="1"/>
  <c r="V76" i="7"/>
  <c r="D38" i="6"/>
  <c r="T25" i="5"/>
  <c r="S25" i="5"/>
  <c r="I29" i="1"/>
  <c r="V22" i="7"/>
  <c r="D16" i="6"/>
  <c r="T3" i="5"/>
  <c r="S3" i="5"/>
  <c r="I7" i="1"/>
  <c r="V3" i="5"/>
  <c r="D68" i="6"/>
  <c r="V17" i="7"/>
  <c r="I59" i="1"/>
  <c r="S55" i="5"/>
  <c r="T55" i="5"/>
  <c r="O6" i="6"/>
  <c r="E7" i="2" s="1"/>
  <c r="D114" i="6"/>
  <c r="V122" i="7"/>
  <c r="T101" i="5"/>
  <c r="S101" i="5"/>
  <c r="I105" i="1"/>
  <c r="V101" i="5"/>
  <c r="V100" i="7"/>
  <c r="D79" i="6"/>
  <c r="V66" i="5"/>
  <c r="S66" i="5"/>
  <c r="T66" i="5"/>
  <c r="I70" i="1"/>
  <c r="V133" i="7"/>
  <c r="C23" i="9"/>
  <c r="D142" i="6"/>
  <c r="S129" i="5"/>
  <c r="T129" i="5"/>
  <c r="I133" i="1"/>
  <c r="V129" i="5"/>
  <c r="C5" i="8"/>
  <c r="B5" i="8"/>
  <c r="B10" i="8" s="1"/>
  <c r="W2" i="6"/>
  <c r="V21" i="7"/>
  <c r="W5" i="6"/>
  <c r="F5" i="8"/>
  <c r="D15" i="6"/>
  <c r="W6" i="6"/>
  <c r="W4" i="6"/>
  <c r="S2" i="5"/>
  <c r="I6" i="1"/>
  <c r="T2" i="5"/>
  <c r="V2" i="5"/>
  <c r="C20" i="9"/>
  <c r="V130" i="7"/>
  <c r="D139" i="6"/>
  <c r="I130" i="1"/>
  <c r="T126" i="5"/>
  <c r="S126" i="5"/>
  <c r="V40" i="5"/>
  <c r="D155" i="6"/>
  <c r="C36" i="9"/>
  <c r="V148" i="7"/>
  <c r="I146" i="1"/>
  <c r="T142" i="5"/>
  <c r="S142" i="5"/>
  <c r="C11" i="9"/>
  <c r="V116" i="7"/>
  <c r="S117" i="5"/>
  <c r="D130" i="6"/>
  <c r="T117" i="5"/>
  <c r="I121" i="1"/>
  <c r="V117" i="5"/>
  <c r="D88" i="6"/>
  <c r="V13" i="7"/>
  <c r="S75" i="5"/>
  <c r="T75" i="5"/>
  <c r="I79" i="1"/>
  <c r="K3" i="7"/>
  <c r="D196" i="6"/>
  <c r="C77" i="9"/>
  <c r="T183" i="5"/>
  <c r="S183" i="5"/>
  <c r="V190" i="7"/>
  <c r="I187" i="1"/>
  <c r="V183" i="5"/>
  <c r="D87" i="6"/>
  <c r="V12" i="7"/>
  <c r="S74" i="5"/>
  <c r="T74" i="5"/>
  <c r="I78" i="1"/>
  <c r="V74" i="5"/>
  <c r="D76" i="6"/>
  <c r="V115" i="7"/>
  <c r="I67" i="1"/>
  <c r="S63" i="5"/>
  <c r="T63" i="5"/>
  <c r="V63" i="5"/>
  <c r="C22" i="9"/>
  <c r="V132" i="7"/>
  <c r="D141" i="6"/>
  <c r="S128" i="5"/>
  <c r="T128" i="5"/>
  <c r="I132" i="1"/>
  <c r="V128" i="5"/>
  <c r="V126" i="5"/>
  <c r="V150" i="7"/>
  <c r="C38" i="9"/>
  <c r="D157" i="6"/>
  <c r="T144" i="5"/>
  <c r="I148" i="1"/>
  <c r="S144" i="5"/>
  <c r="V144" i="5"/>
  <c r="D98" i="6"/>
  <c r="V61" i="7"/>
  <c r="T85" i="5"/>
  <c r="S85" i="5"/>
  <c r="I89" i="1"/>
  <c r="V85" i="5"/>
  <c r="C92" i="9"/>
  <c r="V205" i="7"/>
  <c r="D211" i="6"/>
  <c r="T198" i="5"/>
  <c r="S198" i="5"/>
  <c r="I202" i="1"/>
  <c r="V198" i="5"/>
  <c r="C6" i="9"/>
  <c r="D125" i="6"/>
  <c r="V109" i="7"/>
  <c r="T112" i="5"/>
  <c r="S112" i="5"/>
  <c r="I116" i="1"/>
  <c r="V112" i="5"/>
  <c r="C7" i="9"/>
  <c r="V110" i="7"/>
  <c r="D126" i="6"/>
  <c r="T113" i="5"/>
  <c r="S113" i="5"/>
  <c r="I117" i="1"/>
  <c r="V113" i="5"/>
  <c r="G2" i="8"/>
  <c r="D85" i="6"/>
  <c r="V10" i="7"/>
  <c r="T72" i="5"/>
  <c r="S72" i="5"/>
  <c r="I76" i="1"/>
  <c r="V98" i="7"/>
  <c r="D65" i="6"/>
  <c r="S52" i="5"/>
  <c r="I56" i="1"/>
  <c r="T52" i="5"/>
  <c r="V52" i="5"/>
  <c r="V108" i="7"/>
  <c r="C5" i="9"/>
  <c r="D124" i="6"/>
  <c r="T111" i="5"/>
  <c r="I115" i="1"/>
  <c r="S111" i="5"/>
  <c r="V111" i="5"/>
  <c r="D28" i="6"/>
  <c r="V47" i="7"/>
  <c r="S15" i="5"/>
  <c r="T15" i="5"/>
  <c r="I19" i="1"/>
  <c r="V15" i="5"/>
  <c r="D62" i="6"/>
  <c r="V81" i="7"/>
  <c r="T49" i="5"/>
  <c r="S49" i="5"/>
  <c r="I53" i="1"/>
  <c r="V49" i="5"/>
  <c r="V30" i="7"/>
  <c r="D21" i="6"/>
  <c r="I12" i="1"/>
  <c r="T8" i="5"/>
  <c r="S8" i="5"/>
  <c r="V8" i="5"/>
  <c r="O2" i="6"/>
  <c r="E3" i="2" s="1"/>
  <c r="G3" i="8"/>
  <c r="J2" i="7"/>
  <c r="D17" i="6"/>
  <c r="V23" i="7"/>
  <c r="T4" i="5"/>
  <c r="S4" i="5"/>
  <c r="I8" i="1"/>
  <c r="G4" i="8"/>
  <c r="V40" i="7"/>
  <c r="D49" i="6"/>
  <c r="T36" i="5"/>
  <c r="S36" i="5"/>
  <c r="I40" i="1"/>
  <c r="V36" i="5"/>
  <c r="D202" i="6"/>
  <c r="C83" i="9"/>
  <c r="V196" i="7"/>
  <c r="T189" i="5"/>
  <c r="S189" i="5"/>
  <c r="I193" i="1"/>
  <c r="D69" i="6"/>
  <c r="V19" i="7"/>
  <c r="T56" i="5"/>
  <c r="S56" i="5"/>
  <c r="I60" i="1"/>
  <c r="V44" i="7"/>
  <c r="D51" i="6"/>
  <c r="S38" i="5"/>
  <c r="I42" i="1"/>
  <c r="T38" i="5"/>
  <c r="V38" i="5"/>
  <c r="V173" i="7"/>
  <c r="D179" i="6"/>
  <c r="T166" i="5"/>
  <c r="C60" i="9"/>
  <c r="S166" i="5"/>
  <c r="I170" i="1"/>
  <c r="D23" i="6"/>
  <c r="V33" i="7"/>
  <c r="S10" i="5"/>
  <c r="T10" i="5"/>
  <c r="I14" i="1"/>
  <c r="V10" i="5"/>
  <c r="V89" i="7"/>
  <c r="D75" i="6"/>
  <c r="T62" i="5"/>
  <c r="S62" i="5"/>
  <c r="I66" i="1"/>
  <c r="C25" i="9"/>
  <c r="V137" i="7"/>
  <c r="D144" i="6"/>
  <c r="S131" i="5"/>
  <c r="I135" i="1"/>
  <c r="T131" i="5"/>
  <c r="C24" i="9"/>
  <c r="D143" i="6"/>
  <c r="T130" i="5"/>
  <c r="S130" i="5"/>
  <c r="V136" i="7"/>
  <c r="I134" i="1"/>
  <c r="V130" i="5"/>
  <c r="V179" i="7"/>
  <c r="D185" i="6"/>
  <c r="C66" i="9"/>
  <c r="T172" i="5"/>
  <c r="S172" i="5"/>
  <c r="I176" i="1"/>
  <c r="V172" i="5"/>
  <c r="V164" i="7"/>
  <c r="C52" i="9"/>
  <c r="D171" i="6"/>
  <c r="S158" i="5"/>
  <c r="T158" i="5"/>
  <c r="I162" i="1"/>
  <c r="C19" i="9"/>
  <c r="V129" i="7"/>
  <c r="D138" i="6"/>
  <c r="T125" i="5"/>
  <c r="S125" i="5"/>
  <c r="V125" i="5"/>
  <c r="I129" i="1"/>
  <c r="V55" i="7"/>
  <c r="D71" i="6"/>
  <c r="S58" i="5"/>
  <c r="T58" i="5"/>
  <c r="I62" i="1"/>
  <c r="V58" i="5"/>
  <c r="T96" i="5"/>
  <c r="V103" i="7"/>
  <c r="D109" i="6"/>
  <c r="S96" i="5"/>
  <c r="I100" i="1"/>
  <c r="V179" i="5"/>
  <c r="V134" i="7"/>
  <c r="D82" i="6"/>
  <c r="T69" i="5"/>
  <c r="I73" i="1"/>
  <c r="S69" i="5"/>
  <c r="V203" i="7"/>
  <c r="C90" i="9"/>
  <c r="D209" i="6"/>
  <c r="T196" i="5"/>
  <c r="S196" i="5"/>
  <c r="I200" i="1"/>
  <c r="V196" i="5"/>
  <c r="V51" i="7"/>
  <c r="D94" i="6"/>
  <c r="T81" i="5"/>
  <c r="S81" i="5"/>
  <c r="I85" i="1"/>
  <c r="D58" i="6"/>
  <c r="V67" i="7"/>
  <c r="T45" i="5"/>
  <c r="I49" i="1"/>
  <c r="S45" i="5"/>
  <c r="V45" i="5"/>
  <c r="C48" i="9"/>
  <c r="D167" i="6"/>
  <c r="V160" i="7"/>
  <c r="T154" i="5"/>
  <c r="S154" i="5"/>
  <c r="I158" i="1"/>
  <c r="V167" i="7"/>
  <c r="C55" i="9"/>
  <c r="D174" i="6"/>
  <c r="T161" i="5"/>
  <c r="V161" i="5"/>
  <c r="S161" i="5"/>
  <c r="I165" i="1"/>
  <c r="V25" i="5"/>
  <c r="C78" i="9"/>
  <c r="V191" i="7"/>
  <c r="D197" i="6"/>
  <c r="T184" i="5"/>
  <c r="S184" i="5"/>
  <c r="I188" i="1"/>
  <c r="V184" i="5"/>
  <c r="D89" i="6"/>
  <c r="V15" i="7"/>
  <c r="T76" i="5"/>
  <c r="S76" i="5"/>
  <c r="I80" i="1"/>
  <c r="V76" i="5"/>
  <c r="C53" i="9"/>
  <c r="V165" i="7"/>
  <c r="T159" i="5"/>
  <c r="S159" i="5"/>
  <c r="D172" i="6"/>
  <c r="I163" i="1"/>
  <c r="C70" i="9"/>
  <c r="D189" i="6"/>
  <c r="V183" i="7"/>
  <c r="T176" i="5"/>
  <c r="S176" i="5"/>
  <c r="I180" i="1"/>
  <c r="V176" i="5"/>
  <c r="V24" i="7"/>
  <c r="D70" i="6"/>
  <c r="S57" i="5"/>
  <c r="T57" i="5"/>
  <c r="I61" i="1"/>
  <c r="V57" i="5"/>
  <c r="V119" i="7"/>
  <c r="D81" i="6"/>
  <c r="T68" i="5"/>
  <c r="S68" i="5"/>
  <c r="I72" i="1"/>
  <c r="V182" i="7"/>
  <c r="C69" i="9"/>
  <c r="D188" i="6"/>
  <c r="T175" i="5"/>
  <c r="S175" i="5"/>
  <c r="V175" i="5"/>
  <c r="I179" i="1"/>
  <c r="C26" i="9"/>
  <c r="V138" i="7"/>
  <c r="D145" i="6"/>
  <c r="S132" i="5"/>
  <c r="T132" i="5"/>
  <c r="I136" i="1"/>
  <c r="C27" i="9"/>
  <c r="V139" i="7"/>
  <c r="D146" i="6"/>
  <c r="T133" i="5"/>
  <c r="S133" i="5"/>
  <c r="I137" i="1"/>
  <c r="V133" i="5"/>
  <c r="C71" i="9"/>
  <c r="D190" i="6"/>
  <c r="V184" i="7"/>
  <c r="T177" i="5"/>
  <c r="I181" i="1"/>
  <c r="S177" i="5"/>
  <c r="V177" i="5"/>
  <c r="C94" i="9"/>
  <c r="V207" i="7"/>
  <c r="D213" i="6"/>
  <c r="T200" i="5"/>
  <c r="S200" i="5"/>
  <c r="I204" i="1"/>
  <c r="V9" i="5"/>
  <c r="K5" i="7"/>
  <c r="C34" i="9"/>
  <c r="D153" i="6"/>
  <c r="V146" i="7"/>
  <c r="T140" i="5"/>
  <c r="S140" i="5"/>
  <c r="I144" i="1"/>
  <c r="V201" i="7"/>
  <c r="T194" i="5"/>
  <c r="C88" i="9"/>
  <c r="D207" i="6"/>
  <c r="S194" i="5"/>
  <c r="I198" i="1"/>
  <c r="V194" i="5"/>
  <c r="K2" i="7"/>
  <c r="C28" i="9"/>
  <c r="V140" i="7"/>
  <c r="D147" i="6"/>
  <c r="T134" i="5"/>
  <c r="S134" i="5"/>
  <c r="I138" i="1"/>
  <c r="D214" i="6"/>
  <c r="C95" i="9"/>
  <c r="V208" i="7"/>
  <c r="T201" i="5"/>
  <c r="S201" i="5"/>
  <c r="I205" i="1"/>
  <c r="D56" i="6"/>
  <c r="V65" i="7"/>
  <c r="T43" i="5"/>
  <c r="S43" i="5"/>
  <c r="I47" i="1"/>
  <c r="V43" i="5"/>
  <c r="V32" i="7"/>
  <c r="D45" i="6"/>
  <c r="S32" i="5"/>
  <c r="T32" i="5"/>
  <c r="I36" i="1"/>
  <c r="V32" i="5"/>
  <c r="C68" i="9"/>
  <c r="V181" i="7"/>
  <c r="D187" i="6"/>
  <c r="T174" i="5"/>
  <c r="S174" i="5"/>
  <c r="I178" i="1"/>
  <c r="V174" i="5"/>
  <c r="V120" i="7"/>
  <c r="D112" i="6"/>
  <c r="T99" i="5"/>
  <c r="S99" i="5"/>
  <c r="I103" i="1"/>
  <c r="E4" i="7" l="1"/>
  <c r="E8" i="6"/>
  <c r="H9" i="2" s="1"/>
  <c r="B8" i="6"/>
  <c r="L8" i="6" s="1"/>
  <c r="E47" i="9"/>
  <c r="E59" i="9"/>
  <c r="E3" i="7"/>
  <c r="E54" i="9"/>
  <c r="B9" i="6"/>
  <c r="L9" i="6" s="1"/>
  <c r="E49" i="9"/>
  <c r="H7" i="6"/>
  <c r="K8" i="2" s="1"/>
  <c r="H9" i="6"/>
  <c r="K10" i="2" s="1"/>
  <c r="I3" i="6"/>
  <c r="L4" i="2" s="1"/>
  <c r="E91" i="9"/>
  <c r="E48" i="9"/>
  <c r="H3" i="6"/>
  <c r="K4" i="2" s="1"/>
  <c r="F8" i="6"/>
  <c r="I9" i="2" s="1"/>
  <c r="I8" i="6"/>
  <c r="L9" i="2" s="1"/>
  <c r="D8" i="6"/>
  <c r="G9" i="2" s="1"/>
  <c r="G4" i="7"/>
  <c r="D4" i="7"/>
  <c r="N4" i="7" s="1"/>
  <c r="F3" i="6"/>
  <c r="I4" i="2" s="1"/>
  <c r="E24" i="9"/>
  <c r="E86" i="9"/>
  <c r="E100" i="9"/>
  <c r="E81" i="9"/>
  <c r="E57" i="9"/>
  <c r="E64" i="9"/>
  <c r="E4" i="9"/>
  <c r="E93" i="9"/>
  <c r="E14" i="9"/>
  <c r="E50" i="9"/>
  <c r="E26" i="9"/>
  <c r="E62" i="9"/>
  <c r="E45" i="9"/>
  <c r="E34" i="9"/>
  <c r="C3" i="6"/>
  <c r="F4" i="2" s="1"/>
  <c r="E6" i="9"/>
  <c r="F7" i="6"/>
  <c r="I8" i="2" s="1"/>
  <c r="E46" i="9"/>
  <c r="G7" i="6"/>
  <c r="J8" i="2" s="1"/>
  <c r="G3" i="6"/>
  <c r="J4" i="2" s="1"/>
  <c r="E67" i="9"/>
  <c r="E56" i="9"/>
  <c r="I7" i="6"/>
  <c r="L8" i="2" s="1"/>
  <c r="E90" i="9"/>
  <c r="E69" i="9"/>
  <c r="B3" i="6"/>
  <c r="E7" i="6"/>
  <c r="H8" i="2" s="1"/>
  <c r="E94" i="9"/>
  <c r="G6" i="7"/>
  <c r="F6" i="7"/>
  <c r="D6" i="7"/>
  <c r="E6" i="7"/>
  <c r="E3" i="6"/>
  <c r="H4" i="2" s="1"/>
  <c r="E10" i="9"/>
  <c r="E15" i="9"/>
  <c r="E42" i="9"/>
  <c r="E5" i="9"/>
  <c r="E8" i="9"/>
  <c r="E98" i="9"/>
  <c r="C8" i="6"/>
  <c r="F9" i="2" s="1"/>
  <c r="D3" i="6"/>
  <c r="G4" i="2" s="1"/>
  <c r="G5" i="7"/>
  <c r="F5" i="7"/>
  <c r="D5" i="7"/>
  <c r="E5" i="7"/>
  <c r="E77" i="9"/>
  <c r="E43" i="9"/>
  <c r="B7" i="6"/>
  <c r="E52" i="9"/>
  <c r="E55" i="9"/>
  <c r="E19" i="9"/>
  <c r="E83" i="9"/>
  <c r="E36" i="9"/>
  <c r="E97" i="9"/>
  <c r="E28" i="9"/>
  <c r="E27" i="9"/>
  <c r="G8" i="6"/>
  <c r="J9" i="2" s="1"/>
  <c r="E70" i="9"/>
  <c r="E25" i="9"/>
  <c r="E3" i="9"/>
  <c r="E18" i="9"/>
  <c r="E61" i="9"/>
  <c r="C7" i="6"/>
  <c r="F8" i="2" s="1"/>
  <c r="E22" i="9"/>
  <c r="E9" i="9"/>
  <c r="E72" i="9"/>
  <c r="D7" i="6"/>
  <c r="G8" i="2" s="1"/>
  <c r="E35" i="9"/>
  <c r="E31" i="9"/>
  <c r="E92" i="9"/>
  <c r="E41" i="9"/>
  <c r="D9" i="6"/>
  <c r="G10" i="2" s="1"/>
  <c r="E88" i="9"/>
  <c r="H8" i="6"/>
  <c r="K9" i="2" s="1"/>
  <c r="E23" i="9"/>
  <c r="E58" i="9"/>
  <c r="E87" i="9"/>
  <c r="F4" i="7"/>
  <c r="G4" i="6"/>
  <c r="J5" i="2" s="1"/>
  <c r="E4" i="6"/>
  <c r="H5" i="2" s="1"/>
  <c r="D4" i="6"/>
  <c r="G5" i="2" s="1"/>
  <c r="I4" i="6"/>
  <c r="L5" i="2" s="1"/>
  <c r="H4" i="6"/>
  <c r="K5" i="2" s="1"/>
  <c r="F4" i="6"/>
  <c r="I5" i="2" s="1"/>
  <c r="C4" i="6"/>
  <c r="F5" i="2" s="1"/>
  <c r="B4" i="6"/>
  <c r="E29" i="9"/>
  <c r="C9" i="6"/>
  <c r="F10" i="2" s="1"/>
  <c r="D3" i="7"/>
  <c r="E20" i="9"/>
  <c r="E39" i="9"/>
  <c r="G9" i="6"/>
  <c r="J10" i="2" s="1"/>
  <c r="F3" i="7"/>
  <c r="E12" i="9"/>
  <c r="E40" i="9"/>
  <c r="E37" i="9"/>
  <c r="I9" i="6"/>
  <c r="L10" i="2" s="1"/>
  <c r="G3" i="7"/>
  <c r="E66" i="9"/>
  <c r="E65" i="9"/>
  <c r="E9" i="6"/>
  <c r="H10" i="2" s="1"/>
  <c r="E82" i="9"/>
  <c r="Q8" i="6"/>
  <c r="P8" i="6"/>
  <c r="N8" i="6"/>
  <c r="M8" i="6"/>
  <c r="E74" i="9"/>
  <c r="E44" i="9"/>
  <c r="E30" i="9"/>
  <c r="F9" i="6"/>
  <c r="I10" i="2" s="1"/>
  <c r="E51" i="9"/>
  <c r="E89" i="9"/>
  <c r="E68" i="9"/>
  <c r="E76" i="9"/>
  <c r="G2" i="7"/>
  <c r="E2" i="7"/>
  <c r="D2" i="7"/>
  <c r="F2" i="7"/>
  <c r="H5" i="6"/>
  <c r="K6" i="2" s="1"/>
  <c r="G5" i="6"/>
  <c r="J6" i="2" s="1"/>
  <c r="I5" i="6"/>
  <c r="L6" i="2" s="1"/>
  <c r="C5" i="6"/>
  <c r="F6" i="2" s="1"/>
  <c r="B5" i="6"/>
  <c r="F5" i="6"/>
  <c r="I6" i="2" s="1"/>
  <c r="E5" i="6"/>
  <c r="H6" i="2" s="1"/>
  <c r="D5" i="6"/>
  <c r="G6" i="2" s="1"/>
  <c r="I6" i="6"/>
  <c r="L7" i="2" s="1"/>
  <c r="H6" i="6"/>
  <c r="K7" i="2" s="1"/>
  <c r="G6" i="6"/>
  <c r="J7" i="2" s="1"/>
  <c r="F6" i="6"/>
  <c r="I7" i="2" s="1"/>
  <c r="E6" i="6"/>
  <c r="H7" i="2" s="1"/>
  <c r="C6" i="6"/>
  <c r="F7" i="2" s="1"/>
  <c r="D6" i="6"/>
  <c r="G7" i="2" s="1"/>
  <c r="B6" i="6"/>
  <c r="E16" i="9"/>
  <c r="E73" i="9"/>
  <c r="E78" i="9"/>
  <c r="E84" i="9"/>
  <c r="E2" i="9"/>
  <c r="E96" i="9"/>
  <c r="H3" i="9"/>
  <c r="E80" i="9"/>
  <c r="E85" i="9"/>
  <c r="E75" i="9"/>
  <c r="E21" i="9"/>
  <c r="G2" i="6"/>
  <c r="J3" i="2" s="1"/>
  <c r="F2" i="6"/>
  <c r="I3" i="2" s="1"/>
  <c r="E2" i="6"/>
  <c r="H3" i="2" s="1"/>
  <c r="D2" i="6"/>
  <c r="G3" i="2" s="1"/>
  <c r="C2" i="6"/>
  <c r="B2" i="6"/>
  <c r="M2" i="6" s="1"/>
  <c r="I2" i="6"/>
  <c r="L3" i="2" s="1"/>
  <c r="H2" i="6"/>
  <c r="K3" i="2" s="1"/>
  <c r="E63" i="9"/>
  <c r="E32" i="9"/>
  <c r="H4" i="9"/>
  <c r="E79" i="9"/>
  <c r="E17" i="9"/>
  <c r="B8" i="8"/>
  <c r="E101" i="9"/>
  <c r="E13" i="9"/>
  <c r="E95" i="9"/>
  <c r="E53" i="9"/>
  <c r="E11" i="9"/>
  <c r="E38" i="9"/>
  <c r="E99" i="9"/>
  <c r="E7" i="9"/>
  <c r="E71" i="9"/>
  <c r="E60" i="9"/>
  <c r="E33" i="9"/>
  <c r="R8" i="6" l="1"/>
  <c r="B9" i="2"/>
  <c r="J8" i="6"/>
  <c r="K8" i="6"/>
  <c r="N9" i="6"/>
  <c r="P9" i="6"/>
  <c r="R9" i="6"/>
  <c r="Q9" i="6"/>
  <c r="J9" i="6"/>
  <c r="O4" i="7"/>
  <c r="B10" i="2"/>
  <c r="M9" i="6"/>
  <c r="K9" i="6"/>
  <c r="H4" i="7"/>
  <c r="M4" i="7"/>
  <c r="Q6" i="6"/>
  <c r="P6" i="6"/>
  <c r="M6" i="6"/>
  <c r="L6" i="6"/>
  <c r="J6" i="6"/>
  <c r="N6" i="6"/>
  <c r="K6" i="6"/>
  <c r="R6" i="6"/>
  <c r="B7" i="2"/>
  <c r="R7" i="6"/>
  <c r="Q7" i="6"/>
  <c r="N7" i="6"/>
  <c r="M7" i="6"/>
  <c r="L7" i="6"/>
  <c r="K7" i="6"/>
  <c r="J7" i="6"/>
  <c r="P7" i="6"/>
  <c r="B8" i="2"/>
  <c r="R3" i="6"/>
  <c r="Q3" i="6"/>
  <c r="P3" i="6"/>
  <c r="N3" i="6"/>
  <c r="M3" i="6"/>
  <c r="L3" i="6"/>
  <c r="J3" i="6"/>
  <c r="K3" i="6"/>
  <c r="B4" i="2"/>
  <c r="R2" i="6"/>
  <c r="Q2" i="6"/>
  <c r="P2" i="6"/>
  <c r="N2" i="6"/>
  <c r="L2" i="6"/>
  <c r="J2" i="6"/>
  <c r="K2" i="6"/>
  <c r="B3" i="2"/>
  <c r="N3" i="7"/>
  <c r="M3" i="7"/>
  <c r="O3" i="7"/>
  <c r="H3" i="7"/>
  <c r="O5" i="7"/>
  <c r="M5" i="7"/>
  <c r="N5" i="7"/>
  <c r="H5" i="7"/>
  <c r="W3" i="6"/>
  <c r="F3" i="2"/>
  <c r="M4" i="6"/>
  <c r="K4" i="6"/>
  <c r="J4" i="6"/>
  <c r="R4" i="6"/>
  <c r="Q4" i="6"/>
  <c r="P4" i="6"/>
  <c r="N4" i="6"/>
  <c r="L4" i="6"/>
  <c r="B5" i="2"/>
  <c r="J5" i="6"/>
  <c r="Q5" i="6"/>
  <c r="P5" i="6"/>
  <c r="N5" i="6"/>
  <c r="M5" i="6"/>
  <c r="L5" i="6"/>
  <c r="R5" i="6"/>
  <c r="K5" i="6"/>
  <c r="B6" i="2"/>
  <c r="H2" i="9"/>
  <c r="N2" i="7"/>
  <c r="M2" i="7"/>
  <c r="O2" i="7"/>
  <c r="H2" i="7"/>
  <c r="M6" i="7"/>
  <c r="H6" i="7"/>
  <c r="O6" i="7"/>
  <c r="N6" i="7"/>
</calcChain>
</file>

<file path=xl/sharedStrings.xml><?xml version="1.0" encoding="utf-8"?>
<sst xmlns="http://schemas.openxmlformats.org/spreadsheetml/2006/main" count="6942" uniqueCount="1241">
  <si>
    <t>modelo</t>
  </si>
  <si>
    <t>Valores</t>
  </si>
  <si>
    <t>vrp_100</t>
  </si>
  <si>
    <t>vrp_20</t>
  </si>
  <si>
    <t>vrp_50</t>
  </si>
  <si>
    <t>Set</t>
  </si>
  <si>
    <t>name</t>
  </si>
  <si>
    <t>GAP vrp_100</t>
  </si>
  <si>
    <t>duration vrp_100</t>
  </si>
  <si>
    <t>GAP vrp_20</t>
  </si>
  <si>
    <t>duration vrp_20</t>
  </si>
  <si>
    <t>GAP vrp_50</t>
  </si>
  <si>
    <t>duration vrp_50</t>
  </si>
  <si>
    <t>best gap</t>
  </si>
  <si>
    <t>total time</t>
  </si>
  <si>
    <t>A</t>
  </si>
  <si>
    <t>A-n32-k5</t>
  </si>
  <si>
    <t>A-n33-k5</t>
  </si>
  <si>
    <t>A-n33-k6</t>
  </si>
  <si>
    <t>A-n34-k5</t>
  </si>
  <si>
    <t>A-n36-k5</t>
  </si>
  <si>
    <t>A-n37-k5</t>
  </si>
  <si>
    <t>A-n37-k6</t>
  </si>
  <si>
    <t>A-n38-k5</t>
  </si>
  <si>
    <t>A-n39-k5</t>
  </si>
  <si>
    <t>A-n39-k6</t>
  </si>
  <si>
    <t>A-n44-k6</t>
  </si>
  <si>
    <t>A-n45-k6</t>
  </si>
  <si>
    <t>A-n45-k7</t>
  </si>
  <si>
    <t>A-n46-k7</t>
  </si>
  <si>
    <t>A-n48-k7</t>
  </si>
  <si>
    <t>A-n53-k7</t>
  </si>
  <si>
    <t>A-n54-k7</t>
  </si>
  <si>
    <t>A-n55-k9</t>
  </si>
  <si>
    <t>A-n60-k9</t>
  </si>
  <si>
    <t>A-n61-k9</t>
  </si>
  <si>
    <t>A-n62-k8</t>
  </si>
  <si>
    <t>A-n63-k10</t>
  </si>
  <si>
    <t>A-n63-k9</t>
  </si>
  <si>
    <t>A-n64-k9</t>
  </si>
  <si>
    <t>A-n65-k9</t>
  </si>
  <si>
    <t>A-n69-k9</t>
  </si>
  <si>
    <t>A-n80-k10</t>
  </si>
  <si>
    <t>B</t>
  </si>
  <si>
    <t>B-n31-k5</t>
  </si>
  <si>
    <t>B-n34-k5</t>
  </si>
  <si>
    <t>B-n35-k5</t>
  </si>
  <si>
    <t>B-n38-k6</t>
  </si>
  <si>
    <t>B-n39-k5</t>
  </si>
  <si>
    <t>B-n41-k6</t>
  </si>
  <si>
    <t>B-n43-k6</t>
  </si>
  <si>
    <t>B-n44-k7</t>
  </si>
  <si>
    <t>B-n45-k5</t>
  </si>
  <si>
    <t>B-n45-k6</t>
  </si>
  <si>
    <t>B-n50-k7</t>
  </si>
  <si>
    <t>B-n50-k8</t>
  </si>
  <si>
    <t>B-n51-k7</t>
  </si>
  <si>
    <t>B-n52-k7</t>
  </si>
  <si>
    <t>B-n56-k7</t>
  </si>
  <si>
    <t>B-n57-k7</t>
  </si>
  <si>
    <t>B-n57-k9</t>
  </si>
  <si>
    <t>B-n63-k10</t>
  </si>
  <si>
    <t>B-n64-k9</t>
  </si>
  <si>
    <t>B-n66-k9</t>
  </si>
  <si>
    <t>B-n67-k10</t>
  </si>
  <si>
    <t>B-n68-k9</t>
  </si>
  <si>
    <t>B-n78-k10</t>
  </si>
  <si>
    <t>E</t>
  </si>
  <si>
    <t>E-n101-k14</t>
  </si>
  <si>
    <t>E-n101-k8</t>
  </si>
  <si>
    <t>E-n22-k4</t>
  </si>
  <si>
    <t>E-n23-k3</t>
  </si>
  <si>
    <t>E-n30-k3</t>
  </si>
  <si>
    <t>E-n33-k4</t>
  </si>
  <si>
    <t>E-n51-k5</t>
  </si>
  <si>
    <t>E-n76-k10</t>
  </si>
  <si>
    <t>E-n76-k14</t>
  </si>
  <si>
    <t>E-n76-k7</t>
  </si>
  <si>
    <t>E-n76-k8</t>
  </si>
  <si>
    <t>F</t>
  </si>
  <si>
    <t>F-n135-k7</t>
  </si>
  <si>
    <t>F-n45-k4</t>
  </si>
  <si>
    <t>F-n72-k4</t>
  </si>
  <si>
    <t>Golden_1</t>
  </si>
  <si>
    <t>Golden_10</t>
  </si>
  <si>
    <t>Golden_11</t>
  </si>
  <si>
    <t>Golden_12</t>
  </si>
  <si>
    <t>Golden_13</t>
  </si>
  <si>
    <t>Golden_14</t>
  </si>
  <si>
    <t>Golden_15</t>
  </si>
  <si>
    <t>Golden_16</t>
  </si>
  <si>
    <t>Golden_17</t>
  </si>
  <si>
    <t>Golden_18</t>
  </si>
  <si>
    <t>Golden_19</t>
  </si>
  <si>
    <t>Golden_2</t>
  </si>
  <si>
    <t>Golden_20</t>
  </si>
  <si>
    <t>Golden_3</t>
  </si>
  <si>
    <t>Golden_4</t>
  </si>
  <si>
    <t>Golden_5</t>
  </si>
  <si>
    <t>Golden_6</t>
  </si>
  <si>
    <t>Golden_7</t>
  </si>
  <si>
    <t>Golden_8</t>
  </si>
  <si>
    <t>Golden_9</t>
  </si>
  <si>
    <t>Li_21</t>
  </si>
  <si>
    <t>Li_22</t>
  </si>
  <si>
    <t>Li_23</t>
  </si>
  <si>
    <t>Li_24</t>
  </si>
  <si>
    <t>Li_25</t>
  </si>
  <si>
    <t>Li_26</t>
  </si>
  <si>
    <t>Li_27</t>
  </si>
  <si>
    <t>Li_28</t>
  </si>
  <si>
    <t>Li_29</t>
  </si>
  <si>
    <t>Li_30</t>
  </si>
  <si>
    <t>Li_31</t>
  </si>
  <si>
    <t>Li_32</t>
  </si>
  <si>
    <t>M</t>
  </si>
  <si>
    <t>M-n101-k10</t>
  </si>
  <si>
    <t>M-n121-k7</t>
  </si>
  <si>
    <t>M-n151-k12</t>
  </si>
  <si>
    <t>M-n200-k16</t>
  </si>
  <si>
    <t>M-n200-k17</t>
  </si>
  <si>
    <t>P</t>
  </si>
  <si>
    <t>P-n101-k4</t>
  </si>
  <si>
    <t>P-n16-k8</t>
  </si>
  <si>
    <t>P-n19-k2</t>
  </si>
  <si>
    <t>P-n20-k2</t>
  </si>
  <si>
    <t>P-n21-k2</t>
  </si>
  <si>
    <t>P-n22-k2</t>
  </si>
  <si>
    <t>P-n22-k8</t>
  </si>
  <si>
    <t>P-n23-k8</t>
  </si>
  <si>
    <t>P-n40-k5</t>
  </si>
  <si>
    <t>P-n45-k5</t>
  </si>
  <si>
    <t>P-n50-k10</t>
  </si>
  <si>
    <t>P-n50-k7</t>
  </si>
  <si>
    <t>P-n50-k8</t>
  </si>
  <si>
    <t>P-n51-k10</t>
  </si>
  <si>
    <t>P-n55-k10</t>
  </si>
  <si>
    <t>P-n55-k15</t>
  </si>
  <si>
    <t>P-n55-k7</t>
  </si>
  <si>
    <t>P-n55-k8</t>
  </si>
  <si>
    <t>P-n60-k10</t>
  </si>
  <si>
    <t>P-n60-k15</t>
  </si>
  <si>
    <t>P-n65-k10</t>
  </si>
  <si>
    <t>P-n70-k10</t>
  </si>
  <si>
    <t>P-n76-k4</t>
  </si>
  <si>
    <t>P-n76-k5</t>
  </si>
  <si>
    <t>Taillard</t>
  </si>
  <si>
    <t>Tai100a</t>
  </si>
  <si>
    <t>Tai100b</t>
  </si>
  <si>
    <t>Tai100c</t>
  </si>
  <si>
    <t>Tai100d</t>
  </si>
  <si>
    <t>Tai150a</t>
  </si>
  <si>
    <t>Tai150b</t>
  </si>
  <si>
    <t>Tai150c</t>
  </si>
  <si>
    <t>Tai150d</t>
  </si>
  <si>
    <t>Tai385</t>
  </si>
  <si>
    <t>Tai75a</t>
  </si>
  <si>
    <t>Tai75b</t>
  </si>
  <si>
    <t>Tai75c</t>
  </si>
  <si>
    <t>Tai75d</t>
  </si>
  <si>
    <t>X</t>
  </si>
  <si>
    <t>X-n1001-k43</t>
  </si>
  <si>
    <t>X-n101-k25</t>
  </si>
  <si>
    <t>X-n106-k14</t>
  </si>
  <si>
    <t>X-n110-k13</t>
  </si>
  <si>
    <t>X-n115-k10</t>
  </si>
  <si>
    <t>X-n120-k6</t>
  </si>
  <si>
    <t>X-n125-k30</t>
  </si>
  <si>
    <t>X-n129-k18</t>
  </si>
  <si>
    <t>X-n134-k13</t>
  </si>
  <si>
    <t>X-n139-k10</t>
  </si>
  <si>
    <t>X-n143-k7</t>
  </si>
  <si>
    <t>X-n148-k46</t>
  </si>
  <si>
    <t>X-n153-k22</t>
  </si>
  <si>
    <t>X-n157-k13</t>
  </si>
  <si>
    <t>X-n162-k11</t>
  </si>
  <si>
    <t>X-n167-k10</t>
  </si>
  <si>
    <t>X-n172-k51</t>
  </si>
  <si>
    <t>X-n176-k26</t>
  </si>
  <si>
    <t>X-n181-k23</t>
  </si>
  <si>
    <t>X-n186-k15</t>
  </si>
  <si>
    <t>X-n190-k8</t>
  </si>
  <si>
    <t>X-n195-k51</t>
  </si>
  <si>
    <t>X-n200-k36</t>
  </si>
  <si>
    <t>X-n204-k19</t>
  </si>
  <si>
    <t>X-n209-k16</t>
  </si>
  <si>
    <t>X-n214-k11</t>
  </si>
  <si>
    <t>X-n219-k73</t>
  </si>
  <si>
    <t>X-n223-k34</t>
  </si>
  <si>
    <t>X-n228-k23</t>
  </si>
  <si>
    <t>X-n233-k16</t>
  </si>
  <si>
    <t>X-n237-k14</t>
  </si>
  <si>
    <t>X-n242-k48</t>
  </si>
  <si>
    <t>X-n247-k50</t>
  </si>
  <si>
    <t>X-n251-k28</t>
  </si>
  <si>
    <t>X-n256-k16</t>
  </si>
  <si>
    <t>X-n261-k13</t>
  </si>
  <si>
    <t>X-n266-k58</t>
  </si>
  <si>
    <t>X-n270-k35</t>
  </si>
  <si>
    <t>X-n275-k28</t>
  </si>
  <si>
    <t>X-n280-k17</t>
  </si>
  <si>
    <t>X-n284-k15</t>
  </si>
  <si>
    <t>X-n289-k60</t>
  </si>
  <si>
    <t>X-n294-k50</t>
  </si>
  <si>
    <t>X-n298-k31</t>
  </si>
  <si>
    <t>X-n303-k21</t>
  </si>
  <si>
    <t>X-n308-k13</t>
  </si>
  <si>
    <t>X-n313-k71</t>
  </si>
  <si>
    <t>X-n317-k53</t>
  </si>
  <si>
    <t>X-n322-k28</t>
  </si>
  <si>
    <t>X-n327-k20</t>
  </si>
  <si>
    <t>X-n331-k15</t>
  </si>
  <si>
    <t>X-n336-k84</t>
  </si>
  <si>
    <t>X-n344-k43</t>
  </si>
  <si>
    <t>X-n351-k40</t>
  </si>
  <si>
    <t>X-n359-k29</t>
  </si>
  <si>
    <t>X-n367-k17</t>
  </si>
  <si>
    <t>X-n376-k94</t>
  </si>
  <si>
    <t>X-n384-k52</t>
  </si>
  <si>
    <t>X-n393-k38</t>
  </si>
  <si>
    <t>X-n401-k29</t>
  </si>
  <si>
    <t>X-n411-k19</t>
  </si>
  <si>
    <t>X-n420-k130</t>
  </si>
  <si>
    <t>X-n429-k61</t>
  </si>
  <si>
    <t>X-n439-k37</t>
  </si>
  <si>
    <t>X-n449-k29</t>
  </si>
  <si>
    <t>X-n459-k26</t>
  </si>
  <si>
    <t>X-n469-k138</t>
  </si>
  <si>
    <t>X-n480-k70</t>
  </si>
  <si>
    <t>X-n491-k59</t>
  </si>
  <si>
    <t>X-n502-k39</t>
  </si>
  <si>
    <t>X-n513-k21</t>
  </si>
  <si>
    <t>X-n524-k153</t>
  </si>
  <si>
    <t>X-n536-k96</t>
  </si>
  <si>
    <t>X-n548-k50</t>
  </si>
  <si>
    <t>X-n561-k42</t>
  </si>
  <si>
    <t>X-n573-k30</t>
  </si>
  <si>
    <t>X-n586-k159</t>
  </si>
  <si>
    <t>X-n599-k92</t>
  </si>
  <si>
    <t>X-n613-k62</t>
  </si>
  <si>
    <t>X-n627-k43</t>
  </si>
  <si>
    <t>X-n641-k35</t>
  </si>
  <si>
    <t>X-n655-k131</t>
  </si>
  <si>
    <t>X-n670-k130</t>
  </si>
  <si>
    <t>X-n685-k75</t>
  </si>
  <si>
    <t>X-n701-k44</t>
  </si>
  <si>
    <t>X-n716-k35</t>
  </si>
  <si>
    <t>X-n733-k159</t>
  </si>
  <si>
    <t>X-n749-k98</t>
  </si>
  <si>
    <t>X-n766-k71</t>
  </si>
  <si>
    <t>X-n783-k48</t>
  </si>
  <si>
    <t>X-n801-k40</t>
  </si>
  <si>
    <t>X-n819-k171</t>
  </si>
  <si>
    <t>X-n837-k142</t>
  </si>
  <si>
    <t>X-n856-k95</t>
  </si>
  <si>
    <t>X-n876-k59</t>
  </si>
  <si>
    <t>X-n895-k37</t>
  </si>
  <si>
    <t>X-n916-k207</t>
  </si>
  <si>
    <t>X-n936-k151</t>
  </si>
  <si>
    <t>X-n957-k87</t>
  </si>
  <si>
    <t>X-n979-k58</t>
  </si>
  <si>
    <t>Gap com BKS</t>
  </si>
  <si>
    <t>qty instances</t>
  </si>
  <si>
    <t>dimension</t>
  </si>
  <si>
    <t>capacity</t>
  </si>
  <si>
    <t>Tempo Médio por instância (s)</t>
  </si>
  <si>
    <t>Média</t>
  </si>
  <si>
    <t>Desvio</t>
  </si>
  <si>
    <t>Mín</t>
  </si>
  <si>
    <t>Q1</t>
  </si>
  <si>
    <t>Q2</t>
  </si>
  <si>
    <t>Q3</t>
  </si>
  <si>
    <t>Máx</t>
  </si>
  <si>
    <t>32 - 80</t>
  </si>
  <si>
    <t>30-77</t>
  </si>
  <si>
    <t>13-101</t>
  </si>
  <si>
    <t>100 - 8000</t>
  </si>
  <si>
    <t>45 - 135</t>
  </si>
  <si>
    <t>2010 - 30000</t>
  </si>
  <si>
    <t>101-200</t>
  </si>
  <si>
    <t>16 - 101</t>
  </si>
  <si>
    <t>35 - 3000</t>
  </si>
  <si>
    <t>76 - 386</t>
  </si>
  <si>
    <t>65 - 2043</t>
  </si>
  <si>
    <t>101 - 1001</t>
  </si>
  <si>
    <t>3 - 1816</t>
  </si>
  <si>
    <t>qnt</t>
  </si>
  <si>
    <t>Linha</t>
  </si>
  <si>
    <t>Gaps set A</t>
  </si>
  <si>
    <t>Duration</t>
  </si>
  <si>
    <t>Gaps set B</t>
  </si>
  <si>
    <t>Gaps set E</t>
  </si>
  <si>
    <t>Gaps set F</t>
  </si>
  <si>
    <t>Gaps set M</t>
  </si>
  <si>
    <t>Gaps set P</t>
  </si>
  <si>
    <t>Gaps set Taillard</t>
  </si>
  <si>
    <t>Gaps set X</t>
  </si>
  <si>
    <t>ID</t>
  </si>
  <si>
    <t>cost_ai</t>
  </si>
  <si>
    <t>tours</t>
  </si>
  <si>
    <t>durations</t>
  </si>
  <si>
    <t>instance</t>
  </si>
  <si>
    <t>cte</t>
  </si>
  <si>
    <t>C1</t>
  </si>
  <si>
    <t>C2</t>
  </si>
  <si>
    <t>C3</t>
  </si>
  <si>
    <t>GAP</t>
  </si>
  <si>
    <t>[0, 20, 5, 25, 10, 15, 29, 27, 0, 21, 31, 19, 17, 13, 7, 26, 0, 22, 9, 8, 11, 4, 28, 18, 24, 0, 14, 23, 2, 3, 6, 0, 30, 16, 1, 12, 0]</t>
  </si>
  <si>
    <t>A_n31</t>
  </si>
  <si>
    <t>[0, 12, 1, 16, 30, 0, 21, 31, 19, 17, 13, 7, 26, 0, 6, 3, 2, 23, 4, 11, 28, 14, 0, 20, 5, 29, 25, 10, 15, 22, 9, 8, 18, 0, 24, 27, 0]</t>
  </si>
  <si>
    <t>[0, 20, 5, 25, 10, 15, 29, 27, 0, 3, 23, 28, 4, 11, 8, 18, 9, 22, 14, 0, 6, 2, 17, 19, 31, 21, 26, 0, 12, 1, 13, 7, 16, 0, 24, 30, 0]</t>
  </si>
  <si>
    <t>[0, 11, 19, 14, 21, 1, 31, 18, 28, 0, 2, 24, 6, 0, 23, 29, 3, 16, 15, 22, 0, 32, 13, 8, 7, 26, 5, 27, 12, 0, 9, 17, 10, 30, 25, 0, 20, 4, 0]</t>
  </si>
  <si>
    <t>A_n32</t>
  </si>
  <si>
    <t>[0, 7, 2, 15, 9, 20, 19, 6, 0, 22, 26, 4, 8, 3, 5, 0, 13, 18, 1, 14, 0, 17, 29, 11, 32, 0, 10, 12, 21, 0, 25, 16, 30, 27, 31, 23, 24, 0, 28, 0]</t>
  </si>
  <si>
    <t>[0, 24, 6, 19, 14, 21, 1, 31, 11, 0, 29, 16, 3, 9, 17, 10, 0, 4, 12, 27, 25, 30, 15, 0, 20, 5, 26, 7, 8, 13, 32, 2, 0, 23, 18, 28, 22, 0]</t>
  </si>
  <si>
    <t>[0, 21, 25, 16, 30, 27, 28, 0, 10, 12, 32, 0, 17, 11, 29, 19, 18, 0, 5, 8, 3, 2, 15, 9, 20, 7, 0, 14, 1, 6, 13, 0, 22, 4, 26, 24, 23, 31, 0]</t>
  </si>
  <si>
    <t>[0, 24, 6, 19, 14, 21, 1, 31, 11, 0, 2, 32, 13, 8, 7, 26, 20, 0, 4, 5, 27, 25, 30, 12, 0, 10, 17, 9, 3, 16, 29, 0, 22, 15, 28, 18, 23, 0]</t>
  </si>
  <si>
    <t>[0, 14, 17, 29, 11, 10, 32, 0, 21, 12, 0, 19, 20, 9, 15, 2, 3, 8, 0, 1, 18, 6, 7, 13, 0, 25, 16, 30, 27, 28, 0, 5, 4, 26, 22, 24, 23, 31, 0]</t>
  </si>
  <si>
    <t>[0, 5, 30, 24, 27, 1, 29, 0, 23, 11, 8, 15, 6, 14, 0, 10, 13, 28, 31, 25, 17, 19, 7, 0, 21, 32, 3, 12, 9, 22, 2, 18, 0, 26, 4, 33, 16, 20, 0]</t>
  </si>
  <si>
    <t>A_n33</t>
  </si>
  <si>
    <t>[0, 20, 33, 16, 22, 3, 12, 9, 2, 0, 18, 21, 32, 28, 31, 25, 17, 0, 7, 1, 27, 23, 11, 19, 13, 10, 0, 6, 15, 8, 29, 14, 0, 24, 30, 5, 26, 4, 0]</t>
  </si>
  <si>
    <t>[0, 21, 32, 28, 31, 25, 13, 10, 0, 17, 19, 11, 23, 27, 1, 29, 0, 7, 6, 15, 8, 14, 0, 18, 2, 9, 12, 3, 22, 16, 33, 0, 24, 30, 5, 0, 20, 4, 26, 0]</t>
  </si>
  <si>
    <t>[0, 12, 31, 19, 4, 3, 6, 9, 0, 28, 14, 34, 23, 2, 35, 8, 15, 0, 21, 18, 33, 29, 30, 17, 13, 32, 22, 1, 0, 25, 27, 24, 11, 16, 0, 5, 20, 26, 7, 10, 0]</t>
  </si>
  <si>
    <t>A_n35</t>
  </si>
  <si>
    <t>[0, 16, 1, 22, 13, 17, 30, 32, 18, 21, 24, 0, 11, 27, 33, 29, 31, 19, 4, 3, 6, 23, 0, 25, 12, 28, 9, 5, 0, 20, 14, 34, 2, 35, 8, 15, 0, 26, 7, 10, 0]</t>
  </si>
  <si>
    <t>[0, 16, 1, 22, 32, 13, 17, 30, 29, 33, 18, 27, 0, 11, 24, 21, 25, 5, 0, 12, 31, 19, 4, 3, 6, 28, 0, 9, 14, 34, 23, 2, 35, 8, 0, 26, 20, 15, 7, 10, 0]</t>
  </si>
  <si>
    <t>[0, 21, 1, 17, 14, 23, 24, 9, 11, 27, 8, 3, 0, 15, 34, 32, 28, 31, 26, 30, 18, 35, 25, 0, 20, 19, 2, 12, 0, 16, 22, 13, 33, 5, 6, 10, 0, 36, 29, 4, 7, 0]</t>
  </si>
  <si>
    <t>A_n36</t>
  </si>
  <si>
    <t>[0, 16, 35, 25, 7, 0, 27, 32, 15, 30, 13, 0, 10, 11, 12, 22, 23, 28, 2, 33, 1, 20, 0, 4, 26, 21, 9, 19, 31, 0, 18, 17, 34, 3, 5, 8, 0, 24, 29, 36, 6, 14, 0]</t>
  </si>
  <si>
    <t>[0, 15, 34, 26, 35, 18, 31, 28, 32, 29, 36, 0, 3, 24, 9, 11, 27, 8, 25, 30, 0, 17, 14, 23, 20, 19, 2, 10, 6, 5, 33, 0, 1, 12, 13, 22, 7, 4, 0, 21, 16, 0]</t>
  </si>
  <si>
    <t>[0, 20, 8, 5, 3, 1, 31, 34, 0, 6, 33, 2, 28, 9, 19, 17, 4, 0, 26, 10, 11, 12, 22, 23, 21, 0, 32, 15, 30, 13, 18, 0, 7, 25, 35, 27, 0, 24, 16, 14, 36, 29, 0]</t>
  </si>
  <si>
    <t>[0, 15, 30, 25, 35, 18, 26, 31, 28, 32, 29, 0, 34, 36, 0, 3, 8, 27, 11, 9, 24, 23, 20, 19, 2, 14, 0, 17, 12, 10, 6, 5, 33, 4, 7, 0, 21, 16, 22, 13, 1, 0]</t>
  </si>
  <si>
    <t>[0, 4, 12, 22, 23, 28, 2, 21, 9, 33, 0, 26, 10, 11, 30, 15, 0, 18, 17, 34, 31, 19, 13, 0, 25, 35, 32, 27, 0, 6, 8, 5, 3, 1, 20, 14, 0, 7, 16, 24, 29, 36, 0]</t>
  </si>
  <si>
    <t>[0, 24, 2, 15, 13, 36, 17, 9, 0, 14, 0, 8, 33, 35, 23, 26, 30, 0, 21, 12, 3, 1, 4, 16, 25, 6, 34, 0, 32, 20, 22, 27, 11, 7, 0, 5, 37, 31, 28, 18, 19, 29, 10, 0]</t>
  </si>
  <si>
    <t>A_n37</t>
  </si>
  <si>
    <t>[0, 32, 20, 22, 27, 11, 7, 0, 5, 37, 31, 28, 6, 34, 29, 0, 18, 19, 25, 16, 4, 1, 3, 12, 26, 10, 0, 21, 30, 23, 35, 33, 8, 0, 24, 14, 2, 15, 13, 36, 17, 9, 0]</t>
  </si>
  <si>
    <t>[0, 8, 33, 35, 23, 26, 30, 0, 21, 10, 12, 3, 1, 4, 16, 25, 6, 19, 0, 24, 14, 2, 15, 13, 36, 17, 9, 0, 18, 29, 34, 37, 31, 28, 0, 7, 5, 11, 27, 22, 32, 0, 20, 0]</t>
  </si>
  <si>
    <t>[0, 36, 27, 34, 37, 35, 24, 0, 21, 30, 13, 28, 6, 26, 11, 8, 4, 0, 17, 2, 22, 3, 7, 16, 32, 38, 0, 31, 1, 15, 10, 5, 29, 20, 23, 33, 0, 14, 19, 25, 12, 9, 18, 0]</t>
  </si>
  <si>
    <t>A_n38</t>
  </si>
  <si>
    <t>[0, 20, 32, 27, 10, 16, 4, 7, 30, 0, 8, 19, 33, 2, 14, 25, 35, 31, 0, 18, 34, 22, 21, 23, 17, 36, 1, 0, 15, 13, 0, 3, 37, 38, 12, 9, 28, 29, 0, 24, 5, 26, 11, 6, 0]</t>
  </si>
  <si>
    <t>[0, 21, 30, 13, 28, 27, 36, 6, 8, 0, 11, 26, 34, 37, 35, 24, 17, 18, 0, 38, 15, 2, 22, 3, 7, 16, 29, 1, 0, 9, 10, 32, 5, 20, 23, 31, 0, 4, 12, 33, 25, 19, 14, 0]</t>
  </si>
  <si>
    <t>[0, 5, 29, 28, 9, 12, 38, 3, 24, 0, 37, 31, 14, 35, 25, 33, 19, 2, 0, 30, 7, 8, 4, 16, 10, 27, 32, 0, 20, 18, 34, 22, 21, 23, 17, 36, 1, 0, 6, 11, 26, 0, 13, 15, 0]</t>
  </si>
  <si>
    <t>[0, 21, 30, 13, 28, 27, 36, 6, 0, 17, 24, 35, 37, 34, 26, 11, 8, 0, 2, 22, 3, 7, 16, 32, 10, 31, 0, 38, 15, 5, 29, 20, 23, 1, 12, 0, 4, 9, 18, 33, 25, 19, 14, 0]</t>
  </si>
  <si>
    <t>[0, 3, 12, 38, 37, 31, 35, 25, 14, 0, 30, 7, 8, 4, 19, 33, 2, 0, 20, 32, 10, 16, 27, 34, 22, 18, 0, 6, 1, 21, 23, 17, 36, 11, 0, 24, 29, 28, 9, 5, 26, 0, 15, 13, 0]</t>
  </si>
  <si>
    <t>[0, 8, 7, 28, 27, 19, 4, 0, 15, 24, 5, 21, 32, 42, 37, 11, 10, 33, 0, 23, 30, 20, 16, 26, 39, 0, 22, 36, 9, 38, 13, 14, 41, 2, 0, 29, 43, 1, 35, 18, 40, 25, 0, 6, 3, 12, 17, 34, 31, 0]</t>
  </si>
  <si>
    <t>A_n43</t>
  </si>
  <si>
    <t>[0, 8, 7, 28, 27, 19, 4, 0, 15, 5, 21, 32, 42, 37, 11, 10, 33, 24, 0, 26, 16, 20, 18, 35, 1, 30, 0, 34, 39, 23, 40, 29, 43, 13, 9, 0, 6, 25, 3, 12, 17, 31, 0, 22, 36, 38, 14, 41, 2, 0]</t>
  </si>
  <si>
    <t>[0, 7, 28, 27, 24, 33, 19, 8, 0, 15, 5, 21, 32, 42, 37, 11, 10, 26, 39, 0, 16, 20, 18, 35, 1, 30, 12, 0, 41, 14, 13, 38, 9, 36, 2, 0, 22, 43, 29, 40, 23, 25, 0, 6, 3, 17, 34, 4, 31, 0]</t>
  </si>
  <si>
    <t>[0, 38, 31, 35, 14, 1, 0, 2, 25, 12, 39, 36, 15, 0, 44, 6, 24, 37, 34, 27, 0, 9, 22, 16, 4, 42, 23, 0, 3, 10, 8, 41, 33, 21, 5, 20, 32, 0, 11, 19, 30, 40, 17, 18, 43, 0, 26, 29, 13, 7, 28, 0]</t>
  </si>
  <si>
    <t>A_n44</t>
  </si>
  <si>
    <t>[0, 12, 4, 26, 34, 35, 0, 2, 6, 28, 3, 11, 43, 41, 27, 21, 0, 40, 7, 16, 20, 38, 8, 32, 13, 18, 0, 17, 23, 25, 42, 15, 9, 0, 24, 44, 33, 39, 0, 5, 19, 36, 29, 31, 14, 0, 22, 30, 37, 1, 10, 0]</t>
  </si>
  <si>
    <t>[0, 2, 25, 12, 39, 36, 42, 4, 16, 9, 23, 0, 15, 22, 10, 8, 41, 33, 21, 5, 32, 0, 3, 20, 13, 7, 28, 0, 43, 18, 17, 40, 30, 19, 11, 0, 26, 29, 27, 34, 37, 24, 0, 6, 44, 1, 35, 31, 14, 0, 38, 0]</t>
  </si>
  <si>
    <t>[0, 18, 40, 7, 20, 16, 13, 32, 39, 0, 8, 10, 15, 25, 23, 17, 38, 0, 42, 1, 37, 30, 22, 9, 0, 5, 36, 19, 29, 31, 14, 21, 0, 24, 33, 27, 41, 43, 6, 0, 26, 44, 11, 3, 28, 12, 0, 35, 34, 4, 2, 0]</t>
  </si>
  <si>
    <t>[0, 14, 31, 35, 1, 44, 6, 0, 38, 2, 25, 12, 39, 36, 15, 23, 0, 24, 37, 34, 19, 30, 40, 11, 0, 42, 4, 16, 22, 9, 0, 3, 10, 8, 41, 33, 21, 5, 20, 32, 0, 26, 29, 43, 17, 18, 27, 0, 28, 7, 13, 0]</t>
  </si>
  <si>
    <t>[0, 12, 2, 4, 26, 34, 35, 0, 6, 28, 3, 11, 43, 41, 27, 21, 0, 24, 44, 33, 14, 9, 0, 39, 31, 29, 36, 19, 5, 0, 38, 25, 42, 1, 37, 30, 22, 0, 8, 17, 23, 15, 10, 32, 0, 40, 7, 20, 16, 18, 13, 0]</t>
  </si>
  <si>
    <t>[0, 9, 17, 21, 29, 31, 41, 20, 19, 28, 0, 27, 34, 40, 1, 15, 8, 11, 0, 23, 14, 26, 13, 43, 6, 45, 0, 33, 42, 16, 24, 35, 12, 0, 7, 25, 18, 44, 10, 3, 32, 0, 38, 4, 30, 2, 37, 0, 36, 39, 22, 5, 0]</t>
  </si>
  <si>
    <t>A_n45</t>
  </si>
  <si>
    <t>[0, 23, 14, 26, 13, 43, 6, 45, 0, 38, 4, 30, 2, 37, 32, 0, 36, 39, 7, 10, 22, 3, 5, 0, 12, 44, 25, 18, 35, 11, 0, 8, 33, 42, 16, 24, 15, 19, 0, 28, 21, 41, 29, 31, 34, 40, 1, 27, 20, 0, 9, 17, 0]</t>
  </si>
  <si>
    <t>[0, 28, 21, 41, 29, 31, 34, 40, 1, 27, 20, 0, 19, 15, 24, 16, 42, 33, 8, 0, 11, 12, 35, 18, 25, 44, 3, 0, 36, 39, 7, 10, 22, 32, 5, 0, 38, 4, 37, 2, 30, 13, 0, 23, 14, 26, 43, 6, 45, 0, 17, 9, 0]</t>
  </si>
  <si>
    <t>[0, 28, 29, 21, 13, 46, 30, 33, 16, 0, 34, 9, 24, 4, 11, 42, 15, 27, 45, 0, 41, 2, 10, 47, 17, 14, 0, 37, 3, 20, 26, 39, 8, 7, 40, 0, 32, 36, 38, 19, 25, 22, 6, 0, 12, 31, 5, 1, 43, 23, 44, 0, 35, 18, 0]</t>
  </si>
  <si>
    <t>A_n47</t>
  </si>
  <si>
    <t>[0, 12, 5, 1, 31, 43, 23, 44, 0, 32, 36, 38, 19, 25, 22, 6, 0, 37, 3, 20, 26, 39, 8, 7, 40, 0, 45, 27, 15, 42, 11, 4, 24, 9, 34, 0, 28, 29, 13, 46, 30, 21, 33, 2, 0, 35, 18, 0, 41, 10, 47, 16, 17, 0, 14, 0]</t>
  </si>
  <si>
    <t>[0, 32, 36, 37, 19, 25, 38, 22, 0, 27, 15, 8, 39, 26, 20, 3, 7, 0, 40, 45, 34, 9, 42, 11, 4, 13, 24, 28, 0, 29, 21, 30, 46, 33, 10, 2, 0, 35, 6, 1, 5, 31, 43, 0, 18, 44, 23, 12, 0, 14, 17, 16, 47, 41, 0]</t>
  </si>
  <si>
    <t>[0, 31, 20, 6, 33, 0, 27, 35, 38, 8, 51, 0, 46, 44, 29, 49, 10, 26, 40, 18, 0, 28, 22, 45, 43, 50, 36, 2, 37, 30, 1, 0, 25, 21, 34, 14, 5, 3, 39, 0, 4, 48, 42, 23, 19, 15, 32, 16, 12, 7, 0, 13, 52, 11, 24, 41, 17, 0, 47, 9, 0]</t>
  </si>
  <si>
    <t>A_n52</t>
  </si>
  <si>
    <t>[0, 33, 6, 20, 31, 0, 27, 35, 38, 18, 8, 51, 0, 46, 40, 26, 10, 29, 49, 30, 28, 0, 44, 37, 2, 36, 50, 43, 23, 19, 15, 32, 16, 7, 4, 0, 47, 12, 48, 42, 45, 22, 1, 0, 9, 17, 41, 24, 11, 52, 34, 0, 25, 21, 13, 14, 5, 3, 39, 0]</t>
  </si>
  <si>
    <t>[0, 33, 6, 20, 31, 0, 27, 35, 38, 18, 8, 51, 0, 46, 40, 26, 10, 49, 29, 44, 1, 0, 30, 37, 2, 36, 50, 43, 23, 19, 15, 32, 45, 0, 39, 3, 5, 14, 21, 25, 0, 34, 13, 52, 24, 11, 41, 9, 0, 4, 28, 22, 42, 48, 16, 12, 7, 0, 47, 17, 0]</t>
  </si>
  <si>
    <t>[0, 23, 20, 29, 36, 1, 17, 10, 15, 0, 13, 11, 38, 9, 33, 21, 45, 26, 35, 0, 44, 53, 3, 22, 0, 18, 5, 50, 39, 49, 7, 28, 4, 0, 19, 8, 31, 40, 48, 37, 12, 0, 16, 6, 27, 2, 14, 32, 52, 0, 34, 41, 46, 42, 24, 51, 47, 25, 30, 0, 43, 0]</t>
  </si>
  <si>
    <t>A_n53</t>
  </si>
  <si>
    <t>[0, 30, 25, 47, 51, 24, 42, 46, 41, 34, 52, 0, 32, 14, 2, 12, 37, 48, 40, 31, 13, 0, 35, 11, 3, 22, 19, 8, 27, 0, 6, 53, 44, 9, 15, 0, 10, 17, 26, 45, 21, 33, 38, 0, 16, 29, 1, 36, 49, 20, 23, 0, 43, 4, 28, 7, 39, 50, 5, 18, 0]</t>
  </si>
  <si>
    <t>[0, 30, 25, 47, 51, 24, 42, 46, 41, 34, 52, 0, 14, 2, 12, 27, 6, 16, 0, 13, 11, 19, 8, 31, 40, 48, 37, 32, 0, 53, 22, 3, 44, 15, 0, 35, 10, 26, 45, 21, 33, 9, 38, 0, 23, 20, 49, 36, 1, 17, 29, 43, 0, 4, 28, 7, 39, 50, 5, 18, 0]</t>
  </si>
  <si>
    <t>[0, 22, 19, 27, 13, 28, 41, 0, 25, 54, 23, 52, 24, 44, 50, 0, 4, 30, 7, 42, 31, 26, 37, 0, 29, 18, 48, 1, 43, 6, 32, 0, 3, 34, 17, 20, 46, 14, 0, 45, 0, 35, 9, 49, 39, 47, 8, 0, 36, 33, 2, 51, 15, 11, 0, 12, 10, 5, 53, 40, 16, 38, 21, 0]</t>
  </si>
  <si>
    <t>A_n54</t>
  </si>
  <si>
    <t>[0, 30, 22, 19, 27, 13, 28, 0, 25, 41, 54, 52, 24, 44, 50, 0, 29, 23, 48, 18, 21, 8, 0, 6, 1, 45, 43, 0, 40, 16, 47, 39, 49, 9, 35, 0, 32, 38, 53, 5, 10, 12, 0, 33, 15, 11, 51, 2, 17, 0, 36, 37, 3, 34, 46, 14, 0, 26, 20, 31, 42, 7, 4, 0]</t>
  </si>
  <si>
    <t>[0, 4, 7, 42, 31, 20, 46, 26, 0, 30, 22, 19, 27, 13, 28, 0, 54, 23, 52, 24, 44, 48, 50, 29, 0, 37, 14, 3, 17, 34, 33, 36, 0, 2, 51, 11, 15, 5, 0, 8, 6, 45, 1, 0, 43, 35, 9, 49, 39, 47, 0, 32, 38, 16, 40, 53, 10, 12, 0, 21, 18, 41, 25, 0]</t>
  </si>
  <si>
    <t>[0, 16, 20, 3, 11, 4, 21, 40, 46, 25, 0, 52, 59, 38, 33, 41, 0, 55, 15, 27, 37, 8, 13, 29, 7, 0, 35, 50, 39, 26, 17, 57, 19, 18, 0, 31, 53, 30, 49, 44, 28, 6, 0, 43, 56, 12, 51, 9, 32, 0, 2, 1, 36, 22, 10, 54, 5, 42, 0, 48, 45, 58, 0, 14, 47, 23, 24, 34, 0]</t>
  </si>
  <si>
    <t>A_n59</t>
  </si>
  <si>
    <t>[0, 18, 52, 59, 38, 33, 41, 0, 19, 7, 13, 29, 37, 57, 27, 15, 35, 0, 55, 50, 39, 26, 17, 8, 0, 43, 56, 12, 51, 9, 32, 0, 58, 42, 45, 5, 54, 2, 0, 24, 10, 22, 48, 0, 23, 1, 36, 44, 49, 30, 53, 0, 14, 47, 34, 6, 28, 31, 21, 4, 0, 25, 46, 40, 11, 3, 20, 16, 0]</t>
  </si>
  <si>
    <t>[0, 16, 20, 3, 11, 4, 21, 40, 46, 25, 0, 19, 13, 29, 7, 59, 38, 18, 0, 8, 57, 37, 17, 27, 26, 15, 0, 32, 9, 51, 12, 56, 43, 50, 0, 31, 53, 30, 49, 44, 28, 6, 0, 1, 36, 22, 10, 54, 5, 42, 58, 0, 2, 48, 45, 0, 14, 47, 23, 24, 34, 0, 41, 33, 52, 55, 39, 35, 0]</t>
  </si>
  <si>
    <t>[0, 34, 16, 48, 18, 35, 47, 58, 0, 56, 27, 21, 36, 29, 20, 41, 53, 0, 51, 9, 1, 11, 60, 44, 39, 0, 25, 6, 8, 5, 54, 46, 2, 0, 40, 49, 10, 59, 45, 37, 30, 33, 0, 50, 13, 17, 57, 52, 31, 28, 0, 19, 24, 3, 15, 7, 0, 38, 23, 0, 12, 22, 4, 26, 43, 32, 42, 0, 14, 55, 0]</t>
  </si>
  <si>
    <t>A_n60</t>
  </si>
  <si>
    <t>[0, 50, 12, 22, 4, 26, 43, 55, 0, 33, 42, 32, 30, 37, 45, 59, 10, 0, 3, 38, 15, 0, 49, 2, 46, 54, 5, 41, 0, 24, 40, 8, 53, 6, 20, 25, 0, 58, 29, 36, 21, 27, 56, 47, 51, 0, 9, 34, 35, 18, 48, 16, 1, 0, 39, 44, 60, 11, 31, 52, 57, 17, 0, 13, 28, 0, 14, 7, 23, 19, 0]</t>
  </si>
  <si>
    <t>[0, 49, 59, 45, 37, 30, 15, 0, 10, 38, 3, 0, 2, 46, 54, 5, 53, 6, 25, 0, 40, 8, 41, 20, 29, 36, 21, 27, 0, 58, 47, 56, 18, 35, 48, 16, 34, 0, 19, 24, 7, 23, 0, 12, 22, 4, 26, 43, 32, 42, 33, 0, 51, 9, 1, 11, 60, 44, 39, 0, 50, 13, 17, 57, 52, 31, 28, 0, 14, 55, 0]</t>
  </si>
  <si>
    <t>[0, 36, 16, 37, 22, 44, 2, 52, 28, 0, 45, 47, 24, 42, 46, 13, 0, 56, 5, 1, 30, 18, 19, 38, 53, 0, 12, 9, 54, 3, 39, 27, 23, 41, 21, 4, 11, 25, 60, 0, 14, 31, 49, 35, 33, 58, 17, 55, 34, 0, 7, 61, 6, 32, 57, 50, 26, 59, 20, 0, 40, 29, 43, 8, 10, 51, 0, 48, 15, 0]</t>
  </si>
  <si>
    <t>A_n61</t>
  </si>
  <si>
    <t>[0, 52, 36, 16, 37, 22, 44, 2, 38, 0, 12, 13, 18, 30, 46, 24, 47, 45, 0, 42, 3, 39, 27, 54, 1, 14, 53, 0, 5, 60, 9, 23, 41, 21, 4, 35, 49, 11, 25, 31, 34, 0, 59, 55, 26, 33, 58, 17, 50, 0, 19, 48, 56, 0, 20, 40, 6, 32, 57, 43, 29, 0, 51, 10, 8, 61, 7, 15, 28, 0]</t>
  </si>
  <si>
    <t>[0, 36, 16, 37, 22, 44, 2, 52, 28, 0, 45, 47, 24, 3, 42, 18, 13, 53, 0, 11, 49, 4, 21, 41, 23, 27, 39, 46, 0, 12, 14, 5, 60, 25, 9, 54, 1, 30, 19, 38, 0, 55, 26, 50, 17, 58, 33, 35, 31, 34, 0, 61, 6, 32, 57, 59, 40, 20, 0, 15, 48, 56, 0, 7, 29, 43, 8, 10, 51, 0]</t>
  </si>
  <si>
    <t>[0, 20, 34, 2, 30, 29, 54, 19, 0, 5, 45, 27, 59, 24, 8, 49, 13, 0, 26, 25, 60, 61, 16, 7, 0, 36, 48, 3, 41, 42, 10, 0, 9, 38, 31, 43, 46, 1, 18, 47, 0, 21, 55, 32, 58, 40, 14, 50, 22, 0, 35, 51, 57, 4, 62, 52, 23, 39, 0, 53, 17, 37, 6, 28, 12, 0, 11, 33, 44, 15, 56, 0]</t>
  </si>
  <si>
    <t>A_n62</t>
  </si>
  <si>
    <t>[0, 52, 43, 36, 48, 0, 30, 38, 4, 26, 13, 0, 20, 28, 57, 32, 34, 11, 47, 44, 50, 0, 62, 31, 51, 22, 58, 24, 23, 21, 0, 37, 60, 33, 55, 7, 0, 61, 46, 54, 0, 16, 8, 27, 6, 35, 29, 0, 59, 10, 19, 42, 3, 39, 45, 5, 18, 49, 0, 1, 41, 9, 12, 2, 14, 40, 0, 25, 15, 53, 56, 17, 0]</t>
  </si>
  <si>
    <t>[0, 53, 35, 50, 32, 58, 14, 40, 55, 21, 0, 28, 22, 17, 51, 37, 6, 16, 0, 10, 39, 23, 52, 62, 57, 12, 15, 0, 47, 4, 18, 1, 46, 31, 38, 43, 0, 61, 42, 9, 41, 3, 7, 0, 60, 48, 36, 24, 59, 49, 0, 13, 34, 8, 27, 45, 5, 2, 30, 0, 11, 33, 44, 56, 0, 19, 25, 29, 54, 20, 26, 0]</t>
  </si>
  <si>
    <t>[0, 10, 59, 18, 5, 19, 42, 3, 39, 45, 49, 40, 0, 56, 14, 53, 15, 25, 0, 1, 41, 2, 9, 12, 6, 54, 29, 0, 16, 35, 27, 8, 37, 0, 7, 21, 61, 60, 33, 55, 0, 23, 46, 24, 0, 31, 51, 58, 22, 11, 34, 47, 44, 62, 0, 50, 28, 57, 32, 13, 26, 0, 17, 20, 4, 38, 30, 0, 48, 36, 43, 52, 0]</t>
  </si>
  <si>
    <t>[0, 54, 29, 5, 45, 27, 2, 30, 0, 60, 49, 8, 24, 59, 34, 13, 19, 0, 36, 48, 3, 41, 42, 16, 0, 26, 20, 25, 7, 56, 0, 61, 9, 38, 31, 46, 1, 18, 47, 52, 0, 10, 39, 23, 43, 4, 62, 37, 0, 21, 55, 40, 14, 58, 32, 50, 57, 0, 28, 6, 51, 35, 17, 22, 53, 0, 15, 12, 44, 33, 11, 0]</t>
  </si>
  <si>
    <t>[0, 58, 51, 44, 47, 11, 34, 32, 57, 50, 0, 20, 62, 28, 13, 26, 4, 0, 31, 22, 55, 33, 24, 0, 7, 21, 23, 46, 54, 0, 61, 60, 37, 16, 53, 29, 0, 8, 35, 27, 6, 12, 41, 0, 14, 2, 9, 1, 39, 45, 49, 15, 0, 59, 10, 19, 42, 3, 5, 18, 25, 40, 0, 56, 17, 30, 38, 43, 0, 48, 36, 52, 0]</t>
  </si>
  <si>
    <t>[0, 18, 22, 12, 28, 43, 38, 0, 25, 29, 11, 57, 15, 45, 0, 17, 1, 27, 14, 30, 3, 53, 0, 35, 26, 21, 7, 40, 36, 44, 39, 50, 49, 55, 0, 33, 62, 48, 0, 6, 20, 51, 19, 42, 0, 23, 37, 59, 31, 5, 54, 4, 9, 0, 34, 58, 2, 63, 47, 46, 8, 16, 60, 32, 10, 0, 56, 52, 24, 61, 13, 41, 0]</t>
  </si>
  <si>
    <t>A_n63</t>
  </si>
  <si>
    <t>[0, 10, 41, 56, 52, 13, 61, 24, 42, 0, 32, 60, 16, 8, 46, 47, 63, 2, 58, 34, 9, 0, 4, 54, 5, 37, 23, 53, 0, 20, 19, 51, 48, 0, 30, 55, 49, 39, 44, 7, 36, 40, 50, 31, 59, 0, 11, 57, 3, 33, 0, 45, 62, 15, 29, 0, 17, 1, 27, 14, 21, 26, 35, 28, 43, 0, 6, 25, 38, 12, 22, 18, 0]</t>
  </si>
  <si>
    <t>[0, 55, 49, 39, 44, 21, 7, 36, 40, 50, 31, 59, 9, 0, 53, 30, 27, 14, 26, 35, 1, 17, 11, 0, 34, 4, 5, 37, 23, 51, 0, 52, 60, 16, 8, 46, 47, 63, 2, 58, 54, 0, 57, 43, 28, 12, 22, 18, 0, 45, 15, 3, 62, 0, 33, 48, 20, 19, 0, 10, 41, 56, 13, 61, 24, 32, 42, 0, 6, 29, 38, 25, 0]</t>
  </si>
  <si>
    <t>[0, 49, 4, 3, 36, 35, 37, 30, 0, 43, 27, 14, 9, 22, 15, 0, 60, 50, 16, 2, 38, 41, 45, 0, 47, 34, 31, 26, 6, 64, 46, 0, 5, 42, 61, 58, 20, 32, 53, 21, 0, 17, 51, 39, 7, 11, 63, 54, 48, 57, 0, 44, 56, 59, 40, 10, 52, 0, 1, 12, 13, 19, 24, 8, 25, 18, 0, 62, 28, 23, 33, 29, 55, 0]</t>
  </si>
  <si>
    <t>A_n64</t>
  </si>
  <si>
    <t>[0, 51, 46, 64, 6, 26, 31, 47, 0, 17, 34, 9, 22, 14, 15, 0, 43, 27, 3, 36, 35, 4, 49, 0, 37, 30, 60, 50, 16, 41, 45, 0, 32, 20, 58, 61, 42, 38, 2, 5, 0, 53, 40, 44, 56, 21, 0, 55, 25, 59, 10, 8, 52, 19, 18, 0, 29, 24, 13, 12, 1, 33, 62, 0, 28, 23, 57, 48, 54, 63, 11, 7, 0, 39, 0]</t>
  </si>
  <si>
    <t>[0, 46, 64, 6, 26, 31, 34, 47, 0, 43, 27, 14, 9, 22, 15, 0, 49, 4, 3, 36, 35, 37, 30, 0, 60, 50, 16, 2, 38, 41, 5, 0, 45, 32, 20, 42, 61, 58, 40, 56, 0, 53, 44, 59, 10, 8, 19, 0, 55, 21, 25, 52, 24, 13, 12, 0, 51, 17, 0, 39, 7, 11, 63, 54, 48, 57, 23, 0, 62, 28, 33, 1, 18, 29, 0]</t>
  </si>
  <si>
    <t>[0, 31, 18, 53, 49, 33, 2, 64, 61, 67, 7, 0, 58, 66, 13, 44, 15, 3, 6, 51, 30, 9, 19, 0, 23, 12, 22, 24, 0, 68, 35, 45, 20, 41, 59, 8, 38, 29, 0, 40, 39, 56, 62, 43, 0, 16, 48, 1, 36, 10, 17, 32, 37, 0, 21, 55, 60, 4, 47, 65, 34, 0, 26, 54, 46, 5, 50, 52, 0, 28, 57, 42, 11, 63, 25, 14, 27, 0]</t>
  </si>
  <si>
    <t>A_n68</t>
  </si>
  <si>
    <t>[0, 7, 67, 61, 64, 2, 33, 49, 9, 53, 31, 0, 34, 25, 47, 4, 60, 55, 21, 27, 0, 28, 57, 42, 14, 65, 0, 54, 11, 63, 46, 5, 52, 43, 0, 26, 37, 17, 32, 10, 36, 1, 48, 0, 50, 16, 62, 56, 39, 29, 0, 12, 40, 38, 8, 59, 20, 41, 68, 66, 0, 58, 13, 45, 35, 44, 15, 3, 6, 51, 30, 0, 24, 22, 23, 18, 19, 0]</t>
  </si>
  <si>
    <t>[0, 68, 41, 20, 59, 8, 39, 38, 40, 29, 0, 66, 13, 45, 35, 44, 15, 3, 6, 51, 0, 24, 22, 12, 58, 19, 0, 23, 30, 9, 49, 33, 53, 18, 0, 43, 48, 1, 36, 56, 62, 0, 26, 17, 32, 10, 50, 16, 52, 0, 31, 2, 64, 61, 67, 21, 27, 34, 0, 54, 46, 5, 37, 63, 11, 25, 42, 57, 0, 28, 14, 47, 4, 60, 55, 65, 7, 0]</t>
  </si>
  <si>
    <t>[0, 49, 73, 36, 67, 66, 53, 42, 0, 38, 58, 32, 4, 22, 45, 72, 70, 0, 76, 50, 54, 9, 55, 33, 15, 41, 46, 64, 51, 0, 31, 27, 20, 75, 57, 19, 26, 35, 65, 69, 56, 47, 25, 77, 0, 21, 10, 71, 14, 48, 18, 79, 52, 0, 28, 34, 2, 37, 8, 6, 24, 0, 39, 60, 17, 29, 74, 13, 0, 59, 61, 16, 43, 68, 78, 30, 5, 12, 0, 3, 44, 23, 11, 63, 62, 0, 40, 7, 1, 0]</t>
  </si>
  <si>
    <t>A_n79</t>
  </si>
  <si>
    <t>[0, 40, 21, 7, 1, 42, 0, 63, 28, 48, 18, 14, 71, 10, 0, 62, 11, 34, 37, 2, 79, 52, 0, 29, 5, 30, 6, 24, 23, 44, 12, 0, 31, 57, 61, 16, 43, 68, 8, 78, 59, 27, 0, 60, 64, 15, 47, 56, 69, 65, 35, 26, 19, 75, 20, 17, 0, 53, 39, 74, 3, 77, 51, 13, 0, 46, 25, 41, 33, 55, 9, 54, 45, 0, 36, 67, 66, 70, 76, 72, 22, 4, 32, 50, 0, 73, 58, 38, 49, 0]</t>
  </si>
  <si>
    <t>[0, 38, 58, 32, 4, 22, 45, 72, 70, 0, 49, 73, 36, 66, 67, 53, 42, 0, 76, 50, 54, 9, 55, 33, 64, 39, 51, 0, 46, 25, 41, 15, 56, 69, 65, 35, 26, 47, 19, 57, 31, 0, 77, 3, 60, 17, 74, 13, 0, 29, 27, 59, 20, 75, 61, 16, 43, 68, 78, 0, 5, 30, 8, 37, 2, 6, 24, 0, 34, 52, 28, 79, 18, 48, 14, 71, 0, 12, 44, 23, 62, 11, 63, 0, 1, 7, 10, 21, 40, 0]</t>
  </si>
  <si>
    <t>[0, 21, 16, 18, 25, 5, 22, 4, 0, 20, 27, 10, 2, 14, 15, 11, 24, 28, 0, 13, 17, 19, 1, 3, 6, 9, 0, 29, 7, 30, 23, 12, 8, 0, 26, 0]</t>
  </si>
  <si>
    <t>B_n30</t>
  </si>
  <si>
    <t>[0, 20, 27, 10, 2, 14, 15, 11, 24, 28, 0, 26, 12, 23, 7, 8, 0, 30, 19, 1, 3, 13, 29, 0, 4, 6, 9, 17, 22, 0, 21, 25, 5, 18, 16, 0]</t>
  </si>
  <si>
    <t>[0, 20, 27, 10, 2, 14, 15, 11, 1, 0, 28, 24, 19, 3, 6, 9, 30, 8, 0, 26, 12, 23, 17, 13, 0, 29, 7, 22, 4, 0, 21, 25, 5, 18, 16, 0]</t>
  </si>
  <si>
    <t>[0, 15, 13, 28, 31, 17, 25, 6, 5, 0, 3, 27, 29, 24, 14, 16, 18, 19, 1, 0, 9, 26, 8, 12, 0, 20, 10, 23, 33, 32, 0, 11, 30, 22, 4, 7, 21, 2, 0]</t>
  </si>
  <si>
    <t>B_n33</t>
  </si>
  <si>
    <t>[0, 5, 6, 25, 17, 31, 28, 13, 15, 0, 3, 27, 29, 24, 14, 16, 18, 19, 1, 0, 9, 26, 8, 20, 0, 12, 10, 23, 33, 32, 22, 0, 4, 7, 21, 2, 30, 11, 0]</t>
  </si>
  <si>
    <t>[0, 5, 6, 25, 17, 31, 28, 13, 15, 0, 3, 27, 29, 24, 14, 16, 18, 19, 1, 0, 9, 26, 8, 12, 0, 10, 23, 33, 32, 22, 0, 20, 4, 7, 21, 2, 30, 11, 0]</t>
  </si>
  <si>
    <t>[0, 8, 6, 33, 31, 25, 21, 0, 18, 26, 3, 34, 27, 24, 4, 14, 0, 29, 17, 12, 10, 16, 7, 20, 0, 28, 5, 22, 30, 11, 15, 0, 9, 23, 1, 13, 32, 2, 19, 0]</t>
  </si>
  <si>
    <t>B_n34</t>
  </si>
  <si>
    <t>[0, 29, 17, 10, 16, 12, 20, 0, 7, 9, 23, 1, 13, 32, 2, 19, 11, 15, 0, 22, 30, 5, 28, 4, 24, 14, 34, 0, 27, 3, 33, 6, 18, 26, 0, 8, 31, 25, 21, 0]</t>
  </si>
  <si>
    <t>[0, 21, 25, 8, 31, 33, 3, 6, 0, 18, 26, 27, 24, 28, 4, 14, 0, 34, 22, 30, 5, 11, 19, 0, 15, 2, 32, 13, 1, 23, 10, 16, 9, 7, 20, 0, 12, 29, 17, 0]</t>
  </si>
  <si>
    <t>[0, 20, 10, 1, 15, 14, 0, 21, 28, 3, 32, 11, 22, 16, 0, 13, 37, 35, 2, 30, 6, 9, 31, 0, 26, 19, 0, 23, 18, 33, 4, 5, 27, 0, 36, 17, 8, 34, 24, 29, 12, 7, 25, 0]</t>
  </si>
  <si>
    <t>B_n37</t>
  </si>
  <si>
    <t>[0, 36, 17, 8, 34, 24, 29, 12, 7, 27, 31, 0, 25, 5, 4, 18, 33, 23, 0, 16, 9, 30, 2, 35, 37, 13, 3, 0, 32, 28, 1, 10, 20, 15, 0, 19, 6, 22, 11, 21, 14, 0, 26, 0]</t>
  </si>
  <si>
    <t>[0, 20, 10, 1, 15, 14, 0, 28, 13, 35, 2, 37, 3, 32, 0, 30, 23, 18, 33, 4, 5, 0, 7, 27, 12, 29, 24, 34, 8, 17, 36, 0, 26, 16, 22, 11, 21, 0, 31, 9, 19, 6, 25, 0]</t>
  </si>
  <si>
    <t>[0, 32, 23, 30, 16, 22, 37, 21, 24, 33, 2, 1, 0, 10, 13, 18, 6, 19, 34, 9, 0, 36, 17, 27, 38, 35, 4, 28, 0, 25, 26, 12, 11, 15, 5, 0, 29, 20, 7, 8, 14, 3, 31, 0]</t>
  </si>
  <si>
    <t>B_n38</t>
  </si>
  <si>
    <t>[0, 9, 34, 19, 20, 6, 18, 13, 7, 0, 2, 33, 21, 24, 37, 23, 30, 16, 22, 26, 1, 0, 29, 8, 10, 14, 0, 3, 28, 4, 35, 38, 27, 36, 0, 31, 17, 32, 25, 12, 11, 15, 5, 0]</t>
  </si>
  <si>
    <t>[0, 28, 4, 35, 27, 17, 36, 31, 0, 38, 23, 30, 16, 22, 37, 24, 21, 33, 2, 32, 0, 7, 19, 20, 6, 18, 10, 13, 14, 0, 5, 15, 11, 12, 26, 25, 1, 3, 0, 29, 9, 34, 8, 0]</t>
  </si>
  <si>
    <t>[0, 7, 16, 10, 23, 12, 32, 0, 1, 29, 8, 36, 40, 20, 30, 0, 14, 17, 28, 34, 33, 11, 6, 0, 13, 22, 31, 15, 5, 26, 19, 0, 25, 35, 2, 24, 0, 9, 37, 3, 18, 21, 0, 39, 27, 38, 4, 0]</t>
  </si>
  <si>
    <t>B_n40</t>
  </si>
  <si>
    <t>[0, 6, 11, 33, 34, 28, 17, 14, 1, 0, 29, 32, 12, 23, 10, 40, 0, 8, 36, 16, 20, 7, 13, 0, 30, 22, 31, 15, 5, 26, 19, 0, 39, 27, 38, 4, 0, 21, 18, 3, 37, 9, 2, 35, 24, 0, 25, 0]</t>
  </si>
  <si>
    <t>[0, 6, 33, 34, 11, 28, 17, 1, 0, 29, 14, 10, 23, 12, 32, 0, 36, 40, 20, 16, 7, 8, 0, 13, 30, 22, 31, 15, 5, 26, 0, 25, 35, 24, 0, 2, 9, 37, 3, 18, 21, 0, 39, 19, 27, 38, 4, 0]</t>
  </si>
  <si>
    <t>[0, 4, 35, 27, 32, 25, 40, 41, 0, 29, 30, 13, 11, 3, 0, 22, 24, 6, 42, 26, 9, 0, 17, 39, 34, 16, 15, 36, 38, 7, 0, 10, 31, 12, 8, 2, 23, 1, 0, 33, 20, 21, 5, 18, 19, 14, 28, 37, 0]</t>
  </si>
  <si>
    <t>B_n42</t>
  </si>
  <si>
    <t>[0, 33, 20, 21, 5, 18, 19, 14, 28, 37, 0, 10, 1, 23, 2, 8, 12, 31, 17, 0, 9, 16, 15, 36, 38, 7, 0, 26, 39, 34, 42, 6, 24, 22, 3, 0, 11, 13, 30, 29, 32, 25, 27, 40, 0, 4, 35, 41, 0]</t>
  </si>
  <si>
    <t>[0, 22, 24, 6, 42, 26, 9, 0, 17, 39, 34, 16, 15, 36, 38, 7, 0, 10, 31, 12, 8, 2, 23, 1, 0, 3, 11, 13, 30, 29, 32, 25, 27, 0, 33, 20, 21, 5, 18, 19, 14, 28, 37, 0, 4, 35, 40, 41, 0]</t>
  </si>
  <si>
    <t>[0, 11, 23, 10, 0, 13, 8, 42, 30, 22, 38, 9, 0, 19, 26, 24, 39, 14, 36, 2, 0, 6, 21, 34, 37, 41, 4, 32, 18, 0, 20, 15, 33, 43, 31, 27, 35, 0, 25, 28, 3, 12, 1, 40, 0, 7, 16, 29, 17, 5, 0]</t>
  </si>
  <si>
    <t>B_n43</t>
  </si>
  <si>
    <t>[0, 4, 8, 42, 30, 22, 38, 32, 0, 6, 21, 34, 37, 41, 13, 19, 18, 0, 9, 23, 10, 0, 29, 11, 26, 24, 39, 14, 36, 2, 0, 20, 15, 33, 43, 31, 27, 35, 0, 25, 28, 3, 12, 1, 40, 0, 7, 16, 17, 5, 0]</t>
  </si>
  <si>
    <t>[0, 6, 21, 34, 37, 41, 29, 0, 4, 8, 42, 30, 22, 38, 32, 0, 13, 9, 23, 11, 18, 0, 19, 10, 26, 24, 39, 14, 36, 2, 0, 35, 27, 31, 43, 33, 15, 20, 0, 25, 28, 3, 12, 1, 40, 0, 7, 16, 17, 5, 0]</t>
  </si>
  <si>
    <t>[0, 43, 4, 16, 33, 19, 26, 25, 11, 29, 0, 20, 35, 38, 31, 3, 24, 27, 14, 18, 17, 0, 42, 40, 6, 12, 21, 8, 22, 41, 5, 0, 39, 30, 23, 36, 10, 0, 1, 44, 34, 7, 37, 32, 15, 2, 0, 9, 13, 28, 0]</t>
  </si>
  <si>
    <t>B_n44</t>
  </si>
  <si>
    <t>[0, 39, 12, 32, 23, 37, 19, 28, 22, 8, 27, 0, 35, 38, 41, 31, 21, 33, 0, 4, 44, 40, 9, 3, 15, 7, 0, 24, 17, 14, 2, 36, 10, 11, 0, 25, 26, 6, 34, 18, 20, 29, 0, 43, 13, 42, 1, 5, 0, 16, 30, 0]</t>
  </si>
  <si>
    <t>[0, 17, 23, 1, 37, 32, 15, 2, 13, 28, 0, 9, 7, 34, 27, 14, 44, 18, 36, 0, 20, 35, 38, 31, 3, 24, 30, 39, 0, 43, 16, 29, 11, 19, 33, 26, 25, 10, 0, 42, 40, 6, 12, 21, 4, 8, 22, 41, 5, 0]</t>
  </si>
  <si>
    <t>[0, 4, 39, 8, 22, 28, 19, 37, 23, 32, 12, 0, 44, 40, 38, 41, 35, 27, 0, 7, 20, 3, 9, 31, 21, 33, 0, 29, 15, 18, 34, 6, 26, 25, 0, 43, 13, 42, 30, 16, 0, 5, 1, 11, 10, 36, 2, 0, 17, 14, 24, 0]</t>
  </si>
  <si>
    <t>[0, 30, 23, 36, 44, 7, 34, 27, 14, 18, 17, 0, 3, 31, 38, 20, 35, 24, 10, 39, 0, 1, 37, 32, 15, 2, 9, 0, 29, 11, 25, 26, 19, 33, 16, 4, 8, 22, 0, 13, 28, 42, 40, 6, 12, 21, 43, 41, 5, 0]</t>
  </si>
  <si>
    <t>[0, 1, 11, 10, 36, 2, 14, 17, 24, 0, 39, 12, 32, 23, 37, 19, 28, 22, 8, 27, 0, 35, 38, 41, 31, 9, 18, 0, 44, 40, 21, 3, 15, 33, 7, 20, 0, 43, 16, 30, 42, 5, 0, 29, 34, 6, 26, 25, 13, 0, 4, 0]</t>
  </si>
  <si>
    <t>[0, 30, 25, 18, 14, 43, 24, 27, 16, 10, 42, 3, 0, 34, 49, 28, 0, 6, 15, 32, 2, 48, 17, 19, 44, 40, 0, 7, 39, 26, 13, 1, 23, 0, 37, 11, 20, 8, 5, 36, 45, 21, 0, 35, 4, 29, 46, 9, 38, 12, 22, 47, 0, 41, 31, 33, 0]</t>
  </si>
  <si>
    <t>B_n49</t>
  </si>
  <si>
    <t>[0, 8, 17, 42, 21, 1, 35, 0, 32, 28, 29, 19, 24, 43, 48, 0, 3, 13, 10, 23, 46, 38, 22, 0, 39, 45, 41, 14, 31, 44, 0, 16, 5, 30, 0, 12, 9, 49, 47, 26, 18, 4, 25, 40, 0, 2, 37, 27, 33, 36, 11, 20, 6, 0, 34, 7, 15, 0]</t>
  </si>
  <si>
    <t>[0, 6, 2, 48, 17, 19, 44, 32, 40, 34, 0, 7, 30, 25, 18, 14, 43, 24, 27, 16, 10, 3, 0, 41, 31, 12, 22, 33, 47, 0, 42, 39, 26, 13, 1, 0, 38, 9, 46, 23, 29, 4, 35, 0, 37, 11, 20, 8, 5, 36, 45, 21, 0, 15, 28, 49, 0]</t>
  </si>
  <si>
    <t>[0, 15, 17, 42, 8, 21, 10, 0, 3, 35, 39, 45, 41, 38, 0, 1, 28, 29, 19, 32, 43, 0, 31, 14, 22, 46, 23, 13, 0, 30, 5, 16, 0, 20, 11, 24, 47, 26, 18, 4, 25, 0, 40, 37, 9, 49, 36, 33, 12, 27, 6, 44, 0, 2, 7, 48, 34, 0]</t>
  </si>
  <si>
    <t>[0, 6, 2, 32, 48, 17, 19, 44, 49, 40, 15, 0, 34, 28, 0, 35, 4, 37, 11, 20, 8, 5, 36, 45, 21, 0, 7, 30, 25, 18, 14, 43, 24, 27, 16, 10, 3, 0, 42, 39, 26, 13, 1, 0, 23, 29, 46, 9, 38, 12, 22, 33, 0, 41, 31, 47, 0]</t>
  </si>
  <si>
    <t>[0, 15, 8, 17, 42, 21, 10, 0, 3, 35, 39, 45, 41, 23, 22, 0, 1, 28, 29, 19, 32, 43, 0, 13, 38, 46, 14, 31, 44, 0, 16, 5, 30, 0, 20, 11, 24, 47, 26, 18, 4, 25, 0, 6, 36, 49, 9, 33, 12, 27, 37, 40, 48, 0, 2, 7, 34, 0]</t>
  </si>
  <si>
    <t>[0, 5, 36, 40, 16, 2, 38, 34, 10, 17, 0, 46, 22, 24, 30, 25, 47, 45, 50, 23, 0, 15, 21, 44, 20, 49, 9, 1, 0, 18, 39, 29, 13, 0, 4, 42, 14, 7, 28, 26, 43, 0, 11, 6, 41, 32, 37, 31, 27, 0, 35, 3, 19, 33, 48, 0, 8, 12, 0]</t>
  </si>
  <si>
    <t>B_n50</t>
  </si>
  <si>
    <t>[0, 35, 3, 19, 33, 48, 0, 21, 44, 20, 1, 9, 49, 30, 25, 0, 15, 23, 50, 47, 45, 24, 22, 46, 0, 17, 10, 34, 38, 2, 16, 40, 36, 5, 0, 18, 39, 29, 13, 0, 26, 28, 7, 14, 42, 4, 0, 11, 43, 6, 0, 41, 27, 32, 37, 31, 12, 8, 0]</t>
  </si>
  <si>
    <t>[0, 48, 33, 19, 3, 35, 1, 49, 0, 21, 44, 20, 9, 22, 45, 15, 50, 0, 23, 47, 25, 30, 24, 46, 0, 5, 36, 40, 16, 2, 38, 34, 10, 17, 0, 41, 32, 37, 27, 31, 12, 8, 0, 18, 39, 29, 13, 0, 11, 26, 28, 14, 42, 4, 0, 6, 7, 43, 0]</t>
  </si>
  <si>
    <t>[0, 34, 32, 19, 15, 49, 17, 22, 50, 12, 23, 45, 0, 4, 26, 13, 46, 16, 9, 38, 48, 0, 2, 43, 7, 35, 33, 51, 29, 0, 21, 14, 39, 11, 28, 24, 31, 3, 40, 0, 37, 27, 8, 5, 10, 44, 47, 0, 42, 20, 18, 30, 1, 36, 41, 0, 25, 6, 0]</t>
  </si>
  <si>
    <t>B_n51</t>
  </si>
  <si>
    <t>[0, 2, 48, 38, 9, 16, 32, 34, 19, 15, 49, 17, 46, 0, 4, 23, 12, 50, 22, 26, 13, 0, 18, 30, 3, 31, 24, 28, 11, 21, 39, 14, 45, 0, 40, 42, 20, 1, 36, 25, 0, 41, 6, 44, 10, 47, 37, 0, 29, 27, 8, 5, 51, 0, 35, 33, 7, 43, 0]</t>
  </si>
  <si>
    <t>[0, 44, 10, 5, 8, 51, 7, 43, 35, 33, 0, 2, 48, 38, 16, 9, 13, 26, 0, 4, 45, 12, 50, 17, 49, 15, 19, 34, 32, 46, 22, 0, 3, 31, 24, 28, 11, 21, 39, 14, 23, 0, 37, 27, 29, 47, 0, 40, 42, 20, 30, 18, 1, 36, 0, 41, 6, 25, 0]</t>
  </si>
  <si>
    <t>[0, 3, 13, 49, 32, 36, 48, 0, 33, 11, 55, 20, 31, 34, 54, 30, 2, 0, 27, 35, 16, 52, 1, 0, 43, 23, 50, 22, 38, 9, 12, 5, 40, 0, 19, 10, 17, 14, 44, 51, 28, 8, 46, 0, 6, 37, 47, 39, 4, 26, 21, 0, 18, 7, 15, 29, 42, 45, 41, 24, 53, 0, 25, 0]</t>
  </si>
  <si>
    <t>B_n55</t>
  </si>
  <si>
    <t>[0, 28, 40, 5, 12, 9, 38, 22, 50, 23, 51, 0, 19, 10, 17, 44, 14, 8, 46, 18, 0, 13, 33, 11, 55, 20, 31, 30, 34, 54, 2, 43, 0, 3, 49, 32, 36, 48, 35, 16, 52, 0, 27, 1, 21, 26, 4, 39, 0, 47, 42, 37, 29, 45, 41, 53, 0, 25, 6, 7, 15, 24, 0]</t>
  </si>
  <si>
    <t>[0, 43, 23, 50, 22, 38, 9, 12, 5, 40, 0, 13, 49, 33, 11, 55, 20, 31, 34, 54, 30, 2, 0, 19, 18, 10, 17, 44, 14, 51, 28, 8, 15, 53, 0, 46, 7, 24, 6, 25, 0, 3, 36, 32, 48, 35, 16, 27, 0, 41, 45, 29, 37, 42, 0, 52, 1, 21, 26, 4, 39, 47, 0]</t>
  </si>
  <si>
    <t>[0, 54, 35, 40, 29, 4, 0, 37, 32, 47, 20, 43, 7, 52, 0, 50, 39, 14, 42, 22, 30, 2, 0, 18, 36, 38, 53, 12, 9, 8, 28, 25, 0, 56, 26, 19, 41, 34, 17, 51, 0, 45, 6, 31, 11, 15, 1, 0, 55, 21, 10, 3, 44, 49, 48, 27, 16, 0, 46, 23, 24, 33, 13, 5, 0]</t>
  </si>
  <si>
    <t>B_n56</t>
  </si>
  <si>
    <t>[0, 30, 54, 43, 52, 24, 1, 0, 45, 27, 18, 28, 9, 55, 17, 0, 42, 14, 19, 13, 39, 26, 16, 7, 0, 4, 49, 35, 33, 48, 12, 0, 38, 34, 44, 11, 20, 29, 0, 8, 15, 51, 25, 23, 2, 37, 21, 36, 0, 53, 41, 47, 5, 0, 56, 10, 31, 46, 50, 40, 22, 0, 3, 32, 6, 0]</t>
  </si>
  <si>
    <t>[0, 2, 22, 42, 7, 20, 47, 32, 37, 50, 0, 55, 30, 14, 43, 39, 52, 0, 1, 15, 11, 31, 6, 45, 24, 0, 33, 13, 3, 10, 21, 44, 49, 48, 16, 0, 12, 9, 51, 34, 19, 26, 56, 5, 0, 27, 41, 17, 38, 36, 53, 8, 25, 0, 23, 46, 18, 28, 0, 4, 29, 40, 35, 54, 0]</t>
  </si>
  <si>
    <t>[0, 53, 29, 41, 21, 36, 47, 5, 0, 8, 15, 25, 51, 37, 11, 33, 0, 7, 2, 23, 26, 16, 20, 0, 42, 44, 13, 39, 19, 34, 14, 0, 4, 30, 49, 35, 48, 38, 12, 0, 1, 54, 43, 45, 52, 27, 0, 24, 18, 28, 9, 55, 31, 17, 10, 0, 22, 46, 50, 3, 40, 32, 0, 56, 6, 0]</t>
  </si>
  <si>
    <t>[0, 54, 35, 29, 4, 40, 0, 52, 37, 32, 47, 20, 43, 7, 42, 2, 0, 50, 39, 14, 22, 30, 0, 56, 19, 53, 12, 9, 8, 25, 28, 0, 18, 38, 36, 51, 17, 34, 41, 26, 0, 45, 6, 31, 11, 15, 1, 0, 46, 23, 5, 33, 13, 24, 27, 0, 16, 48, 49, 44, 3, 10, 21, 55, 0]</t>
  </si>
  <si>
    <t>[0, 8, 15, 25, 51, 41, 29, 47, 5, 0, 36, 21, 37, 2, 23, 26, 39, 0, 53, 7, 20, 11, 16, 13, 14, 42, 0, 49, 35, 33, 34, 19, 44, 0, 4, 30, 38, 48, 12, 56, 0, 43, 54, 45, 52, 24, 18, 50, 0, 1, 27, 28, 9, 55, 31, 17, 10, 0, 22, 46, 3, 40, 32, 0, 6, 0]</t>
  </si>
  <si>
    <t>[0, 48, 32, 55, 29, 28, 0, 60, 3, 40, 16, 44, 13, 0, 5, 31, 4, 49, 56, 46, 8, 0, 59, 30, 9, 15, 0, 2, 21, 51, 52, 34, 47, 0, 22, 39, 19, 25, 33, 42, 0, 62, 26, 35, 6, 54, 12, 58, 14, 41, 61, 0, 18, 50, 1, 27, 36, 20, 7, 0, 38, 57, 24, 43, 17, 11, 23, 53, 37, 0, 45, 10, 0]</t>
  </si>
  <si>
    <t>B_n62</t>
  </si>
  <si>
    <t>[0, 18, 50, 1, 27, 36, 20, 7, 0, 37, 10, 53, 23, 45, 0, 38, 57, 11, 17, 24, 43, 58, 14, 0, 42, 61, 41, 54, 12, 6, 26, 35, 25, 52, 0, 22, 2, 21, 33, 51, 39, 0, 47, 9, 34, 19, 62, 0, 15, 30, 8, 46, 59, 56, 31, 0, 4, 49, 3, 40, 16, 0, 5, 44, 55, 13, 0, 60, 48, 32, 29, 28, 0]</t>
  </si>
  <si>
    <t>[0, 31, 4, 3, 40, 16, 44, 60, 0, 49, 56, 59, 46, 8, 30, 0, 47, 9, 15, 5, 13, 0, 34, 19, 25, 35, 6, 26, 2, 0, 22, 62, 21, 33, 51, 52, 39, 0, 42, 61, 41, 54, 12, 58, 14, 10, 0, 37, 23, 11, 17, 24, 43, 57, 38, 53, 0, 45, 20, 36, 7, 0, 1, 27, 50, 18, 0, 48, 32, 55, 29, 28, 0]</t>
  </si>
  <si>
    <t>[0, 31, 27, 38, 40, 34, 8, 17, 0, 7, 46, 54, 21, 41, 26, 1, 0, 16, 13, 56, 28, 11, 29, 33, 0, 47, 61, 50, 10, 12, 0, 18, 55, 51, 22, 35, 60, 36, 19, 0, 30, 62, 49, 43, 52, 0, 37, 9, 48, 59, 57, 25, 23, 0, 32, 14, 4, 5, 24, 15, 3, 0, 45, 44, 6, 53, 58, 0, 20, 2, 63, 42, 39, 0]</t>
  </si>
  <si>
    <t>B_n63</t>
  </si>
  <si>
    <t>[0, 57, 20, 63, 42, 39, 25, 23, 52, 0, 1, 43, 62, 26, 41, 7, 0, 2, 58, 53, 6, 44, 45, 0, 3, 19, 15, 24, 5, 4, 14, 59, 35, 48, 0, 37, 9, 55, 51, 22, 36, 60, 32, 0, 12, 10, 50, 61, 47, 0, 33, 18, 29, 11, 28, 56, 13, 0, 16, 38, 40, 34, 27, 31, 0, 30, 17, 8, 21, 54, 46, 49, 0]</t>
  </si>
  <si>
    <t>[0, 9, 22, 55, 51, 59, 4, 14, 35, 48, 24, 19, 3, 0, 37, 60, 36, 5, 15, 32, 0, 12, 10, 50, 61, 47, 0, 33, 18, 29, 11, 28, 56, 13, 0, 16, 38, 40, 34, 27, 21, 8, 17, 0, 58, 53, 6, 44, 45, 0, 20, 2, 63, 42, 39, 57, 23, 0, 25, 43, 49, 0, 31, 54, 41, 46, 30, 7, 0, 1, 52, 62, 26, 0]</t>
  </si>
  <si>
    <t>[0, 32, 58, 40, 8, 65, 33, 5, 0, 20, 53, 18, 23, 54, 52, 0, 45, 31, 56, 22, 43, 34, 51, 13, 0, 7, 35, 19, 38, 57, 11, 55, 17, 0, 30, 44, 64, 59, 48, 16, 61, 0, 50, 62, 10, 26, 46, 63, 25, 37, 0, 12, 24, 6, 28, 47, 0, 14, 39, 29, 3, 15, 60, 4, 21, 36, 2, 1, 0, 42, 27, 9, 49, 41, 0]</t>
  </si>
  <si>
    <t>B_n65</t>
  </si>
  <si>
    <t>[0, 41, 52, 54, 53, 20, 17, 1, 0, 55, 23, 18, 0, 11, 31, 45, 13, 22, 43, 34, 51, 0, 7, 38, 35, 56, 19, 57, 0, 30, 37, 61, 47, 28, 50, 0, 16, 48, 25, 46, 64, 44, 59, 0, 62, 63, 26, 10, 6, 24, 0, 49, 12, 2, 36, 21, 14, 0, 27, 5, 4, 60, 15, 3, 29, 39, 9, 0, 42, 33, 65, 8, 40, 58, 32, 0]</t>
  </si>
  <si>
    <t>[0, 32, 58, 40, 8, 65, 33, 42, 0, 20, 17, 18, 54, 53, 52, 0, 23, 51, 34, 43, 22, 13, 45, 0, 11, 57, 38, 19, 35, 56, 31, 55, 0, 7, 30, 44, 64, 59, 62, 61, 0, 50, 28, 26, 46, 63, 48, 37, 0, 5, 14, 39, 29, 3, 15, 60, 4, 21, 36, 41, 0, 6, 2, 10, 25, 16, 47, 1, 0, 27, 9, 49, 12, 24, 0]</t>
  </si>
  <si>
    <t>[0, 58, 56, 15, 55, 54, 22, 52, 45, 12, 0, 33, 47, 26, 18, 31, 0, 2, 65, 37, 23, 8, 32, 59, 0, 66, 16, 41, 51, 24, 29, 10, 27, 43, 0, 17, 38, 7, 50, 14, 46, 0, 11, 20, 19, 35, 49, 1, 4, 0, 13, 28, 5, 21, 25, 63, 0, 39, 36, 6, 34, 44, 42, 0, 62, 61, 30, 57, 3, 60, 0, 53, 40, 64, 9, 48, 0]</t>
  </si>
  <si>
    <t>B_n66</t>
  </si>
  <si>
    <t>[0, 28, 56, 55, 21, 25, 63, 48, 9, 0, 62, 61, 30, 57, 3, 60, 40, 0, 46, 4, 36, 6, 34, 64, 44, 53, 0, 39, 42, 1, 49, 35, 19, 0, 14, 50, 11, 20, 7, 17, 0, 38, 10, 29, 59, 8, 23, 65, 0, 43, 27, 24, 32, 37, 51, 41, 16, 0, 66, 2, 26, 47, 33, 18, 31, 0, 12, 45, 52, 22, 54, 15, 58, 13, 0, 5, 0]</t>
  </si>
  <si>
    <t>[0, 31, 18, 26, 2, 47, 33, 0, 32, 65, 37, 23, 8, 51, 66, 0, 16, 41, 27, 59, 24, 29, 10, 38, 0, 17, 43, 7, 20, 19, 35, 49, 4, 0, 46, 14, 50, 11, 1, 39, 0, 53, 44, 64, 34, 6, 36, 42, 0, 40, 60, 3, 57, 30, 61, 62, 0, 58, 56, 15, 55, 54, 22, 52, 45, 12, 0, 9, 48, 63, 25, 21, 13, 0, 28, 5, 0]</t>
  </si>
  <si>
    <t>[0, 64, 27, 35, 60, 4, 31, 0, 47, 65, 43, 46, 13, 66, 0, 7, 5, 14, 62, 54, 16, 34, 44, 0, 21, 30, 59, 45, 12, 48, 9, 26, 52, 33, 0, 17, 20, 57, 61, 51, 22, 2, 37, 0, 15, 56, 49, 41, 8, 1, 0, 42, 28, 18, 24, 10, 58, 6, 32, 36, 67, 0, 29, 3, 11, 55, 40, 38, 53, 63, 0, 19, 50, 39, 23, 25, 0]</t>
  </si>
  <si>
    <t>B_n67</t>
  </si>
  <si>
    <t>[0, 63, 39, 11, 3, 55, 40, 38, 53, 19, 0, 25, 23, 50, 0, 29, 67, 36, 32, 6, 58, 10, 18, 42, 33, 0, 37, 41, 22, 51, 61, 2, 8, 28, 24, 0, 17, 20, 52, 57, 49, 56, 0, 1, 26, 9, 48, 34, 44, 59, 45, 0, 60, 12, 16, 30, 21, 54, 62, 14, 5, 46, 0, 66, 43, 13, 7, 4, 15, 0, 31, 35, 47, 65, 27, 64, 0]</t>
  </si>
  <si>
    <t>[0, 17, 20, 52, 57, 61, 51, 22, 2, 8, 33, 0, 1, 41, 37, 49, 56, 15, 0, 26, 9, 48, 44, 34, 12, 30, 21, 0, 45, 59, 16, 54, 62, 14, 5, 13, 65, 0, 42, 28, 18, 24, 10, 58, 6, 32, 36, 67, 0, 66, 43, 46, 7, 60, 4, 0, 31, 35, 47, 27, 64, 0, 29, 3, 11, 23, 39, 55, 50, 63, 0, 25, 40, 38, 53, 19, 0]</t>
  </si>
  <si>
    <t>[0, 47, 7, 32, 76, 73, 31, 45, 46, 34, 71, 0, 2, 63, 5, 49, 27, 0, 30, 37, 70, 29, 57, 75, 65, 0, 3, 20, 54, 35, 59, 55, 33, 0, 62, 50, 61, 39, 13, 48, 28, 0, 10, 68, 41, 14, 36, 4, 74, 19, 9, 6, 60, 0, 42, 66, 16, 18, 25, 53, 40, 64, 11, 26, 0, 8, 22, 12, 15, 51, 0, 17, 72, 38, 56, 67, 69, 43, 21, 24, 1, 0, 58, 52, 44, 23, 77, 0]</t>
  </si>
  <si>
    <t>B_n77</t>
  </si>
  <si>
    <t>[0, 77, 23, 44, 26, 11, 64, 40, 53, 25, 0, 28, 55, 35, 59, 4, 36, 14, 41, 68, 10, 0, 42, 16, 18, 66, 60, 6, 62, 0, 9, 19, 74, 39, 48, 13, 33, 61, 0, 50, 54, 20, 3, 31, 73, 29, 47, 0, 65, 75, 37, 30, 5, 63, 27, 0, 49, 70, 32, 76, 7, 57, 0, 2, 51, 45, 46, 34, 12, 0, 38, 69, 56, 8, 71, 22, 15, 0, 17, 72, 58, 67, 43, 21, 52, 24, 1, 0]</t>
  </si>
  <si>
    <t>[0, 42, 16, 18, 68, 53, 10, 25, 0, 66, 60, 41, 14, 36, 4, 59, 35, 55, 28, 19, 9, 0, 6, 74, 13, 33, 50, 62, 0, 61, 39, 48, 54, 20, 3, 31, 32, 75, 47, 0, 2, 63, 5, 49, 27, 0, 65, 57, 29, 70, 37, 30, 0, 7, 76, 73, 45, 46, 34, 51, 0, 24, 58, 67, 56, 8, 12, 15, 22, 71, 0, 40, 64, 11, 26, 44, 23, 77, 0, 1, 52, 21, 43, 69, 38, 72, 17, 0]</t>
  </si>
  <si>
    <t>[0, 50, 3, 79, 33, 81, 78, 34, 35, 65, 71, 9, 51, 1, 27, 0, 52, 31, 88, 62, 10, 63, 90, 32, 66, 20, 30, 70, 69, 0, 7, 19, 11, 64, 49, 36, 47, 48, 82, 18, 89, 0, 28, 76, 77, 68, 29, 24, 54, 80, 12, 26, 53, 0, 60, 83, 8, 46, 45, 17, 84, 5, 61, 16, 86, 38, 44, 91, 93, 0, 4, 55, 25, 39, 67, 23, 56, 75, 74, 72, 73, 21, 40, 0, 6, 96, 99, 59, 98, 85, 100, 37, 92, 97, 95, 94, 0, 58, 2, 22, 41, 57, 15, 43, 14, 42, 87, 13, 0]</t>
  </si>
  <si>
    <t>E_n100</t>
  </si>
  <si>
    <t>[0, 51, 9, 71, 65, 35, 34, 78, 81, 0, 69, 70, 90, 32, 66, 20, 30, 1, 0, 27, 31, 10, 63, 11, 62, 88, 0, 28, 76, 77, 3, 79, 33, 50, 0, 52, 7, 19, 64, 49, 36, 47, 46, 8, 0, 18, 82, 48, 45, 17, 84, 83, 60, 0, 12, 80, 68, 29, 24, 54, 26, 0, 89, 5, 61, 85, 99, 6, 0, 4, 55, 25, 39, 67, 23, 0, 93, 16, 86, 38, 44, 91, 0, 21, 72, 56, 75, 41, 22, 74, 73, 40, 0, 95, 97, 92, 37, 100, 98, 59, 96, 0, 53, 58, 2, 57, 15, 43, 14, 42, 87, 0, 94, 13, 0]</t>
  </si>
  <si>
    <t>[0, 18, 82, 8, 46, 48, 47, 36, 49, 64, 63, 11, 19, 7, 52, 0, 31, 88, 62, 10, 90, 32, 20, 66, 65, 71, 35, 9, 51, 0, 27, 69, 1, 70, 30, 50, 33, 81, 34, 78, 79, 3, 77, 76, 0, 28, 12, 80, 68, 29, 24, 54, 55, 25, 67, 39, 56, 4, 0, 53, 58, 40, 73, 74, 22, 41, 23, 75, 72, 21, 26, 0, 13, 87, 16, 86, 38, 44, 14, 42, 43, 15, 57, 2, 0, 6, 96, 59, 85, 91, 100, 37, 98, 92, 97, 95, 94, 0, 89, 60, 5, 83, 45, 17, 84, 61, 93, 99, 0]</t>
  </si>
  <si>
    <t>[0, 26, 54, 55, 25, 67, 39, 56, 41, 0, 40, 72, 74, 75, 23, 4, 0, 53, 21, 73, 22, 2, 57, 87, 58, 0, 13, 97, 42, 15, 43, 14, 38, 44, 91, 92, 0, 94, 95, 59, 99, 96, 89, 0, 6, 98, 37, 100, 61, 16, 86, 17, 60, 0, 18, 84, 5, 85, 93, 0, 83, 82, 8, 45, 46, 36, 49, 64, 11, 0, 52, 7, 48, 47, 19, 88, 0, 31, 10, 32, 90, 63, 62, 0, 69, 70, 30, 20, 66, 65, 71, 1, 0, 50, 33, 81, 78, 34, 35, 9, 51, 0, 12, 80, 24, 29, 79, 3, 77, 76, 0, 27, 68, 28, 0]</t>
  </si>
  <si>
    <t>[0, 52, 7, 82, 48, 47, 36, 46, 8, 45, 17, 84, 5, 60, 83, 18, 89, 0, 88, 62, 19, 49, 64, 11, 63, 90, 32, 10, 31, 27, 0, 69, 1, 70, 30, 20, 66, 65, 71, 35, 9, 51, 81, 33, 50, 0, 6, 96, 99, 93, 61, 16, 86, 38, 44, 91, 98, 92, 59, 0, 28, 76, 77, 3, 79, 78, 34, 29, 24, 68, 80, 12, 0, 26, 54, 55, 25, 39, 67, 23, 56, 4, 72, 21, 40, 0, 94, 95, 97, 37, 85, 100, 14, 43, 42, 87, 0, 53, 58, 73, 74, 75, 22, 41, 15, 57, 2, 13, 0]</t>
  </si>
  <si>
    <t>[0, 52, 7, 48, 47, 36, 46, 8, 82, 0, 88, 62, 19, 49, 64, 11, 63, 90, 0, 31, 10, 32, 30, 70, 1, 69, 0, 94, 60, 5, 84, 17, 45, 83, 18, 0, 51, 9, 35, 71, 65, 66, 20, 0, 50, 33, 81, 34, 78, 79, 3, 0, 89, 61, 85, 93, 99, 96, 0, 6, 98, 16, 86, 38, 44, 91, 37, 92, 0, 76, 77, 68, 29, 24, 80, 12, 0, 54, 55, 25, 39, 67, 23, 0, 59, 100, 14, 43, 15, 42, 87, 0, 95, 97, 57, 41, 22, 75, 56, 4, 0, 13, 2, 74, 72, 73, 21, 40, 58, 0, 53, 26, 28, 27, 0]</t>
  </si>
  <si>
    <t>[0, 9, 7, 5, 2, 1, 6, 0, 10, 8, 3, 4, 11, 13, 0, 12, 15, 18, 20, 17, 0, 16, 19, 21, 14, 0]</t>
  </si>
  <si>
    <t>E_n21</t>
  </si>
  <si>
    <t>[0, 11, 4, 3, 8, 10, 0, 6, 1, 2, 5, 7, 9, 0, 12, 15, 18, 20, 17, 0, 14, 21, 19, 13, 0, 16, 0]</t>
  </si>
  <si>
    <t>[0, 11, 4, 3, 1, 2, 6, 8, 0, 10, 7, 5, 9, 12, 0, 13, 19, 16, 0, 15, 18, 20, 21, 17, 14, 0]</t>
  </si>
  <si>
    <t>[0, 6, 1, 2, 3, 16, 15, 14, 17, 22, 20, 19, 18, 0, 7, 21, 4, 5, 8, 9, 13, 11, 12, 0, 10, 0]</t>
  </si>
  <si>
    <t>E_n22</t>
  </si>
  <si>
    <t>[0, 7, 21, 4, 5, 8, 9, 13, 11, 12, 0, 10, 0, 6, 1, 2, 3, 16, 15, 14, 17, 22, 20, 19, 18, 0]</t>
  </si>
  <si>
    <t>[0, 7, 8, 4, 5, 9, 13, 11, 12, 0, 10, 0, 6, 1, 2, 3, 16, 15, 14, 17, 22, 20, 19, 18, 21, 0]</t>
  </si>
  <si>
    <t>[0, 20, 3, 4, 6, 1, 24, 25, 29, 27, 28, 26, 19, 0, 18, 23, 10, 11, 12, 8, 14, 9, 17, 7, 13, 16, 15, 0, 5, 2, 22, 0, 21, 0]</t>
  </si>
  <si>
    <t>E_n29</t>
  </si>
  <si>
    <t>[0, 18, 23, 10, 11, 12, 8, 14, 9, 17, 7, 13, 16, 15, 0, 26, 28, 27, 29, 25, 24, 1, 6, 3, 19, 0, 20, 4, 5, 2, 22, 0, 21, 0]</t>
  </si>
  <si>
    <t>[0, 4, 5, 6, 7, 9, 8, 32, 11, 2, 0, 29, 28, 16, 27, 26, 15, 1, 0, 13, 17, 25, 24, 23, 22, 20, 21, 19, 18, 10, 12, 3, 0, 31, 14, 30, 0]</t>
  </si>
  <si>
    <t>E_n32</t>
  </si>
  <si>
    <t>[0, 4, 5, 6, 7, 8, 9, 10, 32, 12, 2, 3, 0, 11, 18, 19, 21, 20, 23, 24, 22, 25, 17, 13, 0, 1, 15, 26, 27, 16, 28, 29, 0, 31, 14, 30, 0]</t>
  </si>
  <si>
    <t>[0, 29, 28, 16, 27, 26, 15, 1, 0, 4, 6, 7, 9, 8, 32, 11, 3, 0, 13, 17, 25, 24, 23, 22, 20, 21, 19, 18, 10, 5, 12, 2, 0, 30, 14, 31, 0]</t>
  </si>
  <si>
    <t>[0, 1, 22, 28, 31, 26, 8, 48, 27, 0, 2, 29, 20, 35, 36, 3, 32, 0, 6, 23, 7, 43, 24, 25, 14, 0, 46, 5, 38, 9, 30, 34, 21, 50, 16, 11, 0, 47, 4, 42, 19, 40, 41, 13, 18, 0, 49, 10, 39, 33, 45, 15, 44, 37, 17, 12, 0]</t>
  </si>
  <si>
    <t>E_n50</t>
  </si>
  <si>
    <t>[0, 6, 14, 25, 24, 43, 7, 23, 48, 27, 0, 1, 22, 8, 26, 31, 28, 3, 36, 35, 20, 29, 32, 0, 46, 38, 9, 30, 34, 21, 50, 16, 2, 11, 0, 5, 49, 10, 39, 33, 45, 15, 44, 37, 12, 0, 18, 13, 41, 40, 19, 42, 17, 4, 47, 0]</t>
  </si>
  <si>
    <t>[0, 6, 14, 25, 24, 43, 7, 23, 48, 27, 0, 8, 26, 31, 28, 3, 36, 35, 20, 22, 1, 32, 46, 0, 47, 4, 42, 19, 40, 41, 13, 18, 0, 11, 2, 29, 21, 16, 50, 34, 30, 9, 38, 0, 5, 49, 10, 39, 33, 45, 15, 44, 37, 17, 12, 0]</t>
  </si>
  <si>
    <t>[0, 7, 53, 14, 59, 11, 66, 65, 38, 26, 0, 72, 58, 10, 31, 25, 55, 18, 50, 9, 39, 12, 17, 0, 4, 34, 52, 27, 13, 54, 19, 35, 8, 46, 67, 0, 6, 51, 16, 49, 24, 3, 44, 32, 40, 0, 73, 1, 22, 64, 42, 43, 41, 56, 23, 63, 33, 0, 57, 15, 37, 20, 70, 60, 71, 69, 36, 47, 5, 29, 45, 75, 0, 68, 2, 62, 28, 61, 21, 74, 48, 30, 0]</t>
  </si>
  <si>
    <t>E_n75</t>
  </si>
  <si>
    <t>[0, 53, 11, 66, 65, 38, 10, 58, 0, 26, 7, 35, 14, 59, 19, 8, 46, 34, 0, 12, 72, 39, 31, 55, 25, 9, 40, 17, 0, 3, 44, 32, 50, 18, 24, 49, 16, 51, 0, 4, 45, 29, 15, 57, 54, 13, 27, 52, 67, 0, 73, 1, 22, 64, 42, 43, 41, 56, 23, 63, 33, 0, 5, 37, 20, 70, 60, 71, 69, 36, 47, 48, 30, 0, 6, 62, 28, 61, 21, 74, 2, 68, 75, 0]</t>
  </si>
  <si>
    <t>[0, 53, 11, 66, 65, 38, 0, 26, 58, 10, 31, 72, 12, 40, 0, 7, 35, 14, 59, 19, 8, 46, 0, 39, 9, 25, 55, 18, 50, 32, 0, 17, 44, 3, 24, 49, 16, 51, 6, 0, 34, 52, 54, 13, 27, 45, 4, 0, 63, 23, 56, 41, 64, 42, 43, 1, 73, 0, 57, 15, 20, 70, 60, 71, 69, 36, 37, 5, 29, 0, 48, 47, 21, 61, 22, 62, 33, 0, 75, 30, 74, 28, 2, 68, 0, 67, 0]</t>
  </si>
  <si>
    <t>[0, 7, 53, 11, 65, 0, 38, 66, 59, 35, 0, 26, 58, 10, 31, 72, 0, 8, 14, 19, 54, 13, 0, 12, 39, 9, 40, 0, 32, 25, 55, 18, 50, 3, 0, 67, 46, 34, 0, 17, 44, 24, 49, 16, 51, 0, 52, 27, 57, 15, 29, 45, 0, 63, 23, 56, 41, 43, 1, 73, 0, 5, 37, 20, 70, 60, 71, 36, 0, 33, 42, 64, 22, 62, 0, 48, 47, 69, 61, 21, 74, 0, 6, 2, 28, 30, 0, 75, 68, 4, 0]</t>
  </si>
  <si>
    <t>[0, 12, 39, 9, 25, 55, 18, 50, 32, 44, 3, 40, 0, 26, 58, 72, 31, 10, 38, 65, 66, 59, 14, 0, 67, 7, 11, 53, 35, 19, 54, 8, 46, 34, 0, 52, 27, 13, 57, 15, 20, 70, 60, 71, 69, 36, 37, 5, 29, 45, 0, 4, 30, 48, 47, 21, 61, 74, 2, 68, 75, 0, 6, 33, 73, 1, 43, 41, 42, 64, 22, 28, 62, 0, 51, 63, 23, 56, 24, 49, 16, 17, 0]</t>
  </si>
  <si>
    <t>[0, 49, 24, 18, 50, 25, 55, 31, 10, 58, 72, 12, 0, 17, 3, 44, 32, 9, 39, 40, 26, 0, 7, 14, 59, 11, 66, 65, 38, 0, 67, 46, 35, 53, 19, 54, 13, 52, 34, 0, 8, 27, 57, 15, 20, 70, 60, 71, 37, 5, 29, 45, 0, 68, 74, 21, 61, 69, 36, 47, 48, 30, 4, 0, 43, 41, 42, 64, 22, 28, 62, 2, 75, 0, 51, 16, 63, 23, 56, 1, 73, 33, 6, 0]</t>
  </si>
  <si>
    <t>[0, 27, 19, 59, 54, 13, 57, 15, 29, 45, 0, 30, 74, 69, 36, 71, 60, 70, 20, 37, 5, 0, 2, 28, 61, 21, 47, 48, 0, 68, 62, 22, 64, 42, 41, 43, 1, 73, 0, 33, 63, 23, 56, 24, 49, 16, 51, 0, 6, 3, 44, 50, 18, 55, 25, 32, 0, 12, 72, 31, 39, 9, 40, 17, 0, 58, 10, 65, 66, 38, 26, 0, 7, 53, 11, 14, 35, 8, 0, 4, 52, 46, 34, 67, 0, 75, 0]</t>
  </si>
  <si>
    <t>[0, 27, 13, 57, 15, 20, 70, 60, 71, 0, 45, 5, 37, 36, 69, 47, 0, 30, 74, 21, 48, 29, 0, 68, 2, 28, 61, 62, 0, 33, 41, 42, 64, 22, 73, 0, 6, 1, 43, 56, 23, 63, 0, 51, 16, 49, 24, 18, 55, 25, 0, 3, 44, 50, 32, 17, 0, 40, 9, 39, 12, 0, 72, 31, 10, 58, 26, 0, 38, 65, 66, 59, 0, 53, 11, 14, 35, 0, 7, 8, 19, 54, 52, 34, 0, 4, 46, 67, 0, 75, 0]</t>
  </si>
  <si>
    <t>[0, 17, 3, 44, 32, 50, 18, 55, 25, 9, 40, 12, 0, 11, 66, 65, 38, 10, 31, 39, 72, 58, 26, 0, 6, 33, 63, 23, 56, 24, 49, 16, 51, 0, 67, 46, 8, 54, 19, 59, 14, 53, 35, 7, 0, 68, 2, 62, 28, 61, 22, 64, 42, 41, 43, 1, 73, 0, 74, 21, 47, 36, 69, 71, 60, 70, 20, 37, 5, 48, 30, 0, 34, 52, 27, 13, 57, 15, 29, 45, 4, 75, 0]</t>
  </si>
  <si>
    <t>[0, 3, 44, 32, 50, 18, 55, 25, 9, 40, 0, 67, 26, 58, 38, 10, 31, 39, 72, 12, 0, 17, 51, 16, 49, 24, 56, 23, 63, 33, 6, 0, 7, 53, 11, 65, 66, 59, 14, 0, 68, 62, 28, 61, 22, 64, 42, 41, 43, 1, 73, 0, 46, 8, 35, 19, 54, 13, 52, 34, 4, 0, 27, 57, 15, 20, 70, 60, 71, 69, 36, 37, 5, 29, 45, 0, 75, 30, 48, 47, 21, 74, 2, 0]</t>
  </si>
  <si>
    <t>[0, 3, 44, 32, 50, 18, 55, 25, 31, 72, 0, 17, 40, 9, 39, 12, 26, 0, 58, 10, 38, 65, 66, 53, 0, 51, 16, 49, 24, 56, 23, 63, 33, 0, 7, 11, 59, 14, 19, 35, 0, 6, 73, 1, 43, 41, 42, 64, 22, 68, 0, 2, 62, 28, 61, 21, 74, 0, 30, 47, 36, 69, 71, 60, 70, 20, 37, 29, 0, 45, 48, 5, 15, 57, 54, 13, 27, 0, 75, 4, 52, 8, 46, 34, 0, 67, 0]</t>
  </si>
  <si>
    <t>[0, 3, 44, 24, 49, 16, 6, 0, 32, 50, 18, 55, 25, 39, 0, 12, 9, 40, 17, 0, 72, 31, 10, 58, 26, 0, 38, 65, 66, 59, 0, 51, 63, 23, 56, 41, 42, 43, 0, 53, 11, 14, 35, 0, 33, 1, 64, 22, 73, 0, 7, 8, 19, 54, 13, 52, 0, 57, 15, 20, 70, 60, 71, 69, 36, 0, 2, 62, 28, 61, 74, 0, 68, 30, 21, 47, 48, 0, 45, 29, 5, 37, 27, 0, 75, 4, 34, 46, 0, 67, 0]</t>
  </si>
  <si>
    <t>[0, 82, 20, 86, 84, 85, 83, 65, 130, 19, 71, 46, 0, 23, 25, 26, 27, 28, 92, 30, 59, 134, 61, 52, 39, 45, 42, 4, 10, 12, 11, 14, 88, 15, 13, 16, 90, 89, 87, 21, 91, 118, 0, 119, 115, 114, 106, 107, 108, 109, 121, 122, 124, 111, 125, 112, 129, 0, 22, 24, 31, 29, 93, 96, 97, 99, 104, 105, 57, 58, 54, 33, 126, 127, 113, 132, 0, 81, 110, 123, 128, 120, 116, 131, 117, 18, 17, 0, 72, 47, 75, 1, 60, 94, 56, 55, 53, 51, 48, 34, 76, 64, 63, 67, 70, 69, 68, 80, 133, 66, 0, 102, 35, 37, 95, 40, 44, 5, 6, 7, 8, 9, 2, 0, 73, 74, 77, 78, 79, 36, 3, 41, 43, 38, 98, 100, 101, 103, 50, 62, 49, 32, 0]</t>
  </si>
  <si>
    <t>F_n134</t>
  </si>
  <si>
    <t>[0, 91, 21, 22, 23, 26, 28, 90, 89, 87, 86, 84, 85, 83, 65, 130, 82, 20, 0, 46, 118, 19, 111, 123, 122, 110, 81, 132, 17, 66, 24, 27, 25, 0, 29, 31, 59, 60, 47, 72, 73, 112, 125, 124, 126, 127, 128, 129, 113, 121, 109, 107, 106, 115, 116, 117, 119, 18, 0, 71, 0, 30, 92, 16, 13, 88, 14, 9, 100, 104, 56, 57, 58, 102, 53, 1, 75, 32, 134, 0, 15, 61, 0, 62, 54, 55, 93, 11, 39, 37, 52, 48, 76, 77, 74, 0, 38, 0, 64, 34, 49, 103, 101, 98, 40, 44, 2, 4, 8, 12, 10, 94, 0, 45, 0, 78, 50, 35, 95, 41, 6, 7, 5, 96, 105, 0, 51, 97, 43, 42, 3, 36, 99, 63, 79, 67, 70, 69, 68, 80, 33, 133, 0, 120, 108, 114, 0, 131, 0]</t>
  </si>
  <si>
    <t>[0, 65, 130, 119, 117, 115, 114, 106, 107, 108, 109, 121, 112, 0, 19, 131, 116, 120, 129, 128, 127, 126, 124, 123, 122, 111, 125, 81, 18, 0, 21, 30, 90, 89, 87, 86, 84, 85, 83, 20, 82, 17, 0, 46, 118, 71, 132, 113, 110, 80, 0, 66, 33, 68, 69, 70, 67, 133, 78, 63, 79, 64, 77, 74, 75, 47, 73, 72, 23, 24, 22, 91, 0, 31, 59, 60, 1, 48, 32, 134, 76, 34, 49, 62, 50, 51, 52, 98, 95, 92, 28, 27, 26, 25, 0, 58, 93, 29, 16, 13, 15, 88, 14, 11, 12, 10, 9, 8, 7, 6, 5, 4, 2, 42, 41, 3, 40, 43, 44, 45, 94, 39, 38, 96, 37, 35, 36, 99, 100, 97, 105, 57, 56, 104, 101, 102, 53, 103, 55, 54, 61, 0]</t>
  </si>
  <si>
    <t>[0, 9, 15, 1, 2, 14, 13, 12, 11, 18, 17, 10, 16, 0, 4, 3, 35, 7, 5, 6, 27, 29, 28, 33, 32, 31, 34, 36, 0, 37, 38, 42, 39, 40, 41, 30, 43, 44, 8, 0, 25, 26, 23, 22, 19, 20, 21, 0, 24, 0]</t>
  </si>
  <si>
    <t>F_n44</t>
  </si>
  <si>
    <t>[0, 10, 18, 11, 12, 13, 14, 17, 16, 2, 1, 15, 9, 0, 37, 38, 36, 42, 39, 40, 34, 3, 4, 35, 7, 5, 6, 27, 29, 28, 33, 31, 41, 30, 43, 44, 8, 0, 21, 20, 19, 22, 23, 26, 25, 0, 32, 24, 0]</t>
  </si>
  <si>
    <t>[0, 15, 1, 2, 16, 17, 14, 13, 12, 11, 18, 10, 0, 4, 3, 35, 7, 5, 6, 27, 29, 28, 33, 32, 31, 34, 36, 0, 25, 26, 23, 22, 19, 20, 21, 0, 24, 9, 37, 38, 42, 39, 40, 41, 30, 43, 44, 8, 0]</t>
  </si>
  <si>
    <t>[0, 23, 26, 24, 25, 49, 51, 70, 50, 47, 48, 52, 45, 53, 46, 44, 43, 42, 27, 28, 22, 21, 30, 29, 20, 0, 54, 55, 41, 56, 57, 39, 68, 40, 38, 37, 69, 67, 66, 65, 64, 62, 63, 59, 58, 61, 60, 34, 32, 31, 0, 14, 19, 2, 15, 1, 13, 17, 16, 12, 71, 6, 10, 8, 7, 9, 4, 3, 5, 0, 35, 11, 18, 0, 36, 33, 0]</t>
  </si>
  <si>
    <t>F_n71</t>
  </si>
  <si>
    <t>[0, 32, 35, 18, 1, 15, 19, 2, 13, 17, 16, 12, 71, 6, 10, 5, 3, 8, 4, 7, 9, 0, 31, 34, 54, 57, 58, 59, 39, 68, 40, 38, 37, 69, 67, 66, 65, 63, 64, 62, 60, 14, 33, 36, 0, 55, 41, 56, 61, 11, 0, 20, 29, 30, 21, 22, 28, 27, 42, 43, 44, 46, 53, 45, 52, 48, 47, 50, 70, 51, 49, 25, 24, 26, 23, 0]</t>
  </si>
  <si>
    <t>[0, 56, 57, 39, 68, 40, 38, 37, 69, 67, 66, 65, 64, 62, 63, 59, 58, 61, 60, 34, 32, 31, 0, 54, 55, 41, 51, 70, 49, 50, 47, 48, 52, 45, 53, 46, 44, 43, 42, 27, 28, 22, 21, 30, 26, 25, 24, 23, 29, 20, 0, 14, 19, 2, 15, 1, 13, 17, 16, 12, 71, 6, 10, 5, 3, 8, 4, 7, 9, 0, 35, 11, 18, 0, 33, 36, 0]</t>
  </si>
  <si>
    <t>Golden_n200</t>
  </si>
  <si>
    <t>Golden_n240</t>
  </si>
  <si>
    <t>Golden_n252</t>
  </si>
  <si>
    <t>Golden_n255</t>
  </si>
  <si>
    <t>Golden_n280</t>
  </si>
  <si>
    <t>Golden_n300</t>
  </si>
  <si>
    <t>Golden_n320</t>
  </si>
  <si>
    <t>Golden_n323</t>
  </si>
  <si>
    <t>Golden_n360</t>
  </si>
  <si>
    <t>Golden_n396</t>
  </si>
  <si>
    <t>Golden_n399</t>
  </si>
  <si>
    <t>Golden_n400</t>
  </si>
  <si>
    <t>Golden_n420</t>
  </si>
  <si>
    <t>Golden_n440</t>
  </si>
  <si>
    <t>Golden_n480</t>
  </si>
  <si>
    <t>Golden_n483</t>
  </si>
  <si>
    <t>Li_n1040</t>
  </si>
  <si>
    <t>Li_n1120</t>
  </si>
  <si>
    <t>Li_n1200</t>
  </si>
  <si>
    <t>Li_n560</t>
  </si>
  <si>
    <t>Li_n600</t>
  </si>
  <si>
    <t>Li_n640</t>
  </si>
  <si>
    <t>Li_n720</t>
  </si>
  <si>
    <t>Li_n760</t>
  </si>
  <si>
    <t>Li_n800</t>
  </si>
  <si>
    <t>Li_n840</t>
  </si>
  <si>
    <t>Li_n880</t>
  </si>
  <si>
    <t>Li_n960</t>
  </si>
  <si>
    <t>[0, 98, 96, 95, 94, 92, 93, 97, 100, 99, 0, 7, 3, 5, 75, 1, 2, 4, 6, 8, 9, 11, 10, 0, 91, 89, 88, 85, 84, 82, 83, 86, 87, 90, 0, 13, 12, 14, 16, 15, 19, 18, 17, 23, 0, 21, 22, 25, 26, 28, 30, 29, 27, 24, 20, 0, 34, 36, 39, 38, 37, 35, 31, 33, 32, 0, 81, 78, 76, 71, 70, 73, 77, 79, 80, 74, 0, 47, 49, 52, 50, 51, 48, 45, 46, 44, 40, 41, 42, 43, 0, 57, 59, 60, 58, 56, 53, 54, 55, 0, 67, 65, 63, 62, 72, 61, 64, 68, 66, 69, 0]</t>
  </si>
  <si>
    <t>M_n100</t>
  </si>
  <si>
    <t>[0, 20, 24, 25, 26, 28, 30, 29, 34, 36, 37, 38, 35, 0, 49, 52, 51, 31, 32, 33, 39, 27, 23, 22, 21, 0, 10, 17, 18, 19, 15, 16, 14, 11, 8, 7, 0, 5, 3, 4, 75, 1, 2, 6, 9, 12, 13, 0, 99, 100, 97, 93, 92, 94, 95, 96, 98, 0, 90, 89, 87, 86, 83, 82, 84, 85, 88, 91, 0, 63, 74, 62, 65, 0, 67, 66, 68, 64, 61, 72, 77, 73, 70, 71, 76, 78, 81, 0, 69, 59, 55, 54, 60, 58, 56, 53, 80, 79, 0, 47, 46, 50, 48, 45, 44, 57, 40, 41, 42, 43, 0]</t>
  </si>
  <si>
    <t>[0, 13, 17, 18, 19, 15, 16, 14, 12, 11, 0, 21, 23, 26, 28, 30, 29, 27, 25, 24, 22, 20, 0, 10, 8, 9, 6, 4, 2, 1, 75, 5, 3, 7, 0, 99, 100, 97, 93, 92, 94, 95, 96, 98, 0, 34, 36, 39, 38, 37, 33, 32, 35, 31, 0, 91, 89, 88, 85, 84, 82, 83, 86, 87, 90, 0, 81, 78, 76, 71, 70, 73, 77, 79, 80, 74, 0, 43, 46, 47, 49, 52, 50, 51, 48, 45, 44, 42, 40, 41, 0, 57, 59, 60, 58, 56, 53, 54, 55, 0, 67, 65, 63, 62, 72, 61, 64, 68, 66, 69, 0]</t>
  </si>
  <si>
    <t>[0, 67, 69, 70, 75, 72, 74, 71, 73, 76, 77, 78, 80, 79, 68, 98, 0, 53, 55, 58, 56, 60, 63, 66, 64, 62, 61, 65, 59, 57, 54, 52, 110, 0, 119, 120, 105, 106, 107, 104, 103, 116, 100, 99, 101, 102, 95, 87, 111, 82, 88, 0, 93, 37, 41, 38, 39, 42, 44, 46, 49, 47, 48, 50, 51, 45, 43, 40, 0, 109, 21, 20, 23, 26, 29, 32, 35, 36, 34, 31, 30, 33, 27, 28, 25, 24, 22, 19, 16, 17, 0, 2, 1, 3, 4, 5, 6, 10, 11, 15, 14, 12, 8, 13, 9, 7, 118, 0, 92, 89, 85, 81, 112, 84, 117, 113, 83, 108, 114, 18, 90, 91, 115, 97, 94, 96, 0, 86, 0]</t>
  </si>
  <si>
    <t>M_n120</t>
  </si>
  <si>
    <t>[0, 103, 69, 70, 67, 71, 74, 72, 75, 78, 77, 76, 73, 98, 116, 0, 68, 79, 80, 53, 55, 58, 56, 60, 63, 66, 64, 62, 61, 65, 57, 54, 52, 0, 115, 39, 42, 41, 44, 46, 47, 49, 50, 51, 48, 45, 43, 40, 59, 110, 0, 109, 17, 20, 21, 26, 23, 22, 24, 25, 28, 31, 27, 30, 33, 34, 36, 35, 32, 29, 37, 38, 0, 97, 114, 18, 118, 108, 19, 16, 12, 8, 13, 14, 15, 11, 5, 0, 96, 94, 93, 92, 89, 91, 90, 113, 6, 7, 9, 10, 4, 3, 1, 2, 83, 117, 0, 119, 81, 112, 84, 85, 86, 111, 82, 88, 87, 95, 102, 101, 99, 100, 104, 107, 106, 105, 120, 0]</t>
  </si>
  <si>
    <t>[0, 67, 69, 70, 71, 73, 76, 74, 72, 75, 78, 80, 79, 77, 68, 98, 0, 53, 55, 58, 56, 60, 63, 66, 64, 62, 61, 65, 59, 57, 54, 52, 110, 0, 100, 40, 43, 45, 51, 50, 48, 42, 47, 49, 46, 44, 41, 37, 38, 39, 0, 109, 21, 20, 26, 29, 36, 35, 32, 28, 31, 34, 33, 30, 27, 24, 22, 25, 23, 19, 16, 17, 0, 120, 105, 106, 101, 99, 104, 107, 103, 116, 97, 115, 108, 118, 18, 114, 94, 93, 96, 95, 102, 0, 91, 8, 12, 13, 14, 15, 11, 9, 10, 4, 3, 1, 2, 5, 6, 7, 0, 88, 82, 119, 81, 112, 84, 117, 83, 113, 90, 92, 89, 85, 86, 111, 87, 0]</t>
  </si>
  <si>
    <t>[0, 51, 9, 103, 71, 136, 65, 66, 128, 20, 122, 1, 132, 27, 0, 69, 101, 70, 30, 131, 32, 90, 63, 126, 108, 10, 31, 127, 146, 0, 79, 78, 34, 35, 135, 120, 81, 33, 102, 50, 111, 0, 7, 123, 107, 19, 47, 36, 143, 49, 64, 11, 62, 148, 88, 0, 52, 106, 48, 124, 46, 8, 82, 114, 45, 125, 83, 18, 89, 0, 76, 116, 77, 3, 129, 121, 29, 24, 134, 150, 80, 68, 12, 138, 0, 28, 109, 54, 130, 55, 25, 139, 39, 67, 23, 56, 4, 0, 60, 118, 5, 84, 17, 113, 86, 16, 61, 93, 99, 0, 6, 104, 85, 91, 141, 44, 119, 140, 38, 14, 142, 43, 15, 42, 144, 0, 26, 149, 110, 72, 74, 75, 133, 22, 41, 145, 73, 21, 40, 105, 0, 147, 96, 59, 98, 100, 37, 92, 97, 95, 94, 112, 0, 53, 58, 137, 2, 115, 57, 87, 117, 13, 0]</t>
  </si>
  <si>
    <t>M_n150</t>
  </si>
  <si>
    <t>[0, 52, 106, 7, 82, 124, 47, 49, 143, 36, 46, 125, 8, 114, 18, 0, 127, 31, 88, 148, 62, 11, 64, 107, 19, 123, 48, 0, 27, 101, 70, 10, 108, 126, 63, 90, 32, 131, 128, 66, 20, 122, 1, 132, 0, 69, 30, 51, 103, 71, 65, 136, 35, 135, 9, 120, 34, 78, 129, 50, 0, 111, 102, 33, 81, 79, 29, 121, 3, 77, 116, 76, 28, 0, 138, 12, 109, 150, 80, 68, 24, 134, 54, 130, 149, 26, 0, 53, 40, 75, 56, 23, 67, 39, 139, 25, 55, 4, 110, 105, 0, 58, 21, 73, 72, 74, 133, 22, 41, 145, 115, 2, 137, 112, 0, 6, 94, 95, 117, 87, 43, 15, 57, 144, 13, 0, 147, 96, 99, 59, 92, 119, 140, 38, 14, 142, 42, 97, 0, 104, 85, 16, 86, 141, 44, 91, 100, 37, 98, 0, 89, 60, 118, 5, 93, 61, 113, 17, 84, 45, 83, 146, 0]</t>
  </si>
  <si>
    <t>[0, 18, 114, 8, 46, 124, 47, 36, 143, 49, 64, 107, 19, 123, 7, 146, 0, 52, 106, 82, 48, 45, 125, 83, 60, 118, 89, 0, 127, 88, 148, 62, 11, 126, 63, 90, 32, 131, 108, 10, 31, 0, 1, 51, 103, 135, 35, 136, 65, 71, 66, 128, 20, 30, 122, 70, 101, 69, 0, 92, 91, 141, 44, 38, 140, 86, 16, 61, 113, 17, 84, 5, 6, 0, 132, 50, 102, 33, 81, 9, 120, 34, 78, 129, 79, 3, 0, 147, 96, 99, 104, 93, 85, 59, 94, 13, 0, 111, 76, 116, 77, 68, 121, 29, 24, 134, 150, 80, 12, 138, 0, 117, 97, 87, 57, 15, 43, 42, 142, 14, 119, 100, 37, 98, 95, 112, 0, 149, 4, 139, 39, 23, 67, 25, 55, 130, 54, 109, 0, 26, 110, 21, 73, 72, 74, 56, 75, 133, 22, 41, 145, 115, 2, 144, 137, 0, 53, 58, 40, 105, 28, 27, 0]</t>
  </si>
  <si>
    <t>[0, 9, 164, 34, 135, 35, 136, 65, 71, 161, 103, 51, 1, 0, 132, 69, 122, 20, 188, 66, 128, 160, 30, 101, 162, 167, 146, 0, 111, 185, 129, 169, 78, 120, 81, 33, 157, 102, 50, 176, 0, 70, 131, 32, 181, 63, 126, 90, 108, 10, 189, 31, 190, 0, 27, 127, 88, 148, 159, 62, 182, 7, 194, 106, 153, 52, 0, 123, 19, 107, 175, 11, 64, 49, 143, 36, 47, 168, 124, 82, 0, 76, 196, 77, 158, 3, 79, 121, 29, 24, 163, 134, 80, 150, 184, 0, 28, 154, 138, 116, 68, 177, 12, 26, 105, 53, 0, 18, 48, 46, 174, 8, 114, 45, 125, 199, 83, 166, 89, 0, 60, 118, 5, 84, 17, 113, 173, 61, 85, 93, 99, 6, 0, 109, 54, 130, 165, 55, 25, 170, 67, 39, 187, 139, 155, 110, 0, 147, 96, 104, 16, 141, 86, 140, 38, 44, 191, 91, 98, 92, 0, 149, 195, 179, 4, 56, 186, 23, 75, 197, 198, 180, 0, 40, 21, 73, 72, 74, 171, 133, 22, 41, 145, 115, 178, 2, 0, 144, 172, 42, 57, 15, 43, 142, 14, 119, 192, 193, 100, 37, 151, 59, 0, 183, 94, 95, 97, 87, 117, 13, 137, 152, 58, 0, 156, 112, 0]</t>
  </si>
  <si>
    <t>M_n199</t>
  </si>
  <si>
    <t>[0, 69, 51, 103, 161, 71, 65, 136, 35, 135, 164, 34, 78, 9, 0, 132, 176, 1, 122, 20, 188, 66, 128, 160, 30, 101, 162, 146, 0, 70, 131, 32, 181, 63, 126, 90, 108, 10, 189, 31, 190, 0, 27, 167, 127, 88, 148, 159, 62, 182, 194, 106, 52, 0, 50, 102, 157, 33, 81, 120, 185, 79, 129, 169, 3, 0, 7, 123, 19, 107, 175, 11, 64, 49, 143, 36, 47, 168, 124, 153, 0, 111, 76, 196, 77, 158, 121, 29, 24, 163, 134, 150, 80, 68, 0, 18, 82, 48, 46, 174, 8, 114, 45, 125, 199, 83, 60, 89, 0, 26, 149, 195, 12, 109, 177, 116, 184, 138, 154, 28, 0, 166, 118, 5, 84, 17, 113, 173, 61, 85, 93, 0, 54, 130, 165, 55, 25, 170, 67, 39, 187, 139, 155, 179, 0, 98, 193, 91, 191, 44, 38, 140, 86, 141, 16, 99, 104, 96, 6, 0, 72, 197, 75, 23, 186, 56, 4, 110, 198, 180, 105, 0, 147, 59, 151, 37, 100, 192, 119, 14, 43, 142, 42, 172, 87, 0, 40, 21, 73, 171, 74, 133, 22, 41, 145, 15, 57, 144, 178, 115, 2, 0, 53, 152, 58, 137, 13, 117, 97, 92, 95, 94, 183, 156, 0, 112, 0]</t>
  </si>
  <si>
    <t>[0, 127, 190, 31, 88, 182, 7, 48, 124, 168, 143, 36, 46, 199, 0, 52, 106, 194, 123, 19, 107, 175, 64, 49, 47, 82, 153, 0, 162, 189, 90, 32, 181, 63, 126, 11, 159, 62, 148, 167, 0, 69, 101, 70, 10, 108, 131, 160, 128, 66, 20, 30, 122, 1, 132, 0, 176, 51, 188, 103, 161, 65, 136, 78, 102, 50, 111, 0, 28, 184, 76, 185, 164, 135, 35, 71, 9, 120, 33, 157, 0, 138, 150, 121, 29, 169, 34, 81, 129, 79, 3, 158, 77, 196, 0, 195, 109, 177, 134, 24, 163, 80, 68, 116, 12, 154, 0, 53, 180, 139, 187, 67, 170, 25, 55, 165, 130, 54, 149, 26, 0, 58, 198, 110, 56, 186, 23, 39, 155, 4, 179, 105, 0, 152, 73, 171, 74, 22, 133, 75, 197, 72, 21, 40, 0, 112, 13, 87, 172, 43, 15, 41, 145, 57, 144, 178, 115, 2, 137, 0, 156, 183, 94, 95, 117, 97, 151, 59, 147, 27, 0, 6, 96, 104, 99, 92, 100, 192, 119, 44, 140, 38, 14, 142, 42, 0, 89, 166, 93, 16, 86, 141, 191, 91, 193, 98, 37, 0, 118, 5, 84, 173, 17, 113, 61, 85, 0, 146, 18, 114, 8, 174, 45, 125, 83, 60, 0]</t>
  </si>
  <si>
    <t>[0, 52, 106, 194, 7, 48, 47, 143, 36, 124, 46, 174, 8, 82, 153, 0, 190, 88, 148, 11, 107, 175, 64, 49, 168, 123, 182, 0, 127, 31, 159, 62, 19, 126, 63, 181, 90, 189, 70, 101, 162, 0, 176, 1, 122, 20, 188, 128, 160, 131, 32, 108, 10, 69, 132, 0, 111, 51, 103, 161, 71, 35, 136, 65, 66, 30, 167, 0, 28, 129, 78, 34, 164, 135, 9, 120, 33, 157, 102, 50, 0, 138, 184, 116, 77, 158, 79, 169, 81, 185, 196, 76, 0, 154, 12, 150, 80, 68, 3, 121, 29, 24, 163, 134, 109, 26, 0, 105, 56, 139, 67, 170, 25, 55, 165, 130, 54, 177, 195, 149, 0, 53, 180, 110, 75, 186, 23, 39, 187, 155, 4, 179, 0, 152, 73, 171, 22, 133, 74, 72, 197, 198, 21, 40, 0, 156, 112, 13, 137, 144, 57, 43, 15, 41, 145, 115, 178, 2, 58, 0, 117, 87, 97, 95, 94, 183, 147, 27, 0, 6, 96, 104, 59, 151, 92, 192, 140, 38, 14, 142, 42, 172, 0, 89, 99, 98, 193, 191, 86, 44, 119, 100, 37, 0, 166, 61, 113, 16, 141, 91, 85, 93, 0, 146, 18, 83, 199, 114, 125, 45, 17, 173, 84, 5, 118, 60, 0]</t>
  </si>
  <si>
    <t>[0, 18, 60, 83, 199, 125, 45, 46, 174, 8, 114, 82, 194, 106, 153, 146, 0, 7, 48, 124, 168, 47, 36, 143, 49, 19, 123, 182, 0, 52, 88, 148, 62, 107, 175, 11, 64, 181, 32, 90, 63, 126, 108, 0, 132, 162, 189, 10, 159, 31, 190, 127, 167, 27, 0, 69, 101, 70, 122, 30, 160, 131, 128, 66, 188, 20, 51, 176, 28, 0, 1, 103, 161, 71, 65, 136, 35, 135, 9, 157, 102, 0, 6, 92, 91, 119, 38, 140, 86, 113, 17, 173, 84, 5, 118, 166, 0, 89, 61, 16, 141, 44, 191, 193, 85, 104, 99, 96, 0, 76, 185, 79, 129, 169, 78, 34, 164, 120, 81, 33, 50, 0, 111, 196, 116, 77, 158, 3, 121, 29, 24, 163, 134, 68, 0, 156, 147, 93, 59, 95, 94, 183, 112, 0, 137, 87, 172, 42, 142, 43, 14, 192, 100, 98, 37, 151, 97, 117, 13, 0, 58, 2, 115, 178, 144, 57, 15, 145, 41, 22, 133, 171, 40, 0, 184, 80, 150, 177, 109, 54, 130, 165, 55, 25, 170, 67, 23, 74, 0, 53, 21, 197, 56, 139, 187, 39, 186, 75, 72, 73, 152, 0, 105, 180, 198, 110, 155, 4, 179, 149, 195, 12, 26, 0, 154, 138, 0]</t>
  </si>
  <si>
    <t>[0, 146, 18, 114, 8, 174, 46, 45, 125, 199, 83, 60, 118, 166, 0, 106, 194, 7, 168, 47, 49, 143, 36, 124, 48, 82, 153, 0, 52, 182, 123, 19, 107, 175, 11, 64, 181, 63, 126, 90, 159, 0, 127, 190, 88, 148, 62, 10, 189, 108, 32, 131, 162, 0, 167, 31, 70, 30, 160, 128, 66, 188, 20, 122, 101, 69, 0, 132, 1, 51, 103, 161, 71, 65, 136, 35, 135, 164, 9, 0, 6, 104, 91, 191, 44, 38, 140, 86, 16, 61, 113, 17, 173, 84, 5, 0, 176, 102, 157, 33, 185, 81, 120, 34, 78, 169, 129, 79, 0, 27, 111, 50, 3, 158, 121, 29, 24, 163, 134, 77, 196, 76, 0, 89, 147, 96, 99, 93, 85, 141, 119, 14, 192, 98, 0, 117, 87, 172, 42, 15, 43, 142, 100, 193, 37, 151, 92, 59, 94, 0, 28, 184, 116, 68, 80, 150, 177, 109, 12, 154, 138, 0, 149, 179, 4, 139, 187, 67, 170, 25, 55, 165, 130, 54, 195, 0, 26, 110, 155, 39, 23, 186, 56, 75, 197, 198, 180, 0, 105, 40, 21, 73, 72, 74, 171, 133, 22, 41, 145, 57, 144, 115, 0, 112, 183, 95, 97, 13, 137, 178, 2, 152, 58, 0, 156, 53, 0]</t>
  </si>
  <si>
    <t>[0, 28, 50, 76, 77, 68, 80, 24, 29, 3, 79, 33, 81, 78, 34, 35, 65, 71, 9, 51, 1, 27, 0, 52, 18, 82, 48, 7, 62, 88, 31, 10, 11, 19, 47, 36, 49, 64, 63, 90, 32, 66, 20, 30, 70, 69, 0, 89, 60, 83, 8, 46, 45, 17, 84, 5, 61, 16, 86, 38, 14, 44, 91, 85, 93, 98, 100, 37, 92, 59, 99, 96, 6, 0, 53, 40, 21, 73, 72, 74, 22, 41, 75, 4, 56, 23, 67, 39, 25, 55, 54, 12, 26, 0, 58, 2, 57, 15, 43, 42, 87, 97, 95, 94, 13, 0]</t>
  </si>
  <si>
    <t>P_n100</t>
  </si>
  <si>
    <t>[0, 89, 6, 96, 99, 5, 17, 86, 38, 14, 44, 16, 61, 91, 100, 37, 98, 85, 93, 59, 92, 97, 95, 94, 13, 0, 52, 18, 60, 83, 84, 45, 46, 8, 82, 48, 47, 36, 49, 19, 7, 88, 62, 11, 64, 63, 90, 32, 10, 70, 31, 0, 27, 69, 1, 30, 20, 66, 65, 71, 35, 9, 51, 34, 78, 81, 33, 50, 76, 77, 3, 79, 29, 68, 80, 12, 28, 0, 53, 58, 40, 2, 87, 42, 43, 15, 57, 41, 22, 74, 73, 21, 72, 75, 56, 23, 67, 39, 4, 25, 55, 24, 54, 26, 0]</t>
  </si>
  <si>
    <t>[0, 18, 60, 83, 45, 8, 46, 47, 36, 49, 64, 11, 19, 48, 82, 7, 62, 63, 90, 32, 10, 31, 88, 52, 27, 0, 69, 70, 30, 20, 66, 65, 71, 35, 9, 51, 33, 81, 34, 78, 79, 29, 24, 80, 68, 3, 77, 76, 50, 1, 28, 0, 89, 6, 94, 96, 99, 59, 93, 85, 5, 84, 17, 61, 16, 86, 38, 44, 91, 100, 37, 98, 92, 97, 95, 13, 0, 53, 58, 40, 2, 57, 87, 42, 14, 43, 15, 41, 22, 74, 73, 21, 72, 75, 56, 23, 67, 39, 25, 55, 4, 54, 12, 26, 0]</t>
  </si>
  <si>
    <t>[0, 10, 12, 15, 0, 3, 1, 0, 8, 0, 2, 0, 4, 11, 0, 13, 9, 7, 0, 14, 5, 0, 6, 0]</t>
  </si>
  <si>
    <t>P_n15</t>
  </si>
  <si>
    <t>[0, 4, 11, 0, 15, 12, 10, 0, 3, 1, 0, 13, 9, 7, 0, 14, 5, 0, 2, 0, 6, 0, 8, 0]</t>
  </si>
  <si>
    <t>[0, 4, 11, 0, 15, 12, 10, 0, 3, 1, 0, 8, 0, 2, 0, 7, 9, 13, 0, 14, 5, 0, 6, 0]</t>
  </si>
  <si>
    <t>[0, 4, 11, 14, 12, 3, 17, 16, 8, 10, 1, 0, 18, 5, 13, 15, 9, 7, 2, 0, 6, 0]</t>
  </si>
  <si>
    <t>P_n18</t>
  </si>
  <si>
    <t>[0, 4, 11, 14, 12, 3, 17, 16, 8, 10, 1, 0, 2, 7, 9, 15, 13, 5, 18, 0, 6, 0]</t>
  </si>
  <si>
    <t>[0, 6, 2, 8, 17, 18, 3, 10, 0, 1, 12, 15, 11, 4, 0, 7, 13, 9, 16, 14, 5, 19, 0]</t>
  </si>
  <si>
    <t>P_n19</t>
  </si>
  <si>
    <t>[0, 4, 11, 15, 12, 3, 18, 17, 8, 13, 2, 0, 1, 10, 7, 9, 16, 14, 5, 19, 6, 0]</t>
  </si>
  <si>
    <t>[0, 4, 11, 15, 12, 3, 18, 17, 8, 2, 10, 0, 1, 13, 9, 16, 14, 5, 7, 19, 6, 0]</t>
  </si>
  <si>
    <t>[0, 6, 2, 8, 18, 19, 3, 16, 0, 1, 10, 12, 15, 11, 4, 0, 20, 5, 14, 17, 9, 13, 7, 0]</t>
  </si>
  <si>
    <t>P_n20</t>
  </si>
  <si>
    <t>[0, 4, 11, 15, 12, 3, 19, 18, 8, 10, 1, 16, 0, 6, 7, 2, 13, 9, 17, 14, 5, 20, 0]</t>
  </si>
  <si>
    <t>[0, 4, 11, 15, 12, 3, 19, 18, 8, 10, 1, 16, 0, 6, 2, 13, 9, 17, 14, 5, 7, 20, 0]</t>
  </si>
  <si>
    <t>[0, 6, 2, 8, 18, 19, 3, 16, 0, 1, 10, 12, 15, 11, 4, 0, 7, 13, 9, 21, 17, 14, 5, 20, 0]</t>
  </si>
  <si>
    <t>P_n21</t>
  </si>
  <si>
    <t>[0, 9, 5, 0, 7, 2, 1, 6, 0, 10, 8, 3, 4, 0, 12, 0, 11, 13, 0, 19, 0, 15, 18, 17, 0, 21, 20, 14, 0, 16, 0]</t>
  </si>
  <si>
    <t>[0, 4, 11, 15, 12, 3, 19, 18, 8, 10, 1, 16, 0, 20, 7, 5, 14, 17, 21, 9, 13, 2, 6, 0]</t>
  </si>
  <si>
    <t>[0, 4, 3, 8, 10, 0, 6, 1, 2, 7, 0, 9, 5, 0, 15, 18, 17, 0, 21, 20, 14, 0, 19, 0, 16, 0, 13, 11, 0, 12, 0]</t>
  </si>
  <si>
    <t>[0, 4, 11, 15, 12, 3, 19, 18, 8, 10, 1, 16, 0, 6, 2, 13, 9, 17, 14, 5, 21, 7, 20, 0]</t>
  </si>
  <si>
    <t>[0, 11, 4, 8, 0, 3, 1, 2, 6, 0, 13, 0, 5, 7, 0, 19, 14, 0, 10, 9, 12, 0, 21, 20, 0, 16, 0, 17, 18, 15, 0]</t>
  </si>
  <si>
    <t>[0, 3, 19, 18, 0, 1, 10, 12, 15, 0, 8, 16, 0, 2, 21, 0, 4, 11, 0, 6, 0, 17, 9, 13, 0, 5, 14, 22, 0, 20, 7, 0]</t>
  </si>
  <si>
    <t>P_n22</t>
  </si>
  <si>
    <t>[0, 11, 4, 1, 0, 15, 12, 10, 0, 3, 19, 18, 0, 17, 9, 13, 0, 22, 14, 5, 0, 7, 20, 21, 0, 2, 0, 8, 16, 0, 6, 0]</t>
  </si>
  <si>
    <t>[0, 11, 4, 1, 0, 15, 12, 10, 0, 3, 19, 18, 0, 8, 16, 0, 2, 21, 0, 13, 9, 17, 0, 5, 14, 22, 0, 7, 20, 0, 6, 0]</t>
  </si>
  <si>
    <t>[0, 6, 23, 7, 26, 8, 31, 28, 22, 1, 27, 0, 2, 29, 20, 35, 36, 3, 32, 0, 11, 16, 21, 34, 30, 9, 38, 5, 0, 24, 14, 25, 18, 0, 4, 13, 19, 17, 37, 15, 33, 39, 10, 12, 0]</t>
  </si>
  <si>
    <t>P_n39</t>
  </si>
  <si>
    <t>[0, 6, 14, 24, 23, 7, 26, 8, 27, 0, 1, 22, 31, 28, 3, 36, 35, 20, 2, 0, 32, 11, 16, 29, 21, 34, 30, 9, 38, 0, 5, 10, 39, 33, 15, 37, 17, 12, 0, 4, 19, 13, 25, 18, 0]</t>
  </si>
  <si>
    <t>[0, 6, 24, 23, 7, 26, 31, 8, 27, 0, 1, 22, 28, 3, 36, 35, 20, 2, 32, 0, 14, 25, 13, 19, 4, 18, 0, 11, 16, 29, 21, 34, 30, 9, 38, 0, 5, 10, 39, 33, 15, 37, 17, 12, 0]</t>
  </si>
  <si>
    <t>[0, 1, 22, 28, 31, 26, 8, 27, 0, 2, 29, 20, 35, 36, 3, 32, 0, 6, 23, 7, 43, 24, 25, 14, 0, 11, 16, 21, 34, 30, 9, 38, 5, 0, 18, 13, 41, 40, 19, 42, 4, 0, 10, 39, 33, 15, 44, 37, 17, 12, 0]</t>
  </si>
  <si>
    <t>P_n44</t>
  </si>
  <si>
    <t>[0, 6, 14, 25, 24, 43, 7, 23, 27, 0, 8, 26, 31, 28, 3, 36, 35, 20, 22, 1, 32, 0, 38, 9, 30, 34, 21, 29, 2, 16, 11, 0, 5, 10, 39, 33, 15, 44, 37, 12, 0, 4, 17, 42, 19, 40, 41, 13, 18, 0]</t>
  </si>
  <si>
    <t>[0, 6, 14, 25, 24, 43, 7, 23, 27, 0, 8, 26, 31, 28, 3, 36, 35, 20, 22, 1, 32, 0, 18, 13, 41, 40, 19, 42, 44, 17, 4, 0, 11, 2, 29, 21, 34, 9, 16, 38, 0, 5, 10, 30, 39, 33, 15, 37, 12, 0]</t>
  </si>
  <si>
    <t>[0, 7, 35, 19, 14, 11, 38, 26, 0, 10, 31, 25, 9, 39, 12, 17, 0, 40, 32, 18, 24, 49, 3, 44, 0, 34, 46, 8, 13, 27, 4, 0, 6, 33, 1, 22, 42, 41, 43, 23, 16, 0, 15, 20, 37, 36, 47, 5, 29, 45, 0, 30, 48, 21, 28, 2, 0]</t>
  </si>
  <si>
    <t>P_n49</t>
  </si>
  <si>
    <t>[0, 7, 11, 14, 19, 35, 0, 26, 38, 10, 31, 39, 0, 12, 9, 25, 18, 32, 17, 0, 40, 44, 3, 24, 49, 16, 0, 34, 46, 8, 0, 27, 13, 15, 20, 37, 36, 5, 29, 0, 23, 43, 41, 42, 22, 1, 33, 0, 45, 48, 47, 21, 28, 0, 6, 2, 30, 4, 0]</t>
  </si>
  <si>
    <t>[0, 38, 11, 14, 0, 7, 35, 19, 8, 46, 0, 26, 10, 31, 39, 0, 12, 9, 25, 18, 32, 0, 17, 40, 44, 3, 16, 0, 34, 27, 13, 15, 5, 29, 0, 24, 49, 23, 41, 42, 43, 1, 0, 21, 47, 36, 37, 20, 0, 2, 28, 22, 33, 0, 4, 45, 48, 30, 0, 6, 0]</t>
  </si>
  <si>
    <t>[0, 45, 29, 5, 36, 37, 20, 15, 13, 27, 0, 2, 28, 21, 47, 48, 30, 0, 6, 33, 1, 22, 42, 41, 43, 23, 49, 16, 0, 17, 44, 3, 24, 18, 25, 32, 12, 0, 40, 9, 39, 31, 10, 26, 0, 7, 38, 11, 14, 19, 35, 8, 0, 46, 34, 4, 0]</t>
  </si>
  <si>
    <t>[0, 27, 13, 15, 20, 37, 36, 21, 0, 45, 29, 5, 47, 48, 30, 0, 2, 28, 22, 42, 41, 43, 23, 0, 6, 33, 1, 49, 24, 16, 0, 3, 44, 18, 25, 32, 40, 0, 17, 9, 31, 39, 12, 0, 10, 38, 11, 14, 0, 26, 7, 35, 19, 8, 46, 34, 0, 4, 0]</t>
  </si>
  <si>
    <t>[0, 27, 13, 15, 20, 37, 36, 29, 0, 45, 5, 47, 21, 0, 4, 48, 30, 2, 0, 28, 22, 42, 41, 43, 23, 49, 0, 6, 33, 1, 16, 3, 0, 44, 24, 18, 25, 32, 0, 39, 9, 40, 17, 0, 12, 31, 10, 38, 0, 7, 11, 14, 19, 0, 26, 35, 8, 46, 34, 0]</t>
  </si>
  <si>
    <t>[0, 3, 44, 32, 18, 25, 9, 40, 0, 17, 16, 49, 24, 23, 41, 42, 43, 1, 0, 12, 39, 31, 10, 38, 11, 0, 26, 7, 35, 14, 19, 8, 46, 0, 6, 33, 22, 28, 2, 0, 30, 21, 36, 47, 48, 4, 0, 45, 29, 5, 37, 20, 15, 13, 27, 34, 0]</t>
  </si>
  <si>
    <t>[0, 3, 44, 18, 25, 9, 32, 0, 17, 40, 39, 31, 10, 0, 12, 38, 11, 14, 35, 0, 16, 49, 24, 23, 41, 42, 43, 1, 0, 26, 7, 19, 8, 46, 34, 0, 27, 13, 15, 20, 37, 36, 5, 29, 0, 2, 28, 22, 33, 6, 0, 30, 21, 47, 48, 45, 0, 4, 0]</t>
  </si>
  <si>
    <t>[0, 3, 44, 18, 24, 49, 16, 0, 32, 25, 9, 39, 0, 17, 40, 12, 26, 0, 31, 10, 38, 7, 0, 11, 14, 19, 35, 0, 23, 41, 42, 43, 1, 33, 0, 6, 22, 28, 2, 0, 21, 36, 47, 48, 45, 0, 30, 5, 37, 20, 15, 29, 0, 34, 46, 8, 13, 27, 0, 4, 0]</t>
  </si>
  <si>
    <t>[0, 1, 22, 28, 31, 26, 8, 0, 3, 36, 35, 20, 32, 0, 27, 48, 7, 43, 23, 0, 2, 29, 21, 34, 50, 0, 6, 24, 25, 14, 0, 38, 49, 9, 16, 11, 0, 18, 47, 0, 13, 41, 40, 19, 4, 0, 10, 30, 39, 33, 45, 37, 0, 17, 42, 44, 15, 5, 46, 0, 12, 0]</t>
  </si>
  <si>
    <t>P_n50</t>
  </si>
  <si>
    <t>[0, 6, 24, 43, 7, 23, 0, 48, 8, 26, 31, 28, 22, 0, 1, 3, 36, 35, 20, 0, 2, 29, 21, 34, 50, 0, 32, 16, 9, 30, 39, 10, 0, 46, 5, 49, 38, 11, 0, 37, 44, 15, 45, 33, 0, 17, 42, 19, 40, 41, 4, 0, 13, 25, 14, 0, 47, 18, 0, 27, 12, 0]</t>
  </si>
  <si>
    <t>[0, 6, 24, 43, 7, 23, 0, 48, 8, 26, 31, 28, 22, 0, 14, 25, 47, 0, 27, 1, 2, 11, 0, 3, 36, 35, 20, 32, 0, 18, 13, 4, 0, 41, 40, 19, 42, 44, 17, 0, 16, 29, 21, 34, 50, 9, 0, 38, 30, 39, 10, 49, 46, 0, 37, 15, 45, 33, 5, 0, 12, 0]</t>
  </si>
  <si>
    <t>[0, 7, 53, 11, 14, 35, 8, 46, 0, 26, 38, 10, 31, 39, 40, 12, 0, 17, 9, 25, 18, 50, 32, 44, 3, 51, 0, 34, 52, 19, 54, 13, 27, 45, 4, 0, 16, 49, 24, 23, 43, 41, 42, 22, 1, 33, 0, 29, 5, 15, 20, 37, 36, 47, 21, 48, 0, 6, 2, 28, 30, 0]</t>
  </si>
  <si>
    <t>P_n54</t>
  </si>
  <si>
    <t>[0, 7, 35, 53, 11, 38, 10, 26, 0, 12, 39, 31, 25, 9, 40, 17, 0, 46, 8, 14, 19, 54, 13, 52, 34, 0, 6, 49, 24, 18, 50, 32, 44, 3, 51, 0, 27, 15, 20, 37, 36, 47, 5, 29, 45, 0, 16, 23, 43, 41, 42, 22, 1, 33, 0, 4, 30, 48, 21, 28, 2, 0]</t>
  </si>
  <si>
    <t>[0, 7, 53, 11, 38, 12, 0, 26, 10, 31, 39, 9, 0, 35, 14, 19, 8, 46, 0, 17, 3, 44, 32, 40, 0, 25, 50, 18, 24, 49, 16, 51, 0, 34, 52, 54, 13, 27, 45, 0, 15, 20, 37, 36, 47, 5, 29, 0, 23, 41, 42, 43, 1, 33, 6, 0, 22, 28, 21, 48, 30, 0, 4, 2, 0]</t>
  </si>
  <si>
    <t>[0, 7, 53, 14, 0, 38, 11, 0, 26, 12, 40, 0, 10, 31, 39, 0, 35, 19, 54, 13, 27, 0, 9, 25, 50, 0, 46, 8, 52, 0, 17, 32, 44, 0, 3, 18, 24, 49, 51, 0, 34, 45, 4, 0, 16, 23, 41, 42, 43, 0, 15, 20, 37, 5, 0, 29, 36, 47, 48, 0, 6, 33, 1, 0, 22, 28, 21, 0, 2, 30, 0]</t>
  </si>
  <si>
    <t>[0, 6, 28, 22, 42, 41, 43, 23, 1, 33, 51, 0, 16, 49, 24, 18, 50, 25, 32, 44, 3, 0, 17, 40, 9, 39, 31, 10, 12, 0, 26, 38, 11, 14, 53, 35, 7, 0, 34, 52, 27, 13, 54, 19, 8, 46, 0, 45, 29, 5, 47, 21, 36, 37, 20, 15, 0, 2, 30, 48, 4, 0]</t>
  </si>
  <si>
    <t>[0, 6, 33, 1, 22, 42, 41, 43, 23, 16, 51, 0, 17, 3, 44, 32, 25, 50, 18, 24, 49, 0, 12, 10, 31, 39, 9, 40, 0, 26, 38, 11, 14, 53, 35, 7, 0, 34, 46, 8, 19, 54, 13, 52, 4, 0, 27, 15, 20, 37, 36, 5, 29, 45, 0, 2, 28, 21, 47, 48, 30, 0]</t>
  </si>
  <si>
    <t>[0, 27, 13, 15, 20, 37, 5, 48, 0, 45, 29, 47, 36, 21, 30, 0, 2, 28, 22, 42, 41, 43, 0, 51, 24, 49, 23, 1, 33, 6, 0, 16, 3, 44, 50, 18, 25, 12, 0, 17, 32, 9, 40, 0, 39, 31, 10, 38, 26, 0, 7, 53, 11, 14, 35, 0, 46, 8, 19, 54, 52, 34, 0, 4, 0]</t>
  </si>
  <si>
    <t>[0, 28, 22, 42, 41, 0, 33, 1, 43, 23, 0, 16, 49, 24, 18, 0, 51, 3, 44, 32, 0, 50, 25, 9, 0, 39, 31, 10, 0, 38, 11, 0, 7, 53, 14, 0, 35, 19, 54, 13, 27, 0, 36, 37, 20, 15, 29, 0, 52, 8, 46, 0, 5, 47, 21, 0, 45, 48, 30, 0, 4, 34, 26, 0, 2, 6, 0, 17, 40, 12, 0]</t>
  </si>
  <si>
    <t>[0, 3, 44, 32, 50, 18, 24, 49, 16, 51, 0, 17, 40, 9, 25, 31, 39, 12, 0, 10, 38, 11, 14, 53, 35, 7, 0, 6, 33, 23, 41, 42, 43, 1, 22, 28, 0, 2, 21, 47, 36, 37, 20, 15, 5, 48, 0, 34, 52, 27, 13, 54, 19, 8, 46, 26, 0, 4, 45, 29, 30, 0]</t>
  </si>
  <si>
    <t>[0, 51, 16, 49, 24, 18, 50, 32, 44, 3, 0, 17, 40, 9, 25, 31, 39, 12, 0, 10, 38, 11, 14, 53, 35, 0, 6, 33, 23, 41, 42, 43, 1, 22, 28, 0, 26, 7, 8, 19, 54, 13, 52, 46, 34, 0, 2, 21, 47, 36, 37, 20, 15, 27, 0, 30, 48, 5, 29, 45, 4, 0]</t>
  </si>
  <si>
    <t>[0, 3, 44, 50, 18, 24, 49, 16, 0, 32, 25, 9, 40, 0, 12, 39, 31, 10, 38, 0, 26, 17, 51, 6, 0, 7, 53, 11, 14, 35, 0, 33, 1, 22, 42, 41, 43, 23, 0, 2, 28, 21, 47, 0, 30, 48, 36, 20, 37, 5, 0, 8, 19, 54, 13, 15, 29, 45, 0, 4, 27, 52, 46, 34, 0]</t>
  </si>
  <si>
    <t>[0, 3, 24, 49, 16, 0, 44, 50, 18, 25, 0, 9, 32, 51, 0, 39, 31, 10, 0, 17, 40, 12, 0, 38, 11, 0, 23, 41, 42, 43, 1, 0, 7, 53, 14, 0, 8, 35, 19, 54, 13, 0, 33, 22, 28, 0, 36, 37, 20, 15, 29, 0, 30, 2, 6, 0, 21, 47, 5, 0, 48, 45, 27, 0, 26, 46, 52, 0, 34, 4, 0]</t>
  </si>
  <si>
    <t>[0, 7, 53, 11, 38, 58, 0, 26, 10, 31, 39, 12, 0, 35, 14, 19, 8, 46, 34, 0, 40, 9, 32, 17, 0, 49, 24, 18, 55, 25, 50, 44, 3, 0, 52, 27, 13, 54, 57, 15, 29, 45, 0, 51, 16, 23, 56, 41, 42, 43, 0, 5, 37, 20, 36, 59, 47, 0, 2, 28, 22, 1, 33, 0, 4, 48, 21, 30, 6, 0]</t>
  </si>
  <si>
    <t>P_n59</t>
  </si>
  <si>
    <t>[0, 7, 53, 11, 0, 35, 14, 59, 19, 0, 58, 10, 38, 0, 26, 12, 40, 0, 39, 31, 25, 55, 18, 0, 46, 8, 52, 27, 0, 17, 32, 9, 0, 44, 50, 24, 49, 0, 34, 54, 13, 57, 15, 0, 51, 3, 16, 33, 0, 23, 56, 41, 42, 43, 0, 5, 37, 20, 29, 0, 6, 1, 22, 28, 0, 48, 47, 36, 21, 0, 45, 30, 2, 0, 4, 0]</t>
  </si>
  <si>
    <t>[0, 27, 15, 37, 20, 57, 13, 54, 19, 0, 45, 29, 5, 36, 59, 21, 0, 2, 28, 47, 48, 30, 0, 6, 33, 1, 43, 41, 42, 22, 0, 51, 16, 23, 56, 49, 24, 3, 0, 44, 32, 50, 18, 55, 25, 39, 0, 40, 9, 31, 10, 0, 17, 12, 58, 38, 11, 0, 8, 35, 14, 53, 7, 26, 0, 34, 46, 52, 4, 0]</t>
  </si>
  <si>
    <t>[0, 15, 57, 13, 54, 19, 35, 0, 29, 20, 37, 5, 0, 45, 36, 47, 48, 0, 30, 21, 2, 0, 28, 22, 42, 41, 23, 49, 0, 51, 33, 1, 6, 0, 43, 56, 24, 0, 16, 3, 44, 32, 0, 17, 50, 18, 55, 25, 0, 40, 9, 39, 0, 58, 10, 31, 0, 11, 38, 12, 0, 53, 59, 14, 0, 26, 7, 8, 46, 0, 34, 52, 27, 0, 4, 0]</t>
  </si>
  <si>
    <t>[0, 3, 44, 50, 18, 55, 25, 32, 0, 17, 40, 9, 39, 12, 0, 58, 10, 31, 38, 26, 0, 6, 23, 56, 24, 49, 16, 51, 0, 7, 53, 11, 14, 35, 0, 33, 1, 43, 41, 42, 22, 0, 2, 28, 21, 59, 36, 0, 8, 19, 54, 13, 57, 15, 20, 37, 0, 30, 48, 47, 5, 29, 45, 0, 4, 27, 52, 46, 34, 0]</t>
  </si>
  <si>
    <t>[0, 3, 24, 49, 16, 51, 0, 44, 50, 18, 55, 25, 0, 17, 40, 12, 0, 32, 9, 39, 0, 31, 10, 58, 0, 38, 11, 7, 0, 23, 56, 41, 42, 43, 0, 53, 59, 14, 0, 8, 35, 19, 54, 13, 0, 22, 1, 33, 6, 0, 28, 21, 30, 0, 2, 47, 36, 48, 0, 5, 37, 20, 15, 57, 0, 45, 29, 27, 52, 0, 26, 46, 34, 0, 4, 0]</t>
  </si>
  <si>
    <t>[0, 53, 11, 38, 10, 58, 0, 8, 19, 59, 14, 35, 7, 26, 0, 12, 39, 31, 55, 25, 9, 17, 0, 40, 32, 50, 18, 44, 3, 0, 34, 46, 52, 27, 45, 0, 6, 63, 23, 56, 24, 49, 16, 51, 0, 54, 13, 57, 15, 20, 60, 36, 37, 29, 0, 1, 43, 41, 42, 64, 22, 62, 0, 5, 47, 21, 61, 28, 0, 33, 2, 30, 48, 4, 0]</t>
  </si>
  <si>
    <t>P_n64</t>
  </si>
  <si>
    <t>[0, 52, 27, 13, 57, 20, 60, 36, 47, 0, 30, 48, 5, 37, 15, 29, 45, 0, 2, 62, 28, 61, 21, 0, 33, 1, 43, 41, 42, 64, 22, 0, 6, 63, 23, 56, 24, 49, 16, 51, 0, 3, 44, 32, 50, 18, 55, 25, 12, 0, 39, 31, 9, 40, 17, 0, 26, 58, 10, 38, 11, 0, 7, 53, 14, 59, 19, 54, 0, 35, 8, 46, 34, 4, 0]</t>
  </si>
  <si>
    <t>[0, 3, 44, 50, 18, 55, 25, 32, 12, 0, 17, 40, 9, 31, 39, 0, 58, 10, 38, 11, 53, 0, 6, 63, 23, 56, 24, 49, 16, 51, 0, 33, 1, 43, 41, 42, 64, 22, 0, 7, 35, 14, 59, 19, 54, 8, 0, 2, 62, 28, 61, 21, 0, 30, 48, 47, 36, 60, 20, 37, 15, 0, 45, 29, 5, 57, 13, 27, 52, 0, 4, 34, 46, 26, 0]</t>
  </si>
  <si>
    <t>[0, 53, 11, 66, 65, 38, 0, 26, 58, 10, 31, 39, 12, 0, 7, 35, 14, 59, 19, 8, 34, 0, 40, 9, 25, 55, 18, 50, 44, 0, 17, 32, 3, 24, 49, 16, 51, 0, 67, 46, 52, 27, 45, 0, 54, 13, 57, 15, 20, 60, 37, 5, 29, 0, 63, 23, 56, 41, 42, 43, 1, 33, 0, 2, 21, 69, 36, 47, 48, 30, 0, 68, 28, 61, 64, 22, 62, 6, 0, 4, 0]</t>
  </si>
  <si>
    <t>P_n69</t>
  </si>
  <si>
    <t>[0, 58, 10, 31, 25, 55, 18, 50, 0, 12, 39, 9, 32, 40, 0, 26, 38, 65, 66, 59, 7, 0, 53, 11, 14, 19, 35, 8, 0, 34, 46, 52, 54, 13, 27, 45, 0, 57, 15, 20, 60, 37, 5, 29, 4, 0, 2, 21, 69, 36, 47, 48, 30, 0, 68, 28, 61, 64, 22, 62, 6, 0, 33, 1, 43, 42, 41, 56, 23, 63, 0, 51, 16, 49, 24, 3, 44, 17, 0, 67, 0]</t>
  </si>
  <si>
    <t>[0, 3, 44, 50, 18, 55, 25, 32, 17, 0, 12, 39, 31, 9, 40, 0, 66, 65, 38, 10, 58, 26, 0, 51, 16, 49, 24, 56, 23, 63, 33, 0, 14, 59, 11, 53, 7, 0, 6, 1, 43, 41, 42, 64, 22, 68, 0, 2, 62, 28, 61, 69, 21, 0, 30, 48, 47, 36, 60, 20, 37, 29, 0, 8, 35, 19, 54, 13, 57, 15, 5, 45, 0, 4, 27, 52, 46, 34, 0, 67, 0]</t>
  </si>
  <si>
    <t>[0, 26, 58, 38, 65, 66, 11, 59, 14, 53, 35, 7, 67, 0, 12, 72, 10, 31, 39, 9, 25, 55, 18, 50, 32, 44, 3, 40, 17, 0, 46, 8, 19, 54, 13, 57, 15, 20, 70, 60, 71, 69, 36, 37, 5, 29, 45, 27, 52, 34, 4, 0, 6, 2, 62, 73, 33, 63, 1, 22, 64, 42, 43, 41, 56, 23, 24, 49, 16, 51, 0, 75, 30, 48, 47, 21, 61, 28, 74, 68, 0]</t>
  </si>
  <si>
    <t>P_n75</t>
  </si>
  <si>
    <t>[0, 38, 65, 66, 11, 59, 14, 53, 35, 7, 67, 0, 26, 72, 58, 10, 31, 55, 25, 50, 18, 24, 49, 32, 9, 39, 12, 0, 17, 40, 44, 3, 16, 63, 23, 56, 41, 64, 42, 43, 1, 73, 33, 51, 0, 46, 8, 19, 54, 13, 57, 15, 20, 70, 60, 71, 69, 36, 37, 5, 29, 27, 52, 34, 0, 4, 45, 48, 47, 21, 61, 22, 62, 28, 74, 30, 2, 6, 68, 0, 75, 0]</t>
  </si>
  <si>
    <t>[0, 17, 40, 12, 72, 39, 9, 32, 44, 3, 50, 18, 55, 25, 31, 10, 65, 38, 58, 7, 0, 26, 46, 8, 35, 53, 11, 66, 59, 14, 19, 54, 13, 27, 52, 34, 67, 0, 4, 45, 29, 15, 57, 20, 70, 60, 71, 69, 36, 37, 5, 48, 47, 21, 61, 74, 30, 75, 0, 68, 2, 73, 62, 28, 22, 1, 43, 42, 64, 41, 56, 23, 24, 49, 16, 63, 33, 6, 51, 0]</t>
  </si>
  <si>
    <t>[0, 6, 33, 73, 62, 1, 43, 42, 64, 41, 56, 23, 24, 49, 63, 16, 51, 0, 17, 40, 3, 44, 32, 50, 18, 55, 25, 9, 39, 31, 10, 72, 12, 0, 26, 58, 38, 65, 66, 11, 59, 14, 53, 35, 7, 67, 0, 46, 8, 19, 54, 13, 57, 15, 20, 70, 60, 71, 37, 5, 45, 27, 52, 34, 0, 4, 30, 29, 48, 47, 36, 69, 21, 61, 22, 28, 74, 2, 68, 75, 0]</t>
  </si>
  <si>
    <t>[0, 12, 72, 58, 10, 31, 39, 9, 25, 55, 18, 50, 32, 44, 3, 40, 17, 0, 51, 16, 63, 49, 24, 23, 56, 41, 43, 42, 64, 22, 1, 73, 33, 6, 75, 0, 26, 7, 38, 65, 66, 11, 59, 14, 53, 35, 19, 54, 8, 46, 67, 0, 68, 2, 62, 28, 61, 69, 36, 71, 60, 70, 20, 37, 5, 15, 57, 13, 27, 52, 34, 0, 30, 74, 21, 47, 48, 29, 45, 4, 0]</t>
  </si>
  <si>
    <t>[0, 17, 3, 44, 32, 50, 18, 55, 25, 9, 39, 31, 72, 40, 12, 26, 0, 67, 7, 53, 14, 59, 11, 66, 65, 38, 10, 58, 0, 6, 33, 73, 62, 22, 64, 42, 41, 43, 1, 63, 23, 56, 24, 49, 16, 51, 0, 46, 8, 35, 19, 54, 13, 57, 15, 20, 70, 60, 71, 69, 61, 28, 2, 68, 75, 0, 34, 52, 27, 45, 29, 48, 5, 37, 36, 47, 21, 74, 30, 4, 0]</t>
  </si>
  <si>
    <t>[0, 55, 57, 52, 47, 40, 45, 44, 39, 41, 48, 50, 51, 46, 49, 43, 100, 58, 0, 99, 16, 8, 9, 12, 5, 11, 4, 10, 18, 6, 17, 1, 0, 98, 13, 14, 7, 0, 81, 77, 86, 78, 79, 84, 80, 93, 90, 85, 3, 15, 2, 0, 59, 42, 67, 75, 72, 69, 71, 73, 68, 74, 30, 25, 64, 0, 88, 83, 82, 92, 94, 95, 0, 76, 97, 96, 87, 89, 91, 54, 53, 0, 66, 70, 38, 35, 37, 28, 65, 0, 31, 32, 33, 24, 26, 63, 0, 19, 22, 29, 34, 20, 0, 62, 21, 27, 36, 23, 61, 56, 0, 60, 0]</t>
  </si>
  <si>
    <t>Taillard_n100</t>
  </si>
  <si>
    <t>[0, 20, 76, 75, 74, 15, 23, 0, 25, 21, 27, 19, 93, 18, 0, 71, 73, 72, 70, 78, 79, 80, 81, 52, 53, 0, 91, 97, 92, 100, 0, 62, 77, 58, 56, 0, 22, 17, 96, 99, 95, 89, 90, 94, 98, 24, 0, 46, 64, 44, 39, 57, 63, 0, 54, 60, 36, 55, 38, 43, 35, 49, 48, 37, 32, 34, 41, 40, 47, 50, 0, 12, 4, 6, 11, 2, 3, 10, 9, 7, 1, 5, 14, 28, 0, 65, 66, 67, 61, 30, 45, 68, 42, 29, 31, 59, 33, 69, 0, 13, 16, 8, 87, 85, 88, 51, 83, 82, 86, 84, 0, 26, 0]</t>
  </si>
  <si>
    <t>[0, 52, 47, 19, 16, 23, 31, 35, 28, 17, 24, 34, 26, 0, 45, 32, 27, 18, 25, 20, 21, 22, 30, 33, 46, 0, 38, 29, 81, 84, 79, 80, 83, 82, 78, 54, 49, 37, 42, 51, 0, 95, 86, 50, 44, 96, 39, 0, 4, 100, 41, 40, 3, 0, 89, 93, 88, 90, 94, 0, 74, 10, 12, 5, 75, 99, 72, 77, 15, 9, 71, 14, 0, 92, 48, 85, 43, 65, 66, 67, 64, 53, 98, 87, 0, 69, 55, 56, 61, 58, 57, 60, 62, 63, 59, 7, 0, 13, 11, 8, 0, 2, 76, 0, 6, 91, 97, 70, 68, 73, 36, 0, 1, 0]</t>
  </si>
  <si>
    <t>[0, 60, 50, 94, 96, 32, 31, 29, 100, 99, 0, 48, 36, 56, 65, 51, 0, 95, 63, 61, 58, 64, 1, 0, 44, 39, 40, 33, 37, 42, 43, 35, 34, 46, 49, 84, 86, 85, 47, 3, 2, 0, 59, 30, 75, 7, 5, 0, 45, 38, 83, 82, 41, 18, 17, 28, 12, 20, 52, 9, 6, 0, 4, 53, 54, 8, 55, 0, 70, 13, 91, 88, 92, 90, 87, 26, 89, 93, 15, 16, 19, 21, 25, 23, 14, 27, 22, 62, 10, 0, 11, 76, 73, 74, 81, 77, 80, 97, 98, 57, 0, 68, 66, 67, 71, 69, 24, 0, 79, 78, 0, 72, 0]</t>
  </si>
  <si>
    <t>[0, 76, 95, 97, 96, 94, 89, 87, 92, 86, 0, 7, 90, 85, 93, 79, 84, 83, 82, 88, 91, 78, 77, 81, 0, 99, 1, 13, 4, 10, 6, 17, 3, 80, 2, 0, 98, 15, 0, 14, 18, 11, 5, 12, 9, 16, 8, 43, 49, 46, 100, 0, 52, 47, 42, 51, 50, 48, 41, 39, 44, 45, 40, 59, 0, 67, 75, 66, 69, 71, 72, 70, 68, 74, 35, 55, 0, 28, 30, 73, 38, 26, 53, 0, 21, 36, 29, 27, 32, 33, 31, 24, 25, 37, 0, 56, 61, 65, 63, 57, 58, 0, 62, 19, 22, 23, 20, 34, 64, 54, 0, 60, 0]</t>
  </si>
  <si>
    <t>[0, 20, 74, 76, 91, 93, 19, 18, 24, 0, 21, 98, 97, 92, 89, 95, 99, 96, 94, 13, 0, 27, 100, 90, 0, 16, 5, 11, 2, 3, 6, 10, 1, 17, 0, 28, 22, 14, 86, 82, 83, 88, 85, 87, 8, 7, 9, 4, 12, 0, 65, 66, 84, 51, 67, 61, 30, 42, 31, 69, 0, 54, 60, 50, 33, 55, 47, 38, 43, 35, 49, 48, 37, 32, 34, 41, 40, 29, 68, 59, 45, 0, 63, 36, 46, 44, 39, 57, 58, 56, 53, 0, 62, 52, 81, 80, 79, 64, 0, 77, 78, 70, 72, 73, 71, 0, 23, 15, 75, 25, 0, 26, 0]</t>
  </si>
  <si>
    <t>[0, 8, 36, 68, 73, 59, 63, 62, 60, 57, 58, 61, 56, 55, 69, 12, 10, 0, 87, 53, 64, 67, 66, 65, 83, 80, 79, 84, 81, 82, 78, 37, 0, 6, 39, 42, 49, 54, 30, 22, 21, 20, 29, 25, 16, 47, 0, 38, 33, 32, 27, 18, 31, 35, 28, 17, 24, 34, 26, 45, 0, 41, 23, 19, 46, 0, 13, 3, 40, 15, 77, 72, 99, 75, 5, 9, 4, 0, 7, 14, 71, 100, 76, 0, 2, 74, 1, 52, 0, 93, 44, 50, 48, 0, 92, 95, 89, 86, 94, 96, 51, 0, 11, 70, 97, 91, 0, 98, 88, 43, 90, 85, 0]</t>
  </si>
  <si>
    <t>[0, 54, 22, 23, 12, 17, 25, 21, 19, 16, 15, 93, 89, 26, 87, 90, 92, 88, 91, 13, 70, 69, 71, 67, 66, 68, 0, 3, 47, 18, 41, 82, 86, 84, 49, 35, 43, 34, 46, 85, 83, 38, 58, 0, 45, 44, 39, 42, 37, 33, 40, 32, 31, 29, 100, 99, 50, 63, 56, 0, 96, 48, 36, 61, 65, 0, 94, 95, 60, 0, 57, 51, 75, 97, 98, 80, 77, 81, 74, 73, 76, 0, 7, 30, 59, 0, 78, 72, 11, 5, 2, 0, 55, 10, 24, 27, 53, 8, 6, 0, 1, 64, 52, 20, 28, 14, 62, 9, 0, 4, 0, 79, 0]</t>
  </si>
  <si>
    <t>[0, 76, 95, 97, 96, 94, 89, 87, 92, 78, 0, 91, 82, 83, 88, 86, 77, 79, 84, 85, 90, 93, 81, 0, 99, 14, 3, 17, 6, 80, 2, 7, 0, 98, 15, 0, 58, 59, 42, 100, 16, 8, 9, 12, 5, 11, 4, 10, 18, 13, 1, 0, 67, 40, 45, 44, 39, 41, 48, 50, 51, 49, 43, 46, 47, 52, 0, 37, 30, 74, 68, 70, 72, 71, 69, 66, 75, 64, 0, 28, 38, 73, 26, 35, 55, 53, 0, 19, 21, 36, 29, 27, 32, 33, 31, 24, 25, 65, 61, 0, 57, 34, 20, 23, 22, 62, 0, 54, 60, 63, 0, 56, 0]</t>
  </si>
  <si>
    <t>[0, 71, 73, 72, 70, 78, 79, 80, 81, 52, 56, 53, 0, 62, 58, 77, 64, 63, 0, 54, 46, 36, 44, 57, 49, 48, 37, 35, 43, 55, 50, 0, 23, 15, 74, 75, 76, 25, 0, 60, 47, 38, 39, 32, 34, 41, 40, 42, 29, 68, 31, 33, 69, 0, 21, 19, 93, 91, 24, 18, 0, 98, 92, 97, 100, 27, 0, 12, 94, 90, 89, 95, 99, 96, 13, 0, 8, 1, 7, 9, 10, 3, 2, 11, 6, 4, 5, 17, 0, 22, 14, 84, 86, 82, 83, 87, 85, 88, 51, 61, 30, 45, 59, 67, 66, 65, 0, 20, 16, 28, 26, 0]</t>
  </si>
  <si>
    <t>[0, 98, 85, 90, 53, 64, 67, 66, 65, 83, 80, 79, 84, 81, 82, 78, 49, 42, 0, 46, 47, 26, 34, 24, 17, 28, 35, 31, 16, 25, 29, 20, 27, 21, 22, 30, 33, 32, 54, 68, 36, 8, 0, 45, 19, 18, 38, 52, 0, 37, 44, 43, 50, 87, 0, 40, 95, 86, 94, 96, 88, 93, 92, 7, 0, 69, 55, 56, 61, 58, 57, 60, 62, 63, 59, 73, 0, 76, 41, 23, 51, 0, 39, 89, 48, 97, 91, 0, 3, 13, 6, 70, 1, 11, 0, 14, 4, 2, 12, 10, 74, 0, 71, 100, 15, 77, 72, 99, 75, 5, 9, 0]</t>
  </si>
  <si>
    <t>[0, 51, 6, 9, 22, 27, 14, 23, 21, 19, 16, 15, 93, 89, 26, 87, 90, 92, 88, 91, 13, 70, 10, 0, 54, 53, 64, 52, 20, 17, 25, 28, 12, 62, 8, 55, 0, 47, 38, 44, 83, 85, 43, 35, 34, 46, 49, 84, 86, 82, 41, 18, 3, 2, 0, 65, 61, 45, 58, 1, 0, 7, 63, 39, 42, 37, 33, 40, 30, 32, 0, 56, 36, 50, 48, 60, 0, 57, 95, 96, 94, 75, 59, 0, 100, 29, 31, 99, 97, 98, 0, 24, 69, 71, 67, 66, 68, 0, 5, 4, 0, 11, 78, 76, 79, 0, 73, 74, 81, 72, 77, 80, 0]</t>
  </si>
  <si>
    <t>[0, 59, 44, 39, 41, 48, 50, 51, 49, 43, 46, 42, 47, 58, 0, 113, 106, 104, 110, 107, 108, 112, 100, 102, 45, 40, 67, 134, 137, 0, 101, 17, 6, 18, 10, 4, 11, 12, 5, 9, 8, 16, 105, 109, 99, 0, 103, 111, 98, 54, 53, 0, 1, 14, 13, 3, 15, 2, 7, 144, 142, 141, 149, 145, 0, 138, 81, 77, 86, 78, 84, 79, 93, 90, 85, 143, 148, 139, 140, 150, 146, 147, 0, 52, 70, 75, 72, 66, 69, 71, 68, 74, 127, 119, 132, 131, 130, 55, 57, 0, 80, 88, 83, 82, 92, 87, 91, 89, 96, 0, 65, 133, 136, 116, 126, 121, 124, 120, 125, 115, 118, 123, 117, 129, 73, 135, 64, 0, 122, 114, 38, 0, 26, 128, 62, 0, 28, 37, 23, 20, 27, 32, 33, 31, 24, 30, 25, 35, 61, 0, 76, 94, 97, 95, 0, 21, 36, 29, 34, 22, 19, 0, 60, 63, 56, 0]</t>
  </si>
  <si>
    <t>Taillard_n150</t>
  </si>
  <si>
    <t>[0, 74, 76, 75, 112, 115, 118, 111, 109, 116, 141, 0, 140, 146, 70, 72, 73, 71, 117, 119, 113, 110, 114, 0, 143, 15, 25, 21, 27, 124, 20, 0, 23, 19, 93, 91, 101, 122, 130, 18, 24, 12, 127, 22, 0, 145, 100, 108, 104, 107, 97, 92, 105, 98, 134, 138, 123, 0, 149, 81, 78, 79, 80, 77, 52, 62, 0, 28, 17, 120, 135, 133, 137, 102, 99, 95, 89, 103, 90, 94, 106, 132, 0, 53, 56, 63, 57, 39, 48, 49, 35, 38, 43, 44, 46, 36, 50, 0, 58, 64, 55, 60, 54, 69, 67, 66, 0, 51, 61, 30, 45, 31, 29, 42, 40, 41, 34, 32, 37, 47, 33, 68, 59, 65, 0, 142, 136, 121, 96, 139, 13, 0, 8, 1, 7, 9, 10, 6, 3, 2, 11, 4, 5, 126, 125, 0, 144, 16, 131, 128, 129, 14, 148, 0, 26, 147, 150, 84, 83, 88, 85, 87, 82, 86, 0]</t>
  </si>
  <si>
    <t>[0, 137, 143, 138, 139, 136, 131, 126, 134, 128, 133, 127, 129, 132, 130, 0, 49, 141, 140, 23, 31, 17, 35, 28, 24, 34, 26, 135, 117, 125, 118, 124, 121, 122, 116, 114, 115, 111, 109, 106, 102, 108, 103, 0, 142, 19, 27, 25, 29, 20, 21, 30, 33, 32, 0, 41, 45, 16, 18, 22, 38, 40, 0, 113, 112, 123, 120, 119, 99, 0, 52, 46, 47, 54, 78, 82, 81, 84, 79, 80, 83, 44, 42, 51, 0, 36, 95, 93, 90, 53, 96, 43, 37, 48, 39, 0, 92, 89, 94, 50, 85, 98, 87, 91, 0, 144, 147, 150, 64, 67, 66, 65, 97, 0, 149, 145, 146, 148, 59, 63, 62, 60, 57, 58, 61, 56, 55, 0, 6, 88, 86, 3, 107, 100, 0, 2, 71, 1, 13, 0, 7, 14, 4, 76, 0, 8, 11, 70, 68, 73, 69, 74, 12, 5, 105, 110, 15, 9, 0, 104, 101, 75, 72, 77, 10, 0]</t>
  </si>
  <si>
    <t>[0, 5, 95, 96, 94, 98, 150, 0, 51, 53, 61, 36, 50, 48, 63, 65, 57, 7, 0, 56, 45, 38, 44, 39, 40, 33, 37, 42, 43, 35, 34, 46, 49, 127, 132, 133, 130, 129, 131, 54, 55, 2, 6, 0, 58, 52, 83, 85, 126, 122, 41, 47, 60, 0, 8, 9, 3, 62, 82, 86, 125, 123, 84, 124, 128, 64, 0, 142, 97, 99, 31, 32, 30, 29, 147, 141, 146, 0, 59, 140, 138, 148, 145, 75, 0, 24, 27, 21, 25, 17, 28, 12, 20, 18, 1, 0, 13, 118, 116, 114, 111, 19, 16, 15, 23, 14, 22, 10, 0, 76, 81, 77, 80, 149, 143, 139, 11, 0, 144, 4, 0, 91, 93, 113, 121, 110, 109, 120, 112, 117, 119, 115, 26, 0, 107, 101, 104, 108, 105, 106, 100, 102, 103, 74, 73, 78, 0, 135, 134, 137, 136, 66, 67, 71, 69, 68, 70, 88, 92, 90, 87, 89, 0, 79, 72, 0]</t>
  </si>
  <si>
    <t>[0, 95, 97, 96, 94, 76, 89, 87, 92, 82, 84, 0, 138, 81, 93, 85, 80, 79, 83, 88, 91, 86, 78, 77, 0, 107, 99, 111, 103, 139, 149, 141, 148, 143, 90, 145, 140, 150, 146, 0, 112, 147, 144, 142, 7, 3, 17, 6, 10, 11, 105, 110, 0, 108, 101, 98, 109, 102, 100, 104, 106, 113, 0, 2, 15, 14, 1, 13, 18, 4, 12, 5, 9, 8, 16, 0, 42, 46, 43, 49, 51, 50, 48, 41, 39, 44, 45, 52, 0, 70, 72, 71, 69, 66, 75, 67, 40, 47, 59, 0, 57, 137, 130, 131, 132, 134, 74, 73, 68, 129, 127, 119, 135, 133, 0, 38, 116, 126, 124, 121, 120, 125, 122, 115, 118, 123, 117, 136, 55, 0, 26, 128, 0, 35, 30, 114, 63, 61, 0, 58, 54, 65, 28, 25, 24, 31, 33, 32, 27, 29, 23, 0, 53, 60, 37, 34, 21, 22, 0, 19, 36, 20, 56, 64, 62, 0]</t>
  </si>
  <si>
    <t>[0, 66, 67, 51, 61, 59, 68, 45, 30, 29, 42, 40, 41, 34, 32, 48, 35, 38, 47, 57, 60, 50, 54, 69, 65, 0, 62, 56, 63, 43, 49, 37, 31, 33, 55, 53, 0, 52, 64, 46, 36, 44, 77, 80, 78, 81, 146, 0, 71, 73, 72, 70, 79, 58, 150, 0, 23, 25, 76, 74, 116, 112, 115, 118, 111, 109, 119, 113, 110, 117, 114, 141, 0, 15, 75, 19, 21, 20, 0, 143, 124, 18, 130, 122, 93, 91, 135, 134, 24, 132, 0, 123, 12, 128, 100, 101, 27, 140, 0, 138, 139, 133, 121, 137, 126, 125, 131, 136, 120, 14, 26, 0, 28, 22, 13, 127, 16, 129, 17, 144, 148, 0, 108, 104, 107, 103, 97, 92, 105, 142, 0, 145, 98, 94, 90, 89, 95, 99, 96, 102, 106, 0, 5, 4, 6, 11, 2, 3, 10, 9, 7, 1, 8, 0, 147, 149, 39, 84, 83, 88, 85, 87, 82, 86, 0]</t>
  </si>
  <si>
    <t>[0, 54, 78, 82, 83, 80, 81, 84, 79, 65, 66, 67, 64, 0, 45, 142, 141, 30, 22, 32, 140, 139, 138, 143, 137, 125, 118, 124, 120, 121, 119, 122, 116, 102, 0, 38, 47, 33, 27, 21, 20, 29, 25, 35, 28, 31, 17, 24, 34, 26, 16, 0, 92, 93, 98, 85, 53, 90, 50, 96, 43, 49, 37, 42, 39, 52, 46, 0, 6, 36, 95, 94, 44, 51, 40, 13, 0, 41, 126, 136, 131, 135, 19, 23, 127, 129, 128, 130, 0, 113, 112, 132, 133, 134, 0, 109, 115, 114, 117, 123, 111, 99, 105, 5, 0, 110, 104, 100, 107, 0, 8, 11, 70, 68, 73, 69, 75, 72, 74, 12, 4, 3, 0, 9, 15, 106, 101, 108, 103, 76, 77, 71, 10, 7, 0, 14, 2, 1, 0, 55, 56, 61, 58, 57, 60, 62, 63, 59, 148, 146, 149, 0, 91, 87, 97, 88, 144, 150, 147, 145, 0, 89, 86, 48, 0, 18, 0]</t>
  </si>
  <si>
    <t>[0, 10, 24, 70, 69, 71, 67, 66, 68, 136, 137, 134, 135, 73, 81, 75, 76, 78, 0, 7, 62, 18, 17, 25, 23, 21, 19, 15, 26, 113, 118, 111, 116, 119, 117, 112, 120, 109, 110, 121, 93, 89, 87, 90, 92, 88, 91, 13, 22, 0, 6, 8, 27, 14, 16, 115, 28, 12, 20, 3, 54, 55, 2, 0, 52, 82, 86, 125, 123, 84, 124, 130, 133, 132, 127, 129, 131, 85, 83, 41, 45, 47, 63, 0, 128, 126, 49, 46, 35, 43, 42, 37, 33, 40, 39, 44, 38, 0, 36, 50, 34, 122, 58, 0, 140, 95, 48, 53, 0, 150, 141, 107, 103, 102, 101, 100, 106, 105, 108, 29, 31, 32, 96, 94, 99, 97, 142, 147, 60, 0, 149, 146, 145, 30, 98, 0, 143, 144, 56, 65, 61, 64, 0, 80, 104, 138, 59, 51, 0, 57, 139, 148, 0, 79, 74, 77, 72, 0, 11, 5, 4, 1, 9, 114, 0]</t>
  </si>
  <si>
    <t>[0, 95, 97, 96, 94, 76, 89, 87, 92, 82, 88, 86, 0, 138, 81, 90, 85, 80, 79, 84, 83, 91, 78, 77, 0, 146, 140, 145, 139, 149, 142, 141, 148, 143, 93, 0, 150, 147, 144, 7, 2, 15, 3, 6, 17, 4, 11, 12, 0, 58, 113, 106, 110, 107, 101, 99, 104, 100, 102, 109, 105, 16, 8, 9, 5, 10, 18, 13, 14, 1, 111, 103, 108, 0, 42, 46, 43, 49, 51, 50, 48, 41, 39, 44, 45, 52, 57, 0, 130, 135, 72, 71, 69, 66, 75, 67, 40, 47, 59, 0, 112, 98, 0, 134, 70, 73, 68, 74, 127, 129, 117, 123, 118, 115, 125, 120, 121, 119, 132, 131, 65, 0, 136, 116, 126, 114, 122, 0, 55, 137, 133, 128, 124, 0, 53, 61, 35, 26, 38, 30, 33, 32, 27, 36, 0, 54, 60, 63, 0, 64, 37, 25, 34, 29, 21, 23, 22, 19, 0, 20, 31, 24, 28, 56, 62, 0]</t>
  </si>
  <si>
    <t>[0, 143, 146, 73, 72, 70, 78, 79, 80, 77, 81, 0, 141, 114, 110, 113, 109, 112, 115, 118, 111, 119, 117, 71, 140, 0, 25, 74, 76, 75, 116, 15, 23, 0, 52, 56, 63, 57, 39, 49, 44, 46, 36, 54, 0, 149, 62, 58, 64, 55, 53, 0, 69, 50, 60, 59, 68, 33, 47, 38, 43, 35, 48, 37, 32, 34, 41, 40, 42, 29, 31, 45, 30, 61, 65, 0, 145, 19, 101, 93, 91, 108, 104, 107, 97, 122, 18, 0, 22, 135, 106, 94, 90, 102, 99, 95, 89, 92, 105, 100, 123, 0, 124, 130, 103, 98, 139, 12, 148, 0, 14, 86, 82, 87, 85, 88, 83, 84, 51, 67, 66, 150, 147, 0, 125, 137, 96, 11, 2, 3, 10, 9, 7, 8, 0, 26, 142, 144, 28, 128, 27, 21, 20, 0, 17, 126, 16, 120, 127, 13, 0, 136, 131, 129, 1, 6, 4, 5, 121, 133, 134, 24, 132, 138, 0]</t>
  </si>
  <si>
    <t>[0, 37, 49, 78, 82, 81, 84, 79, 80, 83, 43, 96, 53, 90, 85, 98, 93, 92, 95, 36, 0, 142, 141, 138, 140, 32, 33, 30, 22, 21, 27, 20, 29, 25, 16, 31, 17, 35, 28, 34, 24, 26, 135, 133, 127, 129, 128, 126, 136, 0, 134, 131, 23, 19, 139, 143, 137, 45, 0, 46, 18, 132, 130, 112, 106, 15, 77, 0, 50, 44, 42, 54, 47, 38, 51, 39, 52, 3, 0, 70, 149, 145, 146, 148, 147, 150, 144, 64, 67, 66, 65, 87, 89, 40, 0, 13, 114, 117, 125, 118, 124, 120, 123, 121, 119, 116, 111, 0, 7, 86, 88, 97, 91, 11, 0, 74, 73, 69, 55, 56, 61, 58, 57, 60, 62, 63, 59, 68, 8, 0, 41, 48, 94, 6, 0, 14, 4, 12, 1, 0, 2, 9, 72, 75, 71, 10, 0, 107, 100, 76, 5, 0, 103, 105, 101, 110, 104, 0, 108, 99, 102, 122, 113, 115, 109, 0]</t>
  </si>
  <si>
    <t>[0, 24, 27, 14, 23, 19, 21, 25, 17, 28, 12, 20, 18, 6, 0, 22, 16, 111, 116, 115, 119, 117, 109, 121, 113, 118, 15, 13, 0, 10, 26, 110, 93, 91, 88, 92, 90, 87, 89, 120, 112, 114, 62, 3, 9, 8, 55, 2, 5, 0, 41, 83, 85, 129, 132, 133, 130, 128, 124, 84, 123, 125, 86, 82, 52, 0, 131, 126, 127, 49, 46, 34, 35, 43, 33, 42, 39, 38, 45, 47, 56, 0, 36, 50, 40, 37, 122, 44, 61, 54, 0, 1, 53, 64, 58, 65, 4, 51, 57, 0, 7, 63, 48, 96, 94, 95, 141, 75, 0, 146, 145, 97, 29, 30, 32, 31, 99, 142, 147, 11, 0, 150, 144, 98, 149, 78, 0, 143, 138, 139, 60, 0, 81, 77, 80, 103, 102, 101, 100, 106, 105, 108, 104, 107, 140, 59, 0, 68, 70, 69, 71, 67, 66, 136, 137, 134, 135, 72, 76, 0, 79, 73, 74, 148, 0]</t>
  </si>
  <si>
    <t>[0, 163, 160, 158, 5, 159, 366, 198, 35, 34, 36, 41, 42, 43, 384, 44, 46, 47, 48, 45, 40, 38, 37, 33, 368, 201, 197, 0, 151, 150, 149, 154, 148, 155, 156, 157, 4, 11, 12, 31, 10, 9, 8, 30, 21, 20, 23, 22, 13, 7, 117, 121, 0, 145, 146, 114, 115, 147, 116, 369, 6, 25, 24, 29, 16, 14, 26, 27, 28, 113, 123, 0, 165, 191, 196, 195, 215, 218, 220, 217, 373, 219, 32, 216, 214, 213, 207, 200, 192, 161, 162, 164, 166, 133, 126, 95, 0, 130, 122, 112, 118, 120, 119, 111, 109, 101, 0, 142, 141, 143, 381, 167, 168, 153, 152, 144, 135, 134, 127, 93, 0, 97, 371, 110, 67, 377, 370, 17, 19, 15, 68, 66, 107, 0, 105, 106, 72, 73, 61, 60, 62, 63, 18, 65, 64, 69, 71, 108, 129, 98, 96, 0, 2, 140, 170, 172, 169, 199, 206, 39, 365, 212, 211, 210, 205, 209, 203, 193, 176, 177, 139, 0, 92, 376, 102, 124, 70, 125, 312, 0, 89, 104, 100, 91, 0, 128, 131, 173, 174, 171, 204, 175, 178, 179, 138, 0, 99, 188, 103, 74, 75, 77, 76, 59, 58, 79, 80, 0, 132, 136, 194, 190, 183, 0, 137, 180, 182, 181, 184, 185, 378, 297, 0, 306, 87, 90, 81, 82, 56, 57, 78, 50, 49, 187, 55, 83, 84, 86, 304, 305, 0, 88, 52, 51, 385, 280, 282, 54, 289, 0, 186, 189, 344, 202, 367, 208, 343, 349, 342, 341, 340, 339, 345, 268, 274, 0, 264, 258, 257, 256, 380, 281, 53, 283, 319, 0, 85, 284, 254, 255, 251, 252, 250, 249, 233, 238, 0, 338, 346, 347, 348, 383, 375, 330, 0, 271, 331, 334, 0, 335, 336, 328, 327, 0, 277, 374, 253, 244, 243, 239, 237, 234, 235, 248, 279, 290, 0, 260, 246, 241, 236, 230, 231, 232, 240, 245, 247, 278, 285, 0, 300, 332, 267, 0, 337, 329, 269, 0, 272, 333, 270, 296, 0, 292, 286, 379, 1, 242, 228, 229, 226, 225, 222, 0, 273, 326, 324, 325, 0, 323, 363, 359, 357, 382, 362, 364, 0, 265, 3, 224, 223, 221, 350, 355, 352, 0, 361, 360, 0, 227, 351, 356, 0, 358, 301, 0, 263, 259, 266, 291, 293, 0, 288, 262, 353, 354, 261, 320, 321, 0, 314, 372, 0, 322, 315, 0, 94, 299, 0, 318, 309, 0, 308, 307, 0, 317, 0, 316, 298, 0, 310, 303, 0, 302, 276, 287, 294, 0, 313, 0, 311, 275, 295, 0]</t>
  </si>
  <si>
    <t>Taillard_n385</t>
  </si>
  <si>
    <t>[0, 263, 261, 260, 245, 230, 225, 355, 356, 354, 262, 0, 287, 266, 1, 246, 223, 221, 351, 353, 0, 294, 288, 275, 0, 295, 264, 244, 227, 242, 0, 292, 277, 255, 226, 350, 228, 374, 0, 290, 253, 229, 222, 259, 276, 0, 293, 286, 320, 379, 251, 232, 231, 224, 3, 352, 0, 321, 279, 243, 238, 233, 235, 234, 236, 241, 0, 52, 55, 50, 49, 58, 78, 79, 80, 82, 0, 103, 74, 75, 73, 72, 71, 69, 62, 63, 61, 60, 59, 76, 77, 57, 56, 187, 51, 282, 256, 250, 237, 240, 248, 0, 84, 88, 89, 90, 104, 106, 108, 188, 0, 109, 110, 119, 6, 20, 23, 13, 29, 14, 16, 17, 15, 18, 68, 370, 377, 67, 66, 65, 64, 0, 107, 70, 105, 124, 102, 81, 0, 96, 101, 376, 122, 111, 120, 28, 27, 26, 25, 24, 22, 21, 30, 31, 12, 9, 8, 7, 112, 113, 114, 146, 121, 123, 371, 129, 0, 145, 150, 149, 115, 19, 83, 53, 85, 0, 130, 151, 153, 155, 116, 118, 125, 0, 144, 152, 166, 154, 156, 4, 42, 43, 384, 40, 45, 48, 47, 46, 35, 11, 10, 369, 117, 147, 148, 0, 133, 164, 163, 162, 161, 157, 160, 159, 158, 5, 34, 36, 41, 44, 39, 38, 37, 219, 368, 201, 198, 165, 135, 0, 170, 381, 196, 200, 211, 218, 217, 220, 33, 32, 373, 216, 214, 197, 366, 192, 167, 168, 143, 141, 134, 0, 190, 177, 176, 193, 203, 205, 206, 210, 212, 215, 365, 213, 207, 204, 195, 199, 191, 169, 175, 172, 171, 142, 173, 139, 0, 184, 344, 341, 342, 349, 343, 208, 367, 202, 186, 182, 178, 128, 93, 99, 0, 180, 185, 345, 339, 340, 189, 183, 179, 127, 0, 338, 375, 383, 348, 347, 346, 209, 174, 181, 0, 378, 331, 336, 0, 268, 332, 140, 131, 0, 138, 269, 298, 0, 335, 328, 357, 361, 0, 334, 363, 362, 359, 382, 364, 0, 136, 333, 330, 327, 324, 323, 325, 0, 98, 126, 194, 2, 137, 0, 299, 132, 94, 0, 95, 97, 329, 300, 297, 301, 0, 326, 337, 270, 273, 274, 0, 311, 303, 304, 307, 0, 296, 272, 267, 271, 372, 315, 0, 312, 91, 100, 316, 0, 309, 302, 92, 0, 291, 280, 380, 252, 249, 239, 247, 254, 0, 360, 0, 314, 306, 305, 0, 308, 0, 313, 0, 319, 284, 278, 258, 54, 289, 310, 0, 358, 0, 285, 281, 385, 257, 265, 0, 283, 86, 87, 322, 0, 318, 0, 317, 0]</t>
  </si>
  <si>
    <t>[0, 51, 385, 49, 50, 52, 56, 83, 0, 281, 257, 250, 252, 256, 380, 280, 282, 187, 53, 54, 0, 88, 80, 77, 59, 58, 78, 79, 57, 55, 84, 289, 0, 96, 101, 102, 104, 105, 106, 72, 71, 69, 62, 63, 60, 61, 73, 76, 75, 74, 103, 81, 82, 188, 0, 124, 67, 66, 15, 19, 18, 65, 64, 90, 0, 376, 107, 110, 109, 111, 68, 377, 370, 14, 17, 16, 29, 13, 24, 22, 23, 20, 21, 30, 25, 26, 27, 28, 120, 119, 113, 121, 122, 125, 0, 108, 70, 0, 123, 112, 6, 7, 8, 9, 10, 31, 12, 11, 369, 115, 114, 133, 0, 371, 118, 116, 147, 148, 146, 149, 145, 130, 126, 0, 137, 134, 144, 152, 153, 166, 164, 163, 162, 161, 366, 198, 5, 4, 158, 159, 160, 157, 117, 156, 155, 154, 150, 151, 92, 0, 129, 35, 41, 42, 46, 47, 48, 44, 43, 384, 45, 40, 39, 368, 201, 197, 192, 165, 168, 0, 258, 255, 251, 249, 233, 235, 238, 374, 0, 98, 135, 143, 167, 34, 36, 38, 37, 33, 32, 219, 373, 216, 200, 196, 191, 381, 141, 0, 87, 89, 100, 99, 93, 95, 0, 293, 319, 86, 85, 283, 284, 254, 248, 245, 247, 260, 263, 0, 277, 1, 243, 240, 236, 229, 231, 232, 234, 239, 265, 291, 0, 246, 241, 225, 354, 355, 350, 223, 224, 3, 230, 237, 244, 279, 320, 286, 0, 97, 2, 140, 142, 171, 170, 172, 169, 199, 195, 204, 207, 213, 214, 217, 220, 218, 365, 215, 212, 211, 205, 193, 175, 136, 0, 266, 242, 228, 226, 221, 351, 0, 180, 176, 174, 173, 127, 131, 128, 132, 91, 0, 177, 194, 203, 206, 210, 209, 182, 184, 0, 287, 379, 253, 222, 352, 356, 262, 0, 179, 178, 190, 183, 186, 185, 343, 342, 340, 269, 0, 346, 383, 348, 347, 349, 208, 367, 202, 0, 312, 94, 139, 138, 0, 181, 344, 338, 341, 332, 267, 0, 314, 321, 0, 345, 189, 339, 331, 335, 0, 326, 328, 270, 0, 334, 333, 297, 0, 324, 358, 382, 0, 327, 375, 359, 357, 361, 323, 0, 290, 285, 227, 353, 261, 295, 0, 364, 360, 362, 363, 0, 317, 304, 0, 294, 276, 259, 278, 292, 0, 275, 264, 306, 0, 322, 288, 0, 308, 305, 303, 0, 313, 309, 0, 310, 307, 0, 318, 372, 0, 302, 311, 0, 299, 316, 315, 0, 298, 378, 268, 301, 0, 274, 272, 273, 296, 0, 271, 300, 337, 336, 330, 329, 325, 0]</t>
  </si>
  <si>
    <t>[0, 25, 74, 75, 23, 0, 20, 15, 19, 21, 27, 0, 71, 73, 72, 70, 52, 58, 56, 53, 0, 62, 63, 64, 36, 54, 0, 18, 24, 12, 11, 2, 3, 6, 5, 17, 13, 0, 57, 39, 48, 49, 44, 60, 0, 50, 46, 55, 47, 38, 43, 35, 37, 32, 34, 41, 40, 42, 29, 0, 65, 67, 61, 30, 45, 68, 31, 59, 33, 69, 0, 4, 9, 10, 7, 1, 8, 14, 28, 0, 51, 66, 26, 0, 22, 16, 0]</t>
  </si>
  <si>
    <t>Taillard_n75</t>
  </si>
  <si>
    <t>[0, 45, 26, 34, 24, 17, 28, 35, 31, 16, 19, 27, 32, 47, 3, 0, 46, 33, 22, 21, 25, 18, 23, 40, 0, 52, 29, 20, 30, 38, 39, 6, 0, 14, 51, 44, 37, 49, 54, 42, 41, 71, 0, 43, 50, 48, 0, 53, 65, 64, 67, 66, 60, 63, 59, 68, 0, 73, 62, 57, 58, 61, 56, 55, 69, 75, 72, 9, 0, 1, 70, 13, 7, 0, 74, 8, 11, 36, 10, 12, 5, 15, 2, 0, 4, 0]</t>
  </si>
  <si>
    <t>[0, 48, 32, 31, 29, 75, 0, 50, 40, 33, 37, 42, 43, 35, 34, 46, 49, 39, 44, 38, 63, 65, 0, 30, 11, 0, 60, 36, 4, 0, 56, 58, 61, 45, 47, 52, 64, 1, 0, 9, 62, 12, 28, 17, 41, 18, 20, 3, 53, 2, 0, 24, 27, 8, 6, 0, 51, 54, 22, 14, 23, 25, 21, 19, 16, 15, 26, 13, 70, 69, 71, 67, 66, 68, 10, 55, 0, 57, 5, 7, 59, 72, 74, 73, 0]</t>
  </si>
  <si>
    <t>[0, 16, 19, 23, 21, 0, 13, 18, 15, 14, 24, 12, 17, 70, 75, 73, 74, 72, 71, 22, 20, 0, 37, 34, 30, 32, 38, 36, 33, 26, 39, 29, 25, 31, 28, 0, 11, 6, 7, 3, 8, 1, 5, 0, 2, 4, 10, 9, 61, 67, 63, 62, 68, 64, 60, 66, 0, 35, 27, 42, 0, 58, 48, 56, 50, 41, 45, 59, 51, 43, 54, 0, 57, 55, 53, 46, 44, 52, 47, 0, 69, 65, 0, 49, 40, 0]</t>
  </si>
  <si>
    <t>[0, 13, 12, 4, 6, 11, 2, 3, 10, 5, 0, 28, 16, 24, 18, 21, 19, 20, 0, 22, 14, 66, 67, 51, 1, 7, 9, 8, 17, 0, 65, 69, 61, 30, 45, 68, 29, 42, 40, 41, 34, 32, 48, 49, 0, 50, 33, 59, 31, 37, 35, 38, 47, 55, 46, 36, 0, 54, 60, 43, 44, 57, 64, 63, 58, 52, 56, 53, 0, 62, 70, 72, 73, 0, 39, 0, 23, 74, 75, 71, 0, 15, 25, 27, 0, 26, 0]</t>
  </si>
  <si>
    <t>[0, 12, 36, 73, 69, 55, 56, 61, 58, 57, 60, 62, 59, 67, 65, 54, 49, 37, 42, 0, 38, 33, 30, 22, 21, 20, 29, 25, 27, 32, 46, 0, 47, 19, 16, 23, 26, 45, 0, 52, 18, 31, 35, 28, 17, 24, 34, 41, 0, 14, 51, 3, 40, 71, 4, 9, 15, 72, 75, 5, 10, 74, 8, 0, 68, 63, 66, 64, 53, 0, 13, 7, 11, 2, 0, 6, 1, 0, 70, 0, 48, 50, 0, 43, 44, 39, 0]</t>
  </si>
  <si>
    <t>[0, 10, 28, 25, 23, 21, 19, 16, 15, 26, 13, 70, 69, 71, 67, 66, 68, 0, 55, 9, 62, 22, 27, 14, 12, 17, 20, 3, 64, 54, 1, 0, 61, 47, 52, 18, 41, 38, 44, 39, 49, 46, 34, 35, 43, 42, 37, 33, 40, 50, 0, 63, 48, 32, 31, 29, 75, 0, 65, 56, 36, 45, 58, 0, 73, 74, 72, 59, 60, 5, 0, 30, 0, 11, 7, 4, 51, 57, 0, 24, 8, 6, 2, 0, 53, 0]</t>
  </si>
  <si>
    <t>[0, 47, 40, 52, 49, 44, 53, 46, 56, 59, 45, 48, 0, 43, 51, 28, 31, 27, 25, 29, 39, 33, 36, 38, 0, 37, 34, 30, 32, 26, 35, 42, 41, 58, 0, 16, 13, 18, 15, 14, 19, 21, 0, 23, 20, 22, 24, 12, 17, 70, 75, 3, 73, 74, 72, 71, 0, 11, 6, 7, 8, 1, 9, 10, 4, 5, 0, 2, 61, 67, 63, 62, 65, 0, 66, 68, 69, 64, 60, 0, 57, 0, 54, 50, 55, 0]</t>
  </si>
  <si>
    <t>[0, 20, 71, 73, 72, 70, 52, 0, 56, 58, 63, 57, 44, 49, 48, 37, 35, 55, 50, 0, 54, 36, 64, 62, 53, 0, 60, 46, 39, 43, 38, 47, 33, 0, 23, 75, 74, 25, 0, 65, 66, 61, 30, 45, 68, 29, 42, 40, 41, 34, 32, 31, 59, 69, 0, 15, 19, 21, 27, 18, 24, 12, 0, 17, 4, 11, 2, 3, 6, 10, 9, 1, 28, 0, 14, 51, 67, 26, 0, 22, 8, 7, 5, 16, 13, 0]</t>
  </si>
  <si>
    <t>[0, 53, 64, 67, 66, 65, 43, 37, 49, 54, 51, 0, 42, 30, 22, 21, 20, 29, 27, 32, 33, 47, 38, 0, 45, 26, 34, 24, 17, 31, 28, 35, 25, 16, 19, 39, 52, 0, 7, 46, 18, 23, 3, 0, 36, 70, 68, 73, 59, 62, 60, 57, 58, 61, 56, 55, 69, 0, 44, 50, 6, 0, 48, 63, 0, 4, 2, 11, 0, 9, 41, 40, 13, 1, 0, 14, 71, 15, 72, 75, 5, 12, 10, 74, 8, 0]</t>
  </si>
  <si>
    <t>[0, 70, 13, 26, 15, 16, 19, 21, 25, 28, 23, 14, 27, 22, 62, 8, 0, 1, 54, 3, 52, 47, 45, 41, 18, 17, 12, 20, 9, 6, 0, 5, 38, 44, 39, 49, 46, 34, 35, 43, 42, 37, 33, 40, 50, 60, 7, 0, 55, 10, 24, 69, 71, 67, 66, 68, 0, 65, 56, 36, 63, 61, 58, 64, 2, 0, 30, 32, 75, 0, 59, 29, 31, 48, 0, 51, 53, 4, 0, 57, 11, 72, 74, 73, 0]</t>
  </si>
  <si>
    <t>[0, 37, 34, 30, 32, 38, 36, 33, 26, 39, 29, 27, 31, 28, 35, 0, 25, 51, 42, 0, 16, 13, 18, 15, 14, 24, 22, 19, 20, 23, 0, 21, 12, 17, 70, 75, 74, 72, 71, 0, 73, 7, 3, 8, 1, 10, 4, 6, 11, 0, 2, 5, 9, 61, 67, 63, 62, 68, 64, 60, 0, 66, 65, 69, 0, 54, 57, 0, 48, 41, 43, 45, 59, 50, 56, 55, 44, 49, 52, 0, 58, 46, 53, 40, 47, 0]</t>
  </si>
  <si>
    <t>[0, 50, 79, 0, 30, 85, 11, 19, 0, 23, 97, 61, 0, 21, 91, 52, 81, 0, 83, 71, 51, 0, 75, 93, 33, 73, 0, 27, 99, 62, 0, 100, 98, 89, 47, 38, 56, 0, 32, 53, 95, 24, 0, 31, 46, 35, 0, 8, 94, 96, 0, 20, 41, 22, 15, 0, 26, 48, 87, 57, 82, 0, 1, 70, 54, 0, 34, 64, 72, 37, 6, 78, 65, 0, 86, 92, 68, 0, 66, 84, 90, 9, 0, 60, 67, 88, 0, 76, 55, 16, 69, 0, 36, 29, 43, 45, 2, 7, 0, 4, 13, 74, 0, 3, 59, 77, 0, 14, 28, 42, 63, 0, 44, 40, 10, 39, 0, 25, 49, 18, 0, 5, 12, 58, 0, 17, 80, 0]</t>
  </si>
  <si>
    <t>X_n100</t>
  </si>
  <si>
    <t>[0, 32, 33, 53, 73, 95, 24, 0, 31, 93, 0, 75, 30, 85, 11, 0, 79, 50, 0, 19, 61, 100, 0, 83, 51, 81, 0, 97, 91, 23, 0, 71, 62, 99, 98, 89, 0, 46, 35, 20, 15, 0, 52, 27, 21, 0, 41, 22, 5, 0, 1, 70, 54, 0, 86, 9, 92, 0, 66, 84, 90, 68, 0, 56, 26, 48, 47, 38, 0, 76, 55, 16, 69, 0, 74, 13, 4, 0, 88, 87, 36, 29, 43, 45, 2, 7, 0, 18, 12, 0, 65, 10, 25, 39, 0, 42, 49, 37, 0, 63, 78, 6, 28, 0, 8, 3, 0, 77, 67, 40, 0, 17, 64, 96, 94, 0, 34, 60, 57, 82, 44, 0, 58, 14, 72, 59, 0, 80, 0]</t>
  </si>
  <si>
    <t>[0, 658, 408, 664, 768, 662, 335, 978, 532, 12, 908, 13, 522, 742, 55, 230, 537, 903, 350, 601, 260, 873, 18, 698, 0, 748, 540, 457, 115, 557, 607, 643, 143, 168, 484, 444, 424, 755, 783, 964, 119, 203, 145, 656, 507, 930, 0, 58, 88, 93, 85, 62, 367, 243, 330, 652, 413, 918, 929, 374, 328, 867, 571, 806, 110, 483, 736, 766, 505, 0, 786, 622, 394, 149, 586, 866, 981, 781, 442, 776, 34, 714, 2, 851, 976, 35, 823, 324, 191, 649, 979, 329, 456, 0, 167, 800, 60, 882, 778, 843, 923, 855, 493, 288, 419, 677, 111, 285, 626, 939, 310, 160, 422, 495, 759, 535, 619, 0, 817, 142, 202, 701, 238, 928, 263, 72, 574, 909, 628, 950, 883, 926, 651, 208, 410, 711, 641, 526, 259, 303, 150, 0, 694, 784, 490, 229, 135, 733, 904, 821, 317, 257, 529, 539, 896, 674, 365, 311, 138, 180, 498, 998, 0, 905, 818, 757, 352, 889, 747, 567, 475, 838, 970, 657, 856, 154, 615, 226, 253, 217, 790, 933, 906, 340, 427, 463, 377, 915, 0, 831, 56, 627, 371, 911, 497, 292, 963, 423, 546, 835, 77, 26, 559, 250, 258, 102, 796, 936, 941, 398, 37, 134, 845, 157, 64, 0, 146, 734, 542, 956, 112, 84, 183, 725, 199, 174, 675, 716, 679, 19, 477, 470, 420, 368, 147, 536, 478, 67, 295, 109, 506, 695, 934, 826, 0, 96, 489, 63, 122, 462, 793, 983, 897, 771, 270, 863, 10, 992, 809, 29, 487, 870, 179, 0, 803, 24, 164, 620, 461, 315, 948, 887, 519, 553, 124, 830, 99, 318, 488, 5, 592, 467, 206, 957, 0, 914, 606, 513, 841, 57, 73, 170, 381, 449, 36, 997, 610, 338, 178, 224, 339, 741, 458, 486, 744, 153, 815, 431, 969, 0, 139, 916, 864, 824, 807, 750, 636, 155, 100, 69, 715, 189, 810, 435, 985, 543, 272, 182, 782, 943, 751, 59, 242, 0, 384, 309, 269, 156, 764, 563, 769, 466, 890, 860, 387, 275, 967, 848, 162, 97, 584, 235, 336, 271, 666, 121, 608, 65, 0, 702, 944, 417, 938, 255, 573, 922, 609, 684, 602, 940, 920, 746, 569, 251, 907, 192, 218, 842, 140, 204, 290, 306, 0, 836, 177, 25, 492, 775, 993, 753, 123, 632, 562, 683, 954, 894, 120, 325, 549, 107, 98, 8, 469, 234, 801, 0, 236, 21, 42, 919, 913, 479, 690, 307, 788, 429, 737, 274, 207, 453, 414, 722, 74, 710, 343, 321, 316, 0, 313, 685, 885, 152, 370, 389, 530, 961, 550, 849, 878, 319, 326, 380, 482, 75, 730, 353, 548, 833, 114, 213, 81, 0, 899, 518, 642, 773, 697, 846, 661, 347, 872, 635, 614, 148, 360, 516, 366, 267, 465, 686, 713, 215, 190, 874, 68, 805, 0, 53, 681, 432, 78, 646, 556, 401, 631, 193, 166, 184, 951, 137, 323, 763, 618, 169, 512, 185, 212, 305, 706, 738, 0, 754, 130, 704, 249, 333, 348, 829, 127, 791, 276, 4, 986, 281, 521, 996, 691, 239, 877, 598, 54, 917, 990, 221, 561, 0, 949, 647, 500, 814, 888, 779, 729, 787, 46, 496, 126, 383, 977, 233, 225, 106, 891, 612, 527, 504, 700, 30, 252, 426, 503, 749, 599, 520, 616, 0, 86, 945, 445, 880, 7, 644, 653, 363, 373, 334, 342, 832, 241, 254, 758, 862, 589, 665, 125, 770, 11, 624, 932, 554, 409, 411, 707, 0, 637, 953, 357, 688, 605, 534, 982, 676, 376, 552, 678, 403, 587, 902, 332, 382, 349, 341, 858, 40, 473, 827, 472, 947, 129, 837, 172, 0, 246, 425, 645, 454, 296, 91, 629, 756, 331, 973, 544, 721, 161, 682, 798, 66, 314, 743, 687, 415, 669, 912, 448, 901, 555, 216, 999, 302, 438, 396, 871, 0, 720, 464, 455, 468, 364, 639, 510, 196, 597, 163, 399, 176, 699, 621, 205, 223, 70, 705, 946, 568, 437, 968, 523, 630, 765, 416, 0, 892, 853, 38, 965, 404, 795, 869, 393, 886, 3, 113, 667, 83, 286, 654, 895, 6, 32, 50, 761, 670, 327, 128, 480, 0, 440, 595, 673, 446, 594, 412, 228, 165, 613, 14, 834, 344, 820, 828, 476, 579, 975, 351, 732, 558, 572, 33, 994, 222, 709, 585, 590, 92, 0, 247, 517, 525, 603, 692, 726, 551, 576, 20, 577, 79, 772, 76, 511, 131, 268, 777, 388, 989, 718, 95, 471, 273, 392, 861, 0, 240, 638, 740, 16, 436, 760, 474, 623, 278, 304, 195, 560, 881, 696, 105, 481, 441, 49, 693, 868, 27, 528, 499, 0, 825, 583, 390, 762, 811, 459, 545, 375, 51, 244, 854, 780, 689, 287, 421, 385, 158, 1, 61, 531, 28, 369, 0, 261, 717, 451, 564, 209, 136, 893, 173, 924, 87, 995, 405, 17, 117, 971, 308, 159, 991, 910, 200, 671, 460, 719, 0, 284, 648, 175, 857, 264, 447, 359, 847, 181, 362, 591, 987, 580, 47, 575, 428, 960, 144, 966, 116, 745, 703, 547, 194, 0, 942, 774, 248, 508, 898, 925, 625, 672, 395, 799, 450, 118, 430, 514, 813, 566, 541, 210, 291, 391, 232, 312, 434, 90, 227, 802, 0, 921, 141, 186, 386, 959, 356, 604, 266, 45, 201, 262, 752, 727, 378, 43, 668, 659, 188, 52, 283, 9, 0, 299, 617, 439, 358, 1000, 23, 108, 712, 797, 962, 418, 443, 731, 82, 171, 277, 812, 980, 724, 0, 538, 804, 361, 355, 297, 452, 708, 397, 593, 879, 785, 859, 256, 581, 400, 633, 582, 974, 71, 39, 379, 219, 655, 767, 0, 789, 372, 955, 15, 634, 22, 133, 728, 984, 103, 596, 663, 265, 337, 850, 502, 578, 509, 279, 89, 94, 611, 988, 0, 44, 852, 345, 937, 875, 198, 680, 839, 220, 282, 322, 739, 927, 952, 280, 640, 101, 31, 884, 808, 972, 816, 0, 819, 300, 485, 723, 565, 214, 794, 407, 245, 293, 570, 931, 320, 354, 187, 958, 515, 876, 0, 237, 151, 900, 524, 501, 588, 41, 406, 294, 792, 494, 211, 840, 197, 402, 346, 104, 298, 48, 491, 600, 660, 433, 0, 822, 935, 844, 301, 80, 650, 289, 533, 132, 231, 865, 735, 0]</t>
  </si>
  <si>
    <t>X_n1000</t>
  </si>
  <si>
    <t>[0, 819, 801, 236, 836, 300, 515, 748, 505, 930, 18, 873, 260, 12, 532, 978, 335, 662, 768, 664, 698, 408, 658, 0, 350, 601, 903, 457, 537, 230, 742, 908, 13, 522, 145, 870, 150, 96, 141, 372, 538, 611, 900, 935, 237, 540, 876, 0, 958, 766, 736, 55, 203, 607, 571, 694, 784, 809, 619, 905, 487, 734, 146, 187, 433, 354, 316, 234, 0, 822, 921, 179, 115, 507, 656, 119, 557, 110, 483, 826, 542, 956, 934, 804, 524, 816, 723, 321, 485, 44, 0, 964, 783, 755, 424, 444, 168, 484, 88, 58, 85, 62, 367, 243, 330, 867, 817, 167, 143, 643, 915, 806, 955, 789, 0, 942, 998, 818, 64, 157, 803, 992, 845, 490, 328, 374, 142, 535, 918, 929, 800, 622, 786, 413, 652, 93, 0, 417, 431, 916, 914, 10, 164, 863, 498, 229, 427, 238, 882, 586, 149, 394, 456, 495, 759, 202, 463, 377, 112, 24, 29, 0, 303, 831, 340, 906, 135, 422, 701, 60, 866, 781, 981, 843, 778, 889, 352, 56, 757, 63, 139, 815, 242, 969, 0, 944, 959, 489, 695, 122, 606, 270, 897, 771, 134, 84, 747, 855, 493, 329, 714, 2, 776, 442, 923, 310, 928, 160, 733, 933, 0, 957, 462, 5, 506, 183, 180, 567, 904, 259, 263, 72, 821, 790, 627, 37, 830, 793, 782, 943, 564, 871, 467, 754, 774, 206, 0, 526, 939, 574, 285, 626, 288, 419, 34, 979, 649, 851, 976, 191, 926, 651, 936, 725, 398, 620, 124, 99, 751, 255, 592, 59, 0, 386, 384, 153, 309, 744, 318, 983, 941, 796, 475, 838, 970, 657, 365, 883, 35, 324, 677, 111, 909, 311, 138, 0, 290, 204, 140, 842, 130, 573, 488, 824, 864, 513, 553, 461, 199, 856, 253, 257, 711, 823, 950, 628, 317, 217, 0, 133, 604, 266, 201, 81, 949, 114, 706, 681, 251, 218, 269, 887, 315, 258, 615, 896, 539, 529, 641, 674, 226, 371, 154, 0, 45, 213, 396, 480, 717, 548, 65, 907, 313, 192, 807, 948, 109, 675, 559, 963, 208, 410, 292, 497, 911, 102, 0, 724, 248, 508, 898, 246, 53, 221, 738, 647, 833, 353, 685, 922, 750, 458, 73, 295, 67, 368, 77, 546, 423, 679, 26, 716, 250, 174, 519, 486, 938, 0, 355, 186, 356, 306, 861, 261, 52, 392, 925, 730, 569, 609, 684, 155, 636, 841, 381, 835, 147, 536, 478, 0, 262, 892, 425, 302, 305, 990, 182, 156, 100, 764, 543, 769, 224, 997, 36, 449, 470, 477, 420, 19, 170, 57, 339, 715, 69, 741, 0, 280, 31, 578, 397, 378, 625, 670, 273, 432, 608, 885, 890, 189, 610, 178, 985, 272, 616, 727, 452, 980, 294, 0, 872, 286, 370, 860, 387, 275, 848, 967, 338, 810, 466, 435, 563, 920, 940, 602, 746, 75, 917, 500, 438, 128, 962, 509, 283, 0, 198, 884, 547, 71, 593, 879, 814, 888, 212, 78, 646, 550, 121, 152, 249, 704, 659, 188, 171, 752, 297, 634, 0, 220, 443, 418, 668, 517, 327, 333, 556, 389, 530, 97, 162, 961, 247, 43, 596, 22, 41, 15, 0, 812, 277, 482, 380, 849, 584, 235, 666, 631, 319, 878, 326, 185, 54, 216, 761, 471, 853, 731, 82, 663, 103, 502, 655, 0, 101, 640, 39, 581, 785, 859, 256, 672, 999, 829, 193, 336, 271, 618, 169, 401, 265, 708, 561, 9, 844, 0, 984, 512, 323, 763, 951, 166, 184, 791, 137, 348, 239, 877, 598, 797, 633, 337, 850, 927, 0, 406, 645, 454, 50, 779, 691, 127, 276, 986, 520, 296, 95, 451, 299, 227, 582, 974, 379, 792, 494, 0, 89, 279, 728, 729, 996, 4, 521, 46, 32, 603, 525, 739, 194, 808, 840, 211, 0, 346, 787, 126, 383, 496, 106, 612, 891, 281, 527, 504, 700, 225, 669, 977, 555, 395, 617, 400, 219, 390, 583, 719, 0, 94, 91, 629, 599, 901, 448, 912, 749, 233, 503, 426, 252, 30, 687, 415, 721, 756, 6, 966, 952, 0, 197, 712, 38, 965, 895, 973, 331, 654, 544, 161, 743, 314, 113, 798, 66, 667, 682, 393, 83, 795, 989, 718, 209, 23, 108, 745, 703, 460, 440, 0, 648, 740, 116, 671, 358, 200, 90, 799, 20, 577, 79, 772, 76, 3, 886, 268, 131, 511, 388, 869, 777, 404, 0, 501, 588, 402, 692, 726, 893, 136, 551, 173, 576, 87, 995, 971, 117, 159, 1000, 439, 762, 175, 499, 802, 0, 361, 972, 811, 459, 857, 291, 430, 434, 450, 118, 428, 991, 910, 924, 308, 575, 405, 17, 591, 47, 580, 195, 531, 868, 528, 0, 825, 27, 49, 441, 158, 287, 987, 541, 566, 813, 514, 210, 391, 960, 312, 232, 545, 144, 104, 293, 0, 702, 322, 416, 693, 61, 673, 481, 696, 375, 51, 264, 447, 359, 847, 181, 362, 190, 245, 0, 48, 298, 282, 638, 284, 595, 881, 854, 244, 780, 689, 421, 385, 820, 1, 105, 14, 474, 16, 123, 0, 899, 713, 228, 732, 351, 975, 828, 344, 304, 834, 278, 560, 623, 613, 446, 760, 436, 837, 172, 720, 491, 289, 650, 132, 80, 0, 913, 409, 630, 412, 33, 946, 705, 579, 476, 558, 572, 165, 594, 129, 765, 709, 585, 767, 407, 570, 533, 600, 931, 0, 414, 455, 364, 222, 523, 994, 437, 968, 699, 205, 223, 70, 621, 827, 473, 858, 587, 552, 472, 176, 947, 568, 163, 597, 196, 919, 0, 207, 945, 429, 254, 678, 902, 332, 382, 40, 341, 349, 399, 639, 982, 468, 605, 688, 554, 464, 590, 839, 151, 0, 411, 357, 874, 534, 510, 676, 932, 445, 880, 624, 376, 334, 11, 342, 770, 832, 758, 862, 125, 403, 665, 589, 241, 267, 363, 644, 465, 690, 0, 469, 737, 148, 347, 360, 366, 653, 373, 7, 686, 516, 661, 846, 215, 697, 773, 518, 953, 68, 637, 805, 660, 0, 177, 107, 549, 562, 120, 683, 894, 954, 479, 307, 788, 614, 635, 642, 453, 274, 42, 86, 707, 710, 492, 775, 231, 0, 988, 214, 320, 301, 680, 92, 28, 240, 74, 722, 21, 325, 632, 98, 8, 753, 993, 25, 875, 369, 0, 565, 345, 937, 852, 343, 794, 865, 735, 0]</t>
  </si>
  <si>
    <t>[0, 658, 408, 698, 664, 768, 662, 335, 978, 532, 18, 930, 540, 748, 876, 236, 300, 321, 723, 316, 988, 937, 369, 44, 836, 234, 801, 819, 0, 505, 515, 958, 354, 433, 935, 766, 350, 601, 537, 230, 55, 742, 656, 522, 13, 908, 12, 260, 873, 0, 903, 457, 187, 822, 921, 736, 507, 145, 203, 119, 424, 964, 115, 179, 955, 151, 214, 343, 852, 345, 565, 485, 0, 372, 483, 557, 110, 806, 915, 607, 643, 143, 168, 783, 755, 444, 484, 62, 85, 88, 571, 660, 900, 524, 816, 237, 0, 167, 817, 58, 367, 243, 413, 786, 622, 394, 149, 586, 882, 456, 800, 652, 330, 93, 784, 870, 826, 702, 789, 0, 146, 150, 818, 377, 535, 202, 422, 238, 981, 781, 866, 60, 495, 759, 918, 929, 142, 374, 328, 867, 694, 0, 998, 64, 490, 229, 135, 904, 310, 821, 317, 324, 191, 976, 2, 714, 34, 776, 493, 442, 923, 843, 778, 701, 0, 611, 804, 361, 297, 980, 812, 957, 489, 29, 956, 803, 809, 157, 463, 619, 905, 542, 487, 734, 538, 0, 992, 303, 427, 160, 928, 939, 72, 855, 288, 329, 979, 851, 649, 677, 419, 909, 626, 574, 790, 263, 259, 933, 733, 831, 498, 10, 206, 561, 0, 340, 906, 889, 747, 180, 567, 526, 138, 285, 111, 628, 950, 35, 823, 883, 651, 257, 529, 475, 627, 56, 112, 845, 24, 944, 0, 757, 352, 838, 970, 657, 311, 217, 365, 253, 641, 711, 926, 208, 410, 423, 539, 674, 856, 936, 37, 134, 84, 0, 815, 506, 398, 941, 258, 716, 77, 835, 546, 963, 292, 896, 615, 226, 371, 154, 796, 725, 897, 771, 863, 0, 934, 916, 914, 164, 270, 183, 102, 911, 174, 250, 497, 559, 26, 679, 147, 67, 295, 675, 109, 887, 620, 830, 462, 122, 695, 63, 0, 96, 942, 139, 199, 315, 948, 478, 536, 368, 19, 477, 420, 381, 73, 841, 519, 553, 461, 99, 793, 592, 59, 959, 969, 0, 186, 754, 384, 5, 606, 318, 513, 124, 486, 458, 741, 57, 339, 170, 36, 997, 449, 470, 610, 338, 750, 488, 306, 0, 406, 604, 842, 824, 156, 563, 435, 810, 189, 543, 985, 178, 224, 715, 69, 636, 807, 864, 983, 255, 153, 386, 431, 0, 242, 751, 943, 744, 155, 100, 764, 272, 182, 684, 602, 940, 885, 746, 569, 922, 782, 313, 140, 204, 290, 201, 355, 0, 938, 774, 309, 269, 573, 609, 769, 466, 275, 967, 848, 97, 584, 235, 336, 271, 666, 631, 319, 849, 389, 860, 920, 681, 81, 45, 0, 417, 266, 467, 53, 130, 218, 192, 251, 685, 730, 65, 548, 833, 706, 738, 396, 213, 221, 480, 752, 509, 972, 0, 279, 262, 425, 249, 333, 961, 763, 323, 184, 162, 890, 387, 121, 152, 75, 353, 438, 990, 647, 907, 949, 248, 356, 141, 0, 133, 861, 114, 305, 917, 432, 608, 550, 530, 326, 951, 791, 137, 618, 169, 380, 401, 78, 212, 500, 302, 378, 593, 265, 0, 52, 727, 668, 888, 216, 598, 877, 239, 829, 127, 193, 512, 185, 482, 370, 646, 128, 717, 871, 724, 9, 0, 171, 659, 670, 669, 426, 504, 527, 281, 891, 612, 106, 521, 996, 986, 4, 276, 166, 878, 691, 556, 704, 273, 616, 392, 898, 0, 859, 471, 761, 999, 50, 599, 520, 577, 76, 772, 314, 687, 700, 233, 383, 496, 787, 729, 54, 814, 327, 625, 247, 892, 443, 188, 925, 246, 0, 508, 277, 82, 853, 517, 779, 901, 555, 348, 46, 126, 225, 749, 415, 503, 252, 30, 743, 66, 161, 83, 286, 756, 629, 6, 296, 418, 663, 708, 0, 596, 879, 962, 299, 797, 451, 965, 551, 777, 268, 79, 113, 798, 667, 977, 331, 32, 454, 645, 43, 731, 283, 0, 728, 984, 103, 397, 672, 564, 395, 603, 95, 91, 895, 973, 448, 912, 544, 654, 795, 886, 3, 131, 173, 118, 90, 799, 200, 0, 469, 8, 98, 632, 107, 562, 120, 919, 21, 123, 722, 74, 707, 775, 25, 875, 198, 92, 231, 650, 301, 735, 320, 865, 0, 578, 31, 582, 617, 108, 159, 987, 47, 971, 511, 393, 682, 721, 869, 20, 576, 136, 726, 718, 38, 525, 712, 256, 785, 261, 452, 0, 753, 549, 325, 42, 899, 683, 894, 690, 307, 479, 954, 913, 274, 207, 453, 590, 282, 407, 28, 680, 533, 0, 177, 993, 737, 788, 148, 429, 697, 773, 642, 518, 409, 411, 68, 637, 805, 414, 492, 600, 844, 0, 794, 931, 491, 245, 638, 953, 357, 585, 688, 554, 190, 215, 846, 661, 347, 872, 360, 614, 635, 945, 86, 710, 0, 720, 605, 732, 678, 862, 589, 241, 758, 832, 363, 653, 267, 366, 516, 465, 686, 644, 880, 713, 445, 982, 874, 0, 284, 464, 172, 534, 932, 624, 7, 373, 334, 11, 342, 770, 254, 665, 403, 125, 587, 902, 332, 552, 376, 676, 510, 765, 709, 531, 802, 0, 767, 825, 499, 868, 416, 595, 129, 630, 364, 222, 196, 597, 163, 947, 473, 341, 40, 858, 382, 349, 472, 176, 399, 639, 468, 455, 0, 71, 581, 23, 209, 692, 989, 404, 388, 17, 995, 87, 308, 924, 893, 450, 312, 1000, 358, 439, 966, 460, 0, 240, 27, 740, 837, 16, 436, 523, 437, 568, 827, 621, 70, 223, 205, 699, 968, 994, 412, 594, 446, 474, 61, 441, 719, 104, 80, 0, 322, 693, 613, 165, 228, 33, 975, 946, 705, 579, 476, 820, 351, 558, 623, 857, 671, 116, 400, 227, 633, 974, 39, 379, 703, 337, 293, 0, 49, 760, 14, 560, 278, 572, 828, 344, 158, 385, 287, 689, 780, 421, 304, 834, 195, 105, 673, 390, 219, 640, 211, 0, 884, 910, 575, 405, 117, 580, 591, 362, 181, 51, 854, 1, 881, 696, 481, 811, 745, 850, 547, 101, 0, 132, 570, 289, 48, 298, 430, 566, 541, 847, 359, 264, 244, 375, 545, 144, 459, 762, 175, 648, 528, 220, 839, 0, 346, 402, 197, 440, 583, 739, 927, 952, 194, 280, 494, 840, 41, 588, 634, 15, 501, 0, 792, 655, 232, 391, 291, 210, 447, 813, 428, 991, 514, 960, 434, 502, 808, 89, 294, 22, 94, 0]</t>
  </si>
  <si>
    <t>[0, 47, 65, 70, 6, 81, 50, 39, 0, 68, 61, 80, 4, 98, 23, 55, 3, 32, 0, 95, 59, 38, 30, 42, 89, 73, 35, 0, 56, 20, 16, 10, 41, 18, 27, 0, 25, 19, 37, 84, 75, 93, 53, 102, 0, 48, 8, 36, 91, 88, 86, 14, 46, 0, 58, 83, 2, 17, 69, 105, 64, 94, 31, 0, 49, 99, 67, 77, 40, 13, 63, 57, 0, 78, 79, 71, 85, 54, 21, 11, 101, 0, 22, 26, 90, 24, 7, 62, 33, 0, 82, 29, 72, 34, 74, 97, 9, 0, 52, 1, 104, 12, 103, 60, 15, 0, 44, 76, 87, 43, 28, 66, 92, 0, 5, 51, 100, 45, 96, 0]</t>
  </si>
  <si>
    <t>X_n105</t>
  </si>
  <si>
    <t>[0, 25, 39, 50, 81, 6, 61, 47, 0, 19, 3, 4, 70, 65, 80, 59, 95, 68, 0, 56, 89, 38, 30, 98, 55, 73, 35, 0, 20, 16, 32, 42, 23, 10, 27, 37, 0, 79, 36, 91, 88, 86, 41, 18, 0, 46, 14, 58, 8, 69, 64, 94, 105, 17, 0, 67, 77, 83, 2, 48, 49, 71, 7, 0, 33, 78, 84, 66, 101, 9, 90, 22, 0, 92, 93, 97, 12, 75, 24, 26, 0, 62, 102, 28, 99, 21, 85, 54, 0, 104, 1, 74, 11, 13, 40, 31, 63, 0, 52, 53, 103, 34, 57, 72, 29, 0, 5, 15, 76, 43, 87, 60, 51, 0, 44, 100, 45, 82, 96, 0]</t>
  </si>
  <si>
    <t>[0, 47, 61, 70, 6, 81, 50, 39, 0, 25, 68, 95, 80, 65, 4, 98, 23, 3, 0, 56, 59, 38, 30, 42, 55, 32, 73, 0, 19, 18, 41, 10, 20, 16, 89, 35, 0, 37, 27, 86, 88, 36, 8, 91, 69, 0, 78, 79, 14, 58, 48, 2, 17, 64, 94, 0, 24, 71, 49, 83, 105, 31, 57, 82, 0, 62, 7, 75, 84, 9, 90, 22, 0, 26, 46, 21, 54, 67, 77, 40, 13, 63, 0, 33, 102, 104, 12, 51, 45, 52, 0, 92, 66, 99, 85, 11, 93, 101, 0, 5, 1, 28, 97, 74, 34, 72, 0, 29, 43, 103, 53, 76, 87, 60, 0, 44, 15, 100, 96, 0]</t>
  </si>
  <si>
    <t>[0, 77, 87, 26, 53, 15, 66, 98, 11, 46, 0, 6, 5, 85, 51, 67, 45, 89, 108, 0, 109, 18, 84, 24, 4, 101, 33, 9, 102, 56, 0, 69, 25, 103, 55, 76, 83, 22, 61, 0, 91, 38, 34, 106, 42, 97, 92, 20, 105, 0, 30, 2, 43, 93, 104, 60, 64, 36, 80, 0, 71, 99, 65, 59, 95, 17, 27, 31, 28, 0, 1, 90, 16, 29, 78, 74, 32, 79, 0, 70, 44, 81, 94, 37, 7, 107, 82, 0, 50, 39, 54, 96, 88, 75, 21, 41, 0, 52, 68, 12, 58, 63, 72, 10, 100, 19, 0, 23, 13, 57, 48, 35, 73, 86, 47, 0, 3, 14, 40, 8, 62, 49, 0]</t>
  </si>
  <si>
    <t>X_n109</t>
  </si>
  <si>
    <t>[0, 52, 68, 54, 96, 88, 75, 21, 12, 41, 0, 50, 39, 28, 31, 17, 95, 59, 27, 71, 0, 80, 2, 61, 104, 64, 36, 65, 99, 0, 43, 93, 60, 22, 83, 76, 55, 56, 30, 0, 18, 4, 101, 33, 9, 102, 103, 25, 69, 0, 109, 24, 84, 87, 26, 53, 66, 98, 15, 6, 0, 5, 46, 89, 67, 51, 85, 11, 77, 0, 38, 92, 97, 42, 106, 34, 45, 91, 0, 108, 105, 20, 74, 32, 79, 1, 14, 0, 78, 29, 81, 44, 70, 16, 90, 0, 23, 13, 57, 107, 94, 37, 7, 82, 0, 3, 48, 35, 73, 86, 47, 8, 49, 0, 19, 58, 63, 72, 10, 40, 100, 62, 0]</t>
  </si>
  <si>
    <t>[0, 71, 2, 43, 64, 36, 65, 99, 0, 80, 93, 104, 60, 61, 22, 83, 76, 55, 30, 0, 69, 25, 103, 24, 4, 101, 33, 9, 102, 56, 0, 109, 18, 84, 87, 26, 53, 15, 66, 98, 0, 39, 28, 31, 27, 17, 59, 95, 50, 52, 0, 89, 45, 67, 51, 85, 11, 77, 6, 0, 46, 34, 106, 42, 97, 92, 20, 74, 105, 0, 19, 12, 41, 21, 75, 88, 96, 54, 68, 0, 58, 63, 72, 10, 86, 100, 62, 8, 0, 40, 47, 73, 7, 37, 94, 81, 44, 0, 48, 35, 107, 82, 57, 13, 23, 0, 91, 5, 38, 108, 3, 14, 0, 1, 90, 16, 70, 29, 78, 32, 79, 0, 49, 0]</t>
  </si>
  <si>
    <t>[0, 112, 84, 75, 83, 8, 14, 68, 43, 40, 67, 39, 90, 74, 63, 85, 64, 46, 0, 111, 110, 105, 27, 44, 30, 114, 94, 20, 101, 62, 54, 9, 88, 82, 21, 52, 50, 0, 29, 53, 78, 28, 100, 57, 4, 92, 107, 95, 59, 0, 26, 98, 1, 7, 34, 0, 72, 102, 24, 37, 71, 76, 55, 80, 97, 38, 77, 58, 113, 12, 45, 96, 22, 51, 25, 15, 0, 10, 42, 35, 99, 49, 18, 93, 109, 47, 79, 106, 0, 3, 73, 87, 86, 60, 48, 108, 19, 66, 17, 89, 32, 0, 69, 103, 61, 33, 81, 65, 23, 11, 31, 56, 36, 70, 13, 0, 16, 5, 6, 0, 2, 91, 41, 104, 0]</t>
  </si>
  <si>
    <t>X_n114</t>
  </si>
  <si>
    <t>[0, 10, 42, 59, 95, 107, 35, 99, 49, 18, 109, 47, 79, 73, 60, 48, 19, 0, 29, 53, 78, 62, 94, 20, 101, 4, 92, 57, 100, 28, 0, 110, 112, 105, 27, 44, 30, 114, 54, 9, 88, 82, 21, 52, 50, 0, 111, 85, 84, 75, 83, 8, 14, 68, 43, 40, 67, 39, 90, 37, 74, 63, 34, 72, 26, 64, 46, 0, 69, 102, 24, 98, 1, 7, 0, 70, 36, 56, 31, 103, 61, 33, 65, 45, 12, 113, 58, 77, 38, 97, 80, 55, 76, 71, 0, 13, 11, 81, 23, 96, 22, 25, 91, 41, 0, 15, 104, 51, 2, 0, 32, 89, 17, 66, 108, 5, 16, 0, 93, 106, 87, 86, 6, 0, 3, 0]</t>
  </si>
  <si>
    <t>[0, 42, 59, 95, 107, 35, 99, 49, 79, 47, 109, 18, 93, 3, 15, 0, 29, 78, 28, 100, 62, 94, 20, 101, 4, 92, 57, 0, 52, 21, 82, 88, 105, 27, 44, 30, 114, 54, 9, 53, 50, 0, 111, 110, 112, 84, 75, 83, 8, 14, 68, 43, 40, 67, 39, 90, 74, 63, 85, 46, 0, 64, 1, 7, 34, 26, 0, 10, 32, 0, 72, 102, 24, 98, 37, 71, 76, 55, 80, 97, 38, 77, 58, 113, 12, 45, 96, 23, 91, 0, 89, 66, 16, 25, 51, 19, 108, 6, 48, 60, 86, 87, 73, 106, 17, 0, 104, 5, 22, 65, 81, 33, 61, 103, 69, 70, 13, 0, 41, 2, 0, 36, 11, 31, 56, 0]</t>
  </si>
  <si>
    <t>[0, 41, 5, 26, 47, 101, 105, 104, 63, 51, 89, 85, 69, 81, 68, 60, 95, 4, 22, 59, 77, 53, 0, 16, 93, 49, 43, 76, 113, 64, 98, 13, 82, 109, 42, 39, 78, 8, 114, 3, 45, 70, 55, 84, 0, 80, 32, 12, 15, 9, 44, 18, 19, 28, 7, 97, 75, 46, 66, 108, 117, 103, 17, 99, 2, 94, 0, 73, 25, 67, 30, 118, 33, 14, 36, 115, 48, 86, 65, 74, 110, 106, 83, 58, 23, 79, 21, 91, 0, 62, 40, 87, 72, 102, 111, 34, 27, 11, 56, 1, 24, 37, 57, 100, 35, 92, 6, 90, 112, 71, 0, 20, 116, 107, 54, 96, 61, 119, 10, 88, 38, 29, 31, 52, 50, 0]</t>
  </si>
  <si>
    <t>X_n119</t>
  </si>
  <si>
    <t>[0, 73, 67, 30, 118, 33, 23, 14, 36, 115, 48, 86, 65, 74, 110, 106, 83, 58, 79, 21, 25, 31, 0, 29, 32, 91, 12, 15, 9, 44, 28, 19, 7, 97, 46, 66, 108, 75, 18, 17, 103, 99, 2, 49, 0, 43, 76, 113, 64, 82, 98, 13, 41, 117, 26, 5, 47, 101, 105, 104, 63, 51, 89, 85, 8, 70, 0, 16, 55, 78, 114, 57, 77, 100, 59, 22, 4, 95, 60, 68, 69, 81, 53, 109, 42, 39, 93, 80, 0, 112, 40, 62, 87, 72, 102, 111, 34, 27, 11, 56, 1, 24, 37, 35, 92, 6, 90, 3, 45, 84, 0, 50, 52, 38, 88, 10, 94, 119, 61, 96, 71, 54, 107, 116, 20, 0]</t>
  </si>
  <si>
    <t>[0, 73, 67, 30, 33, 36, 115, 48, 86, 65, 74, 110, 106, 7, 97, 19, 28, 83, 58, 23, 118, 25, 0, 31, 79, 14, 15, 44, 18, 75, 46, 66, 108, 117, 26, 5, 47, 101, 105, 104, 63, 51, 89, 85, 0, 29, 32, 91, 21, 12, 2, 99, 9, 17, 103, 41, 13, 98, 113, 43, 76, 64, 82, 109, 42, 49, 0, 8, 53, 81, 69, 68, 60, 95, 4, 22, 59, 100, 77, 57, 37, 24, 1, 56, 11, 27, 34, 102, 0, 84, 55, 70, 45, 3, 62, 87, 72, 111, 40, 6, 92, 35, 90, 114, 78, 39, 93, 16, 80, 38, 0, 20, 116, 107, 54, 112, 71, 96, 61, 119, 94, 10, 88, 52, 50, 0]</t>
  </si>
  <si>
    <t>[0, 26, 0, 108, 27, 1, 46, 79, 30, 62, 0, 85, 117, 55, 36, 63, 109, 25, 94, 0, 68, 118, 47, 22, 40, 65, 41, 80, 58, 0, 84, 67, 29, 104, 107, 7, 4, 95, 0, 20, 77, 45, 101, 0, 54, 64, 71, 98, 0, 121, 72, 119, 76, 0, 48, 69, 53, 0, 75, 33, 43, 0, 5, 32, 61, 0, 18, 10, 0, 21, 37, 0, 57, 8, 0, 113, 103, 0, 112, 120, 0, 23, 51, 105, 89, 34, 116, 66, 0, 91, 35, 0, 83, 39, 122, 0, 49, 17, 50, 124, 28, 123, 0, 100, 12, 0, 13, 78, 59, 70, 88, 115, 6, 2, 0, 73, 110, 0, 16, 87, 114, 11, 19, 9, 92, 0, 99, 106, 0, 24, 15, 81, 42, 74, 97, 0, 82, 56, 0, 86, 90, 52, 44, 14, 0, 111, 93, 0, 31, 102, 0, 60, 38, 0, 3, 96, 0]</t>
  </si>
  <si>
    <t>X_n124</t>
  </si>
  <si>
    <t>[0, 24, 23, 56, 0, 49, 66, 116, 89, 105, 51, 0, 82, 38, 0, 13, 15, 6, 88, 115, 34, 17, 0, 123, 97, 78, 124, 59, 9, 70, 2, 50, 0, 14, 74, 81, 19, 28, 0, 44, 42, 92, 11, 114, 87, 52, 0, 73, 99, 16, 90, 0, 110, 122, 61, 0, 91, 100, 48, 84, 0, 112, 35, 0, 21, 18, 54, 0, 83, 57, 121, 0, 10, 53, 107, 0, 113, 12, 65, 0, 120, 103, 0, 72, 75, 39, 0, 8, 5, 41, 0, 67, 37, 33, 0, 32, 69, 7, 95, 0, 64, 77, 119, 98, 104, 58, 20, 0, 101, 45, 29, 80, 0, 4, 71, 40, 22, 94, 0, 25, 68, 47, 118, 63, 46, 1, 79, 36, 55, 0, 86, 106, 43, 0, 76, 109, 27, 30, 85, 0, 111, 93, 0, 31, 3, 0, 96, 60, 0, 108, 62, 117, 102, 0, 26, 0]</t>
  </si>
  <si>
    <t>[0, 108, 27, 46, 1, 30, 85, 62, 0, 117, 55, 36, 79, 63, 118, 40, 68, 25, 109, 0, 64, 71, 104, 65, 58, 22, 94, 95, 0, 47, 80, 41, 29, 72, 0, 20, 4, 107, 67, 7, 77, 84, 0, 101, 54, 98, 69, 0, 121, 119, 45, 0, 48, 53, 33, 0, 75, 113, 52, 0, 37, 103, 0, 5, 12, 90, 0, 32, 8, 76, 0, 21, 120, 0, 10, 39, 43, 0, 18, 57, 0, 83, 35, 0, 61, 100, 91, 0, 112, 99, 16, 0, 122, 110, 87, 0, 23, 66, 51, 105, 89, 6, 92, 0, 73, 114, 11, 19, 9, 123, 0, 116, 124, 59, 28, 97, 0, 49, 34, 115, 88, 70, 2, 50, 17, 0, 106, 111, 0, 86, 96, 0, 3, 60, 0, 14, 74, 15, 78, 81, 42, 44, 0, 102, 38, 0, 24, 13, 31, 0, 56, 82, 0, 93, 26, 0]</t>
  </si>
  <si>
    <t>[0, 19, 6, 45, 29, 111, 98, 20, 0, 54, 22, 46, 33, 21, 34, 2, 48, 63, 0, 128, 110, 17, 101, 85, 61, 41, 55, 40, 58, 121, 0, 50, 9, 7, 124, 52, 86, 0, 123, 5, 106, 80, 68, 4, 94, 87, 119, 0, 81, 36, 107, 122, 115, 74, 0, 65, 105, 11, 76, 79, 10, 104, 71, 126, 0, 67, 30, 62, 56, 13, 57, 35, 0, 26, 108, 100, 92, 116, 49, 73, 32, 0, 88, 113, 27, 82, 89, 103, 0, 39, 43, 84, 25, 77, 60, 0, 102, 112, 72, 114, 95, 96, 12, 16, 42, 0, 118, 83, 51, 37, 8, 69, 97, 99, 14, 0, 93, 18, 59, 23, 1, 44, 90, 0, 53, 117, 31, 120, 109, 0, 78, 70, 125, 28, 38, 24, 0, 3, 91, 75, 64, 66, 15, 0, 127, 47, 0]</t>
  </si>
  <si>
    <t>X_n128</t>
  </si>
  <si>
    <t>[0, 15, 66, 64, 90, 44, 103, 75, 93, 0, 60, 23, 1, 59, 18, 88, 0, 89, 84, 25, 77, 35, 57, 43, 67, 0, 82, 39, 62, 56, 30, 19, 0, 113, 124, 7, 54, 9, 27, 0, 13, 33, 21, 34, 2, 46, 22, 6, 0, 45, 48, 55, 40, 58, 29, 121, 0, 94, 4, 110, 17, 101, 41, 61, 85, 11, 36, 128, 0, 107, 26, 71, 81, 111, 87, 0, 80, 126, 65, 105, 76, 79, 10, 104, 92, 116, 95, 0, 117, 102, 72, 108, 49, 73, 114, 0, 5, 122, 112, 100, 96, 12, 51, 0, 119, 106, 115, 32, 16, 37, 99, 0, 52, 63, 98, 68, 20, 50, 78, 0, 53, 123, 74, 14, 42, 8, 120, 69, 97, 83, 24, 0, 127, 70, 125, 31, 109, 118, 0, 38, 28, 47, 86, 91, 0, 3, 0]</t>
  </si>
  <si>
    <t>[0, 86, 93, 103, 89, 88, 44, 90, 64, 66, 0, 18, 59, 77, 60, 23, 1, 0, 84, 25, 35, 57, 13, 56, 39, 0, 20, 113, 124, 30, 62, 43, 67, 0, 7, 22, 46, 33, 21, 34, 2, 48, 19, 0, 52, 27, 82, 9, 63, 123, 0, 54, 6, 45, 29, 111, 98, 0, 87, 94, 17, 101, 85, 61, 41, 55, 40, 58, 121, 0, 4, 128, 107, 110, 65, 105, 11, 76, 79, 10, 102, 74, 0, 53, 5, 36, 81, 68, 80, 0, 122, 26, 126, 71, 104, 92, 116, 95, 49, 0, 115, 108, 100, 73, 96, 12, 114, 42, 0, 106, 72, 112, 32, 117, 0, 70, 99, 16, 37, 8, 51, 118, 0, 119, 14, 31, 97, 69, 120, 109, 83, 0, 50, 127, 125, 28, 38, 0, 3, 91, 75, 15, 0, 78, 47, 24, 0]</t>
  </si>
  <si>
    <t>[0, 78, 74, 26, 110, 123, 56, 87, 109, 0, 83, 54, 50, 38, 17, 76, 0, 19, 130, 35, 32, 103, 12, 128, 100, 0, 72, 86, 33, 133, 82, 80, 115, 125, 0, 3, 124, 62, 24, 37, 88, 113, 101, 0, 10, 106, 46, 21, 45, 36, 53, 77, 5, 43, 120, 0, 29, 85, 57, 99, 111, 71, 64, 105, 0, 6, 13, 7, 15, 84, 70, 4, 27, 22, 67, 55, 126, 20, 28, 75, 44, 8, 30, 23, 98, 65, 42, 93, 94, 102, 0, 127, 48, 117, 69, 61, 119, 92, 31, 0, 108, 66, 121, 68, 107, 81, 63, 97, 96, 59, 18, 73, 51, 0, 122, 11, 114, 1, 49, 79, 112, 52, 0, 131, 104, 90, 89, 116, 129, 25, 34, 14, 0, 60, 16, 47, 9, 39, 2, 41, 0, 132, 118, 91, 58, 95, 40, 0]</t>
  </si>
  <si>
    <t>X_n133</t>
  </si>
  <si>
    <t>[0, 74, 26, 54, 110, 123, 56, 87, 109, 0, 78, 50, 35, 32, 24, 37, 62, 124, 0, 17, 80, 133, 33, 86, 38, 130, 19, 0, 3, 72, 103, 10, 12, 85, 82, 115, 76, 0, 106, 88, 45, 21, 46, 104, 36, 61, 119, 0, 31, 71, 120, 111, 102, 94, 93, 66, 90, 43, 48, 0, 112, 64, 117, 49, 79, 108, 6, 53, 99, 57, 0, 29, 1, 69, 97, 5, 77, 42, 65, 98, 75, 28, 20, 126, 55, 67, 4, 70, 44, 107, 68, 23, 121, 13, 0, 11, 52, 101, 89, 113, 92, 127, 125, 0, 114, 131, 116, 7, 30, 8, 84, 27, 22, 15, 81, 63, 96, 0, 128, 122, 25, 59, 18, 73, 2, 105, 129, 0, 34, 41, 39, 9, 47, 16, 51, 0, 118, 91, 14, 58, 60, 95, 40, 100, 0, 83, 0, 132, 0]</t>
  </si>
  <si>
    <t>[0, 132, 118, 95, 40, 0, 78, 87, 56, 123, 110, 24, 37, 102, 0, 109, 74, 26, 54, 32, 88, 62, 35, 0, 50, 38, 103, 10, 133, 3, 130, 17, 0, 76, 82, 12, 124, 33, 86, 72, 19, 83, 0, 21, 45, 94, 93, 42, 65, 28, 75, 20, 126, 55, 67, 22, 27, 4, 70, 44, 98, 8, 107, 84, 68, 6, 0, 127, 69, 119, 104, 99, 46, 106, 85, 80, 0, 64, 79, 36, 66, 53, 23, 30, 81, 15, 63, 7, 121, 77, 90, 58, 0, 128, 115, 92, 31, 114, 131, 11, 122, 0, 100, 52, 117, 49, 61, 57, 29, 125, 0, 112, 1, 71, 120, 111, 43, 48, 101, 0, 129, 116, 89, 113, 108, 5, 97, 13, 96, 59, 73, 0, 34, 41, 2, 39, 18, 25, 105, 0, 60, 14, 9, 47, 16, 51, 91, 0]</t>
  </si>
  <si>
    <t>[0, 87, 117, 12, 90, 113, 6, 5, 96, 53, 129, 49, 2, 99, 52, 126, 0, 95, 118, 85, 24, 36, 125, 25, 112, 22, 137, 114, 32, 16, 0, 29, 57, 44, 72, 66, 19, 61, 48, 65, 15, 8, 51, 84, 0, 123, 27, 115, 34, 131, 38, 69, 94, 108, 26, 9, 23, 4, 62, 0, 71, 81, 33, 135, 14, 102, 100, 67, 42, 59, 60, 39, 30, 7, 0, 124, 88, 70, 10, 74, 50, 31, 97, 13, 58, 35, 110, 109, 0, 45, 80, 41, 78, 92, 107, 132, 93, 130, 127, 64, 133, 120, 73, 20, 0, 134, 40, 37, 17, 11, 47, 119, 128, 101, 116, 68, 83, 136, 86, 0, 75, 105, 82, 106, 77, 43, 46, 55, 18, 1, 21, 103, 28, 0, 3, 91, 89, 104, 63, 138, 122, 111, 76, 54, 121, 79, 56, 0, 98, 0]</t>
  </si>
  <si>
    <t>X_n138</t>
  </si>
  <si>
    <t>[0, 88, 45, 110, 58, 35, 78, 92, 107, 132, 93, 127, 130, 43, 77, 106, 0, 124, 70, 10, 115, 31, 80, 41, 133, 64, 82, 105, 111, 75, 120, 0, 20, 73, 109, 74, 13, 97, 50, 123, 27, 34, 131, 38, 62, 0, 16, 32, 118, 114, 137, 112, 22, 94, 69, 108, 26, 9, 23, 4, 0, 95, 52, 126, 85, 24, 25, 125, 36, 129, 53, 49, 2, 99, 87, 0, 29, 44, 72, 117, 12, 90, 113, 96, 5, 6, 61, 19, 66, 48, 57, 0, 7, 30, 84, 51, 39, 8, 15, 65, 60, 59, 42, 67, 91, 0, 3, 81, 71, 100, 102, 134, 40, 37, 17, 11, 14, 104, 89, 98, 0, 56, 76, 63, 83, 68, 116, 119, 47, 128, 101, 135, 33, 86, 0, 79, 121, 54, 46, 55, 18, 1, 21, 136, 103, 28, 138, 122, 0]</t>
  </si>
  <si>
    <t>[0, 88, 70, 10, 74, 50, 123, 27, 115, 34, 31, 97, 13, 110, 73, 0, 124, 62, 4, 131, 38, 69, 94, 108, 22, 112, 9, 26, 23, 0, 16, 32, 118, 85, 114, 137, 25, 125, 36, 24, 126, 95, 52, 30, 7, 0, 87, 99, 2, 49, 129, 53, 96, 5, 6, 113, 90, 12, 117, 29, 84, 0, 57, 44, 72, 66, 19, 61, 48, 65, 15, 8, 39, 51, 0, 79, 20, 45, 109, 35, 58, 80, 41, 92, 78, 120, 121, 54, 0, 75, 133, 107, 132, 93, 130, 127, 64, 82, 106, 77, 43, 46, 105, 111, 0, 128, 119, 47, 11, 17, 37, 40, 134, 102, 100, 67, 42, 59, 60, 0, 28, 136, 101, 116, 68, 83, 1, 18, 55, 21, 138, 122, 76, 0, 56, 89, 104, 63, 103, 86, 33, 135, 14, 81, 71, 91, 98, 0, 3, 0]</t>
  </si>
  <si>
    <t>[0, 40, 52, 20, 66, 24, 106, 38, 103, 63, 94, 75, 26, 112, 140, 131, 42, 29, 39, 69, 80, 141, 15, 27, 99, 0, 59, 135, 67, 46, 30, 121, 34, 138, 105, 129, 76, 3, 113, 10, 134, 92, 108, 117, 101, 71, 0, 109, 9, 49, 51, 95, 55, 137, 82, 123, 21, 104, 132, 23, 14, 37, 119, 22, 122, 77, 139, 57, 73, 88, 4, 0, 70, 93, 48, 58, 87, 79, 98, 31, 6, 102, 72, 60, 111, 1, 107, 5, 86, 8, 53, 110, 114, 43, 41, 2, 17, 78, 0, 50, 83, 142, 125, 33, 62, 96, 47, 81, 100, 11, 74, 18, 44, 64, 61, 45, 89, 12, 54, 25, 0, 68, 128, 118, 65, 90, 133, 28, 56, 91, 35, 85, 120, 97, 19, 7, 32, 16, 36, 127, 84, 0, 13, 130, 115, 124, 116, 136, 126, 0]</t>
  </si>
  <si>
    <t>X_n142</t>
  </si>
  <si>
    <t>[0, 136, 116, 17, 93, 5, 107, 1, 111, 60, 79, 98, 31, 6, 102, 72, 53, 110, 114, 43, 8, 86, 41, 2, 78, 0, 9, 73, 99, 101, 113, 94, 3, 76, 129, 105, 138, 34, 121, 30, 46, 67, 87, 48, 58, 135, 59, 40, 124, 0, 71, 88, 24, 106, 27, 38, 103, 112, 26, 75, 63, 10, 134, 92, 108, 117, 66, 20, 52, 70, 115, 4, 0, 56, 83, 55, 23, 77, 122, 22, 119, 80, 39, 29, 42, 131, 69, 140, 141, 15, 139, 95, 57, 51, 49, 50, 0, 97, 120, 85, 35, 91, 142, 137, 82, 123, 14, 37, 21, 132, 104, 33, 125, 47, 96, 62, 100, 74, 61, 0, 109, 36, 16, 32, 7, 19, 28, 133, 18, 81, 11, 44, 64, 90, 45, 65, 89, 12, 54, 118, 25, 0, 13, 130, 127, 84, 128, 68, 0, 126, 0]</t>
  </si>
  <si>
    <t>[0, 136, 116, 17, 93, 107, 1, 111, 8, 72, 60, 79, 98, 31, 6, 102, 53, 110, 114, 43, 86, 41, 2, 78, 0, 5, 87, 30, 121, 34, 138, 105, 129, 76, 3, 94, 75, 26, 140, 112, 113, 10, 63, 103, 134, 46, 67, 58, 48, 4, 0, 123, 122, 22, 119, 80, 29, 42, 39, 69, 131, 141, 15, 38, 92, 108, 117, 101, 135, 59, 124, 115, 0, 70, 40, 52, 20, 99, 66, 24, 106, 27, 77, 37, 14, 21, 23, 132, 104, 33, 125, 82, 35, 0, 13, 97, 19, 120, 85, 91, 56, 83, 142, 137, 55, 139, 95, 57, 73, 88, 51, 49, 50, 71, 9, 109, 130, 126, 0, 54, 12, 89, 65, 45, 61, 64, 44, 90, 18, 81, 74, 11, 100, 62, 96, 47, 133, 28, 7, 32, 16, 0, 127, 25, 36, 118, 128, 84, 68, 0]</t>
  </si>
  <si>
    <t>[0, 68, 54, 10, 129, 0, 14, 61, 67, 98, 0, 57, 7, 130, 126, 0, 20, 81, 120, 6, 52, 0, 26, 40, 100, 0, 80, 105, 37, 0, 8, 48, 119, 103, 0, 44, 88, 0, 125, 115, 101, 0, 75, 18, 0, 106, 136, 0, 53, 73, 0, 114, 116, 108, 15, 0, 31, 90, 135, 0, 4, 117, 74, 0, 19, 102, 16, 12, 3, 0, 94, 64, 131, 138, 0, 82, 104, 32, 142, 0, 65, 144, 45, 0, 41, 60, 39, 0, 77, 137, 110, 0, 147, 78, 133, 24, 11, 0, 127, 85, 118, 0, 113, 70, 17, 62, 0, 51, 141, 0, 109, 112, 0, 92, 35, 79, 123, 0, 50, 9, 63, 69, 0, 128, 146, 0, 96, 139, 2, 0, 91, 33, 13, 36, 111, 0, 124, 38, 29, 25, 0, 34, 66, 145, 49, 0, 97, 28, 143, 0, 1, 5, 0, 76, 87, 83, 0, 30, 56, 0, 95, 121, 0, 59, 71, 22, 0, 132, 72, 0, 107, 134, 0, 84, 122, 0, 27, 55, 86, 0, 89, 58, 0, 21, 140, 0, 23, 47, 46, 0, 42, 93, 43, 0, 99, 0]</t>
  </si>
  <si>
    <t>X_n147</t>
  </si>
  <si>
    <t>[0, 142, 70, 113, 104, 0, 127, 112, 2, 0, 110, 82, 77, 109, 0, 32, 134, 62, 0, 123, 66, 13, 36, 33, 79, 0, 137, 85, 23, 0, 122, 35, 0, 96, 146, 92, 17, 0, 139, 91, 0, 128, 34, 111, 0, 22, 55, 49, 145, 87, 0, 71, 59, 143, 0, 1, 5, 0, 28, 25, 29, 11, 0, 43, 76, 95, 0, 97, 132, 0, 83, 58, 0, 69, 63, 24, 9, 38, 45, 0, 56, 30, 0, 102, 51, 50, 0, 60, 147, 133, 94, 19, 0, 141, 78, 65, 0, 64, 144, 131, 8, 0, 138, 41, 0, 6, 3, 12, 117, 0, 16, 74, 108, 0, 114, 116, 135, 0, 15, 90, 125, 37, 0, 31, 100, 115, 48, 0, 52, 103, 119, 101, 0, 26, 105, 20, 0, 80, 40, 4, 0, 120, 81, 7, 0, 124, 53, 130, 0, 57, 61, 67, 14, 0, 42, 68, 54, 10, 98, 0, 44, 129, 0, 73, 47, 0, 75, 106, 0, 18, 88, 0, 99, 89, 0, 126, 118, 136, 0, 46, 86, 107, 0, 84, 27, 0, 121, 140, 0, 93, 21, 0, 72, 39, 0]</t>
  </si>
  <si>
    <t>[0, 20, 80, 120, 119, 6, 0, 57, 7, 81, 52, 8, 0, 130, 101, 100, 15, 0, 26, 48, 103, 0, 40, 105, 0, 114, 115, 12, 102, 0, 37, 135, 3, 31, 0, 53, 90, 0, 125, 116, 117, 131, 19, 0, 4, 74, 108, 0, 98, 67, 61, 14, 0, 16, 144, 94, 0, 60, 64, 138, 126, 0, 65, 78, 133, 45, 0, 124, 147, 41, 0, 141, 9, 24, 63, 11, 0, 68, 54, 10, 129, 0, 51, 50, 0, 38, 69, 29, 25, 0, 30, 56, 0, 44, 47, 0, 143, 28, 97, 0, 87, 5, 76, 0, 132, 121, 0, 1, 71, 49, 111, 0, 95, 59, 0, 106, 88, 0, 83, 140, 0, 55, 145, 66, 13, 36, 33, 79, 0, 34, 139, 0, 32, 113, 0, 93, 72, 0, 22, 27, 0, 96, 146, 92, 17, 0, 82, 70, 35, 2, 0, 39, 21, 43, 0, 122, 58, 0, 89, 46, 0, 73, 23, 0, 123, 91, 0, 128, 112, 0, 86, 84, 134, 0, 42, 75, 0, 62, 85, 77, 0, 104, 109, 99, 0, 18, 136, 0, 110, 142, 127, 118, 0, 107, 137, 0]</t>
  </si>
  <si>
    <t>[0, 53, 64, 82, 115, 134, 94, 108, 140, 119, 91, 31, 46, 38, 0, 95, 42, 57, 124, 104, 75, 116, 133, 126, 70, 100, 137, 96, 59, 122, 51, 4, 121, 0, 36, 17, 112, 58, 69, 71, 0, 84, 152, 12, 6, 0, 25, 34, 0, 146, 68, 138, 93, 55, 19, 72, 52, 83, 0, 142, 81, 114, 127, 97, 118, 151, 43, 56, 132, 10, 103, 33, 130, 0, 143, 11, 7, 0, 26, 63, 37, 54, 44, 135, 73, 128, 90, 0, 2, 0, 20, 76, 85, 50, 77, 48, 98, 148, 45, 0, 22, 3, 0, 21, 0, 16, 0, 74, 105, 129, 120, 107, 78, 61, 101, 62, 13, 0, 27, 32, 80, 113, 110, 144, 47, 0, 88, 66, 123, 136, 60, 99, 92, 150, 106, 35, 67, 79, 30, 0, 8, 117, 0, 49, 14, 145, 89, 109, 40, 86, 141, 87, 102, 0, 24, 39, 41, 139, 0, 28, 9, 0, 29, 5, 0, 1, 125, 111, 131, 149, 0, 23, 15, 0, 18, 0, 65, 147, 0]</t>
  </si>
  <si>
    <t>X_n152</t>
  </si>
  <si>
    <t>[0, 147, 65, 131, 111, 15, 125, 106, 35, 150, 92, 99, 141, 149, 87, 102, 74, 0, 139, 41, 39, 144, 66, 89, 109, 123, 79, 60, 86, 29, 40, 47, 0, 88, 124, 17, 94, 31, 0, 105, 110, 145, 113, 136, 80, 32, 67, 9, 0, 34, 129, 49, 28, 5, 0, 120, 78, 61, 101, 62, 27, 107, 0, 25, 95, 0, 134, 116, 108, 140, 126, 119, 91, 137, 22, 100, 70, 122, 51, 55, 0, 68, 152, 3, 132, 96, 59, 133, 46, 75, 82, 64, 57, 42, 0, 6, 12, 38, 115, 53, 0, 104, 19, 103, 93, 121, 112, 58, 71, 0, 36, 84, 69, 10, 72, 52, 138, 33, 130, 0, 143, 4, 56, 81, 44, 54, 142, 73, 37, 63, 146, 0, 26, 0, 20, 127, 43, 151, 118, 97, 114, 76, 85, 135, 90, 0, 2, 0, 7, 11, 0, 117, 45, 148, 98, 50, 18, 48, 77, 128, 83, 0, 16, 0, 23, 0, 14, 0, 1, 0, 30, 0, 24, 0, 13, 0, 8, 0, 21, 0]</t>
  </si>
  <si>
    <t>[0, 120, 61, 101, 62, 27, 78, 107, 34, 0, 74, 105, 129, 123, 79, 80, 67, 106, 35, 32, 13, 0, 25, 64, 57, 53, 0, 95, 42, 134, 94, 140, 31, 119, 91, 137, 100, 70, 126, 108, 38, 82, 104, 0, 124, 115, 75, 116, 46, 133, 19, 152, 69, 71, 0, 17, 12, 121, 0, 36, 58, 112, 10, 51, 122, 59, 96, 132, 56, 43, 151, 118, 127, 37, 0, 88, 41, 144, 66, 145, 89, 40, 86, 99, 92, 150, 136, 113, 30, 49, 0, 143, 84, 55, 22, 3, 97, 0, 130, 6, 7, 0, 24, 60, 109, 110, 39, 47, 87, 102, 0, 26, 138, 68, 146, 83, 0, 11, 93, 52, 103, 72, 114, 76, 85, 50, 98, 148, 117, 0, 20, 81, 135, 77, 48, 45, 0, 28, 9, 139, 0, 14, 141, 125, 111, 149, 0, 23, 15, 0, 2, 33, 90, 0, 63, 4, 44, 54, 142, 73, 128, 0, 18, 0, 29, 5, 0, 1, 131, 65, 147, 0, 16, 0, 8, 0, 21, 0]</t>
  </si>
  <si>
    <t>[0, 147, 118, 85, 144, 123, 53, 142, 128, 26, 120, 14, 49, 0, 75, 20, 16, 68, 36, 103, 65, 87, 97, 62, 73, 38, 0, 122, 15, 69, 99, 93, 32, 42, 3, 106, 6, 110, 17, 0, 54, 121, 135, 21, 23, 31, 140, 98, 154, 50, 133, 95, 0, 61, 56, 152, 105, 131, 55, 115, 35, 4, 67, 41, 143, 0, 148, 71, 149, 27, 44, 124, 130, 46, 19, 116, 37, 101, 0, 43, 5, 92, 125, 80, 145, 127, 104, 86, 111, 96, 8, 0, 156, 47, 70, 139, 137, 28, 66, 94, 132, 102, 150, 59, 0, 141, 24, 7, 78, 146, 40, 9, 117, 1, 57, 88, 64, 0, 13, 63, 126, 108, 89, 112, 136, 119, 76, 153, 83, 51, 0, 113, 82, 11, 77, 12, 60, 109, 81, 2, 45, 90, 91, 0, 84, 30, 22, 155, 134, 10, 39, 58, 29, 114, 100, 129, 0, 34, 18, 107, 52, 138, 25, 74, 79, 33, 48, 72, 151, 0]</t>
  </si>
  <si>
    <t>X_n156</t>
  </si>
  <si>
    <t>[0, 151, 72, 34, 48, 30, 22, 155, 25, 138, 52, 107, 18, 0, 91, 113, 84, 114, 29, 58, 39, 10, 134, 74, 79, 33, 0, 13, 64, 47, 57, 109, 12, 45, 11, 82, 90, 51, 100, 0, 148, 63, 141, 43, 83, 153, 136, 89, 119, 2, 77, 129, 0, 149, 59, 24, 70, 139, 125, 9, 112, 81, 60, 76, 88, 0, 71, 8, 150, 156, 137, 80, 40, 108, 78, 117, 126, 5, 0, 102, 86, 94, 66, 28, 104, 127, 145, 7, 146, 1, 92, 0, 27, 96, 132, 111, 130, 46, 124, 44, 19, 116, 37, 152, 0, 105, 154, 98, 123, 53, 31, 133, 131, 55, 95, 35, 4, 0, 61, 56, 67, 115, 50, 23, 21, 135, 121, 6, 54, 110, 0, 17, 41, 42, 3, 106, 73, 140, 85, 144, 62, 97, 93, 0, 32, 99, 103, 65, 87, 142, 128, 26, 120, 68, 36, 16, 0, 101, 143, 69, 75, 20, 14, 49, 118, 147, 15, 122, 38, 0]</t>
  </si>
  <si>
    <t>[0, 71, 150, 102, 94, 145, 127, 104, 46, 130, 44, 19, 27, 0, 149, 124, 111, 132, 86, 66, 28, 7, 125, 137, 96, 59, 0, 8, 156, 92, 139, 80, 146, 40, 108, 9, 78, 117, 24, 0, 152, 105, 37, 116, 154, 98, 123, 53, 144, 85, 142, 120, 0, 13, 141, 43, 70, 126, 1, 112, 89, 119, 76, 153, 63, 0, 64, 88, 47, 57, 5, 136, 81, 109, 60, 2, 83, 91, 0, 148, 100, 45, 11, 77, 12, 114, 29, 58, 39, 10, 84, 0, 129, 113, 51, 90, 82, 22, 155, 134, 52, 25, 138, 107, 0, 18, 34, 79, 74, 30, 33, 48, 72, 151, 101, 0, 61, 56, 67, 35, 3, 73, 87, 128, 26, 14, 36, 69, 0, 17, 4, 95, 21, 133, 50, 23, 31, 140, 62, 97, 42, 0, 20, 16, 103, 65, 106, 135, 131, 55, 115, 110, 41, 0, 54, 6, 121, 32, 99, 93, 68, 75, 49, 118, 147, 15, 0, 122, 38, 143, 0]</t>
  </si>
  <si>
    <t>[0, 116, 102, 95, 129, 96, 88, 142, 43, 123, 56, 66, 94, 36, 100, 106, 0, 52, 20, 114, 62, 67, 18, 64, 19, 34, 22, 79, 78, 54, 0, 80, 111, 154, 140, 31, 35, 99, 130, 58, 68, 145, 90, 86, 53, 50, 0, 7, 44, 75, 33, 3, 12, 51, 42, 65, 69, 46, 61, 41, 76, 0, 59, 45, 152, 23, 24, 49, 73, 38, 11, 48, 26, 28, 150, 0, 8, 47, 70, 113, 63, 83, 104, 117, 27, 9, 21, 1, 14, 127, 0, 25, 98, 161, 77, 97, 89, 149, 17, 139, 105, 144, 119, 135, 141, 115, 0, 74, 81, 158, 120, 5, 16, 32, 57, 131, 37, 6, 71, 13, 91, 136, 0, 155, 92, 108, 137, 39, 146, 151, 101, 4, 87, 112, 157, 132, 93, 125, 156, 72, 0, 15, 126, 138, 133, 107, 84, 122, 55, 60, 128, 153, 160, 121, 143, 10, 0, 103, 40, 30, 118, 82, 2, 109, 148, 134, 124, 110, 85, 147, 159, 29, 0]</t>
  </si>
  <si>
    <t>X_n161</t>
  </si>
  <si>
    <t>[0, 8, 76, 41, 61, 46, 69, 65, 42, 51, 12, 70, 113, 63, 83, 0, 78, 34, 7, 44, 75, 33, 3, 64, 18, 19, 22, 79, 0, 80, 116, 31, 88, 123, 43, 142, 96, 129, 95, 102, 114, 62, 67, 20, 52, 0, 53, 86, 99, 130, 58, 35, 36, 94, 56, 66, 100, 106, 140, 154, 111, 0, 50, 45, 152, 28, 26, 48, 73, 38, 11, 68, 145, 90, 150, 0, 136, 91, 108, 16, 32, 57, 131, 5, 37, 71, 13, 6, 49, 24, 23, 0, 155, 92, 93, 132, 112, 87, 4, 101, 151, 146, 39, 137, 120, 158, 81, 74, 0, 156, 125, 103, 40, 157, 30, 118, 159, 135, 119, 141, 115, 29, 15, 72, 0, 127, 139, 134, 148, 109, 2, 82, 147, 121, 144, 105, 10, 0, 25, 126, 143, 84, 153, 128, 124, 110, 160, 85, 0, 59, 138, 133, 107, 122, 1, 55, 60, 21, 9, 14, 149, 0, 54, 47, 98, 161, 77, 104, 117, 27, 97, 89, 17, 0]</t>
  </si>
  <si>
    <t>[0, 25, 47, 98, 83, 104, 63, 113, 70, 65, 69, 46, 61, 41, 76, 54, 0, 8, 42, 51, 12, 3, 33, 64, 18, 19, 44, 75, 7, 34, 22, 78, 0, 79, 20, 67, 62, 114, 102, 95, 129, 96, 88, 142, 43, 123, 56, 66, 0, 80, 86, 130, 99, 35, 36, 94, 100, 106, 31, 140, 154, 111, 116, 52, 0, 127, 161, 77, 97, 117, 27, 9, 21, 1, 14, 89, 17, 139, 15, 0, 29, 10, 105, 126, 138, 149, 133, 107, 84, 122, 55, 60, 128, 160, 144, 0, 53, 90, 145, 68, 58, 11, 38, 73, 48, 23, 26, 28, 150, 45, 50, 0, 141, 135, 147, 159, 82, 2, 109, 148, 134, 124, 110, 153, 85, 121, 143, 119, 0, 152, 24, 49, 6, 13, 71, 37, 5, 131, 57, 32, 16, 120, 74, 91, 0, 72, 115, 103, 118, 30, 40, 157, 112, 87, 4, 101, 132, 93, 156, 59, 0, 155, 92, 125, 108, 151, 146, 39, 137, 158, 81, 136, 0]</t>
  </si>
  <si>
    <t>[0, 43, 117, 147, 107, 64, 104, 12, 57, 77, 13, 1, 122, 111, 88, 163, 145, 129, 148, 0, 55, 153, 109, 16, 2, 29, 10, 51, 146, 84, 37, 136, 114, 8, 116, 97, 38, 0, 44, 30, 159, 17, 96, 14, 156, 115, 151, 131, 4, 160, 149, 21, 113, 143, 130, 3, 121, 0, 15, 85, 125, 66, 20, 49, 91, 161, 90, 94, 166, 106, 33, 74, 41, 138, 128, 134, 0, 79, 92, 75, 28, 32, 72, 53, 112, 59, 95, 158, 60, 132, 154, 71, 76, 152, 0, 46, 140, 52, 62, 123, 35, 26, 165, 78, 126, 127, 61, 58, 56, 155, 47, 118, 6, 0, 54, 23, 139, 142, 82, 120, 39, 11, 141, 70, 133, 24, 31, 40, 50, 19, 102, 108, 27, 144, 0, 86, 119, 48, 68, 162, 9, 157, 93, 25, 73, 22, 69, 83, 137, 7, 89, 67, 0, 42, 18, 100, 135, 150, 98, 45, 81, 164, 34, 65, 110, 101, 36, 105, 80, 87, 0, 99, 63, 124, 103, 5, 0]</t>
  </si>
  <si>
    <t>X_n166</t>
  </si>
  <si>
    <t>[0, 89, 6, 7, 35, 47, 126, 127, 61, 58, 56, 155, 118, 93, 25, 73, 22, 69, 83, 137, 0, 134, 48, 68, 62, 128, 74, 33, 166, 106, 78, 165, 26, 123, 162, 9, 157, 0, 119, 138, 41, 90, 94, 161, 91, 49, 147, 20, 43, 66, 125, 156, 85, 14, 52, 15, 0, 140, 115, 117, 107, 64, 104, 12, 57, 77, 13, 1, 111, 114, 148, 97, 151, 17, 159, 46, 0, 92, 55, 131, 4, 2, 136, 37, 88, 122, 163, 145, 129, 8, 153, 116, 38, 96, 0, 44, 30, 149, 109, 16, 29, 28, 10, 84, 146, 51, 72, 32, 75, 160, 21, 130, 0, 71, 60, 132, 82, 133, 70, 141, 11, 39, 120, 53, 112, 59, 95, 158, 113, 143, 0, 79, 3, 76, 154, 142, 19, 50, 24, 31, 40, 135, 150, 98, 45, 81, 164, 100, 102, 27, 0, 152, 121, 42, 54, 18, 23, 139, 108, 65, 34, 110, 101, 36, 105, 80, 144, 87, 124, 0, 99, 63, 103, 86, 67, 5, 0]</t>
  </si>
  <si>
    <t>[0, 89, 6, 7, 137, 25, 73, 22, 69, 83, 56, 58, 61, 155, 127, 126, 47, 118, 93, 134, 0, 157, 9, 123, 35, 26, 165, 78, 106, 94, 166, 33, 74, 138, 62, 162, 68, 48, 0, 20, 147, 49, 64, 107, 57, 77, 13, 122, 111, 12, 104, 91, 161, 90, 41, 128, 0, 156, 115, 148, 8, 114, 136, 37, 88, 1, 163, 145, 129, 117, 43, 66, 125, 85, 52, 119, 0, 44, 30, 92, 55, 151, 153, 116, 97, 38, 14, 96, 17, 159, 15, 46, 140, 67, 0, 131, 149, 4, 109, 16, 2, 29, 28, 10, 84, 146, 51, 72, 32, 75, 160, 21, 0, 54, 60, 19, 31, 24, 133, 70, 141, 39, 11, 82, 120, 53, 112, 59, 95, 158, 143, 0, 110, 65, 34, 164, 81, 45, 98, 150, 135, 40, 100, 102, 50, 142, 132, 154, 113, 71, 0, 121, 79, 3, 130, 76, 23, 139, 108, 27, 101, 36, 105, 80, 18, 144, 87, 42, 124, 0, 99, 63, 152, 103, 86, 5, 0]</t>
  </si>
  <si>
    <t>[0, 166, 3, 156, 0, 57, 76, 0, 55, 20, 33, 0, 26, 83, 0, 139, 21, 0, 28, 25, 0, 54, 14, 4, 0, 159, 120, 0, 167, 129, 0, 165, 168, 0, 135, 154, 134, 0, 144, 123, 60, 0, 17, 128, 23, 10, 5, 9, 29, 8, 64, 19, 0, 35, 86, 136, 0, 145, 116, 13, 0, 138, 146, 0, 1, 140, 82, 63, 104, 0, 69, 102, 0, 170, 78, 81, 39, 31, 56, 44, 0, 141, 88, 0, 42, 45, 72, 79, 66, 0, 169, 77, 101, 0, 151, 73, 30, 15, 43, 0, 48, 53, 11, 92, 110, 114, 70, 22, 0, 38, 6, 80, 0, 59, 74, 0, 152, 131, 62, 161, 68, 171, 0, 109, 2, 0, 127, 107, 149, 155, 103, 87, 0, 24, 52, 0, 132, 96, 94, 37, 105, 121, 0, 71, 148, 0, 117, 118, 0, 75, 97, 0, 112, 99, 89, 93, 164, 108, 7, 122, 0, 126, 47, 0, 49, 40, 0, 58, 157, 0, 113, 90, 0, 18, 158, 98, 142, 119, 0, 95, 162, 0, 36, 125, 0, 27, 133, 0, 163, 50, 0, 160, 46, 0, 51, 106, 16, 32, 91, 61, 67, 0, 41, 84, 0, 12, 85, 0, 115, 111, 0, 34, 100, 0, 65, 137, 0, 130, 153, 0, 143, 150, 0, 147, 0, 124, 0]</t>
  </si>
  <si>
    <t>X_n171</t>
  </si>
  <si>
    <t>[0, 88, 53, 11, 161, 68, 51, 0, 48, 92, 114, 131, 152, 132, 22, 0, 61, 69, 141, 0, 65, 146, 145, 0, 60, 120, 123, 0, 144, 138, 13, 0, 112, 87, 164, 107, 103, 110, 62, 0, 102, 55, 0, 116, 159, 0, 25, 28, 0, 165, 21, 0, 70, 149, 155, 43, 0, 168, 83, 0, 18, 96, 98, 99, 122, 6, 80, 0, 105, 93, 89, 94, 142, 121, 171, 0, 7, 108, 119, 37, 158, 91, 16, 106, 0, 111, 32, 127, 67, 0, 84, 41, 0, 85, 12, 0, 133, 160, 169, 0, 162, 46, 0, 163, 157, 0, 36, 50, 0, 27, 126, 0, 125, 95, 0, 34, 90, 0, 71, 58, 0, 148, 75, 0, 113, 47, 0, 118, 117, 0, 2, 24, 151, 0, 49, 97, 0, 40, 52, 0, 74, 59, 73, 0, 109, 100, 0, 15, 66, 30, 44, 63, 0, 38, 79, 45, 0, 72, 56, 64, 8, 31, 0, 39, 78, 81, 29, 9, 5, 10, 23, 0, 115, 150, 0, 42, 153, 0, 166, 3, 0, 140, 82, 33, 14, 17, 0, 135, 128, 4, 154, 0, 1, 19, 104, 147, 0, 156, 54, 20, 76, 0, 26, 139, 0, 101, 137, 0, 134, 77, 0, 143, 130, 0, 136, 129, 0, 170, 57, 167, 0, 35, 86, 0, 124, 0]</t>
  </si>
  <si>
    <t>[0, 73, 44, 30, 66, 59, 0, 31, 8, 64, 56, 72, 0, 45, 39, 81, 29, 9, 5, 10, 23, 128, 19, 0, 15, 79, 78, 82, 1, 104, 0, 43, 63, 140, 17, 170, 0, 135, 14, 33, 20, 54, 0, 4, 55, 0, 156, 57, 76, 0, 26, 166, 0, 38, 6, 151, 0, 3, 154, 86, 0, 83, 21, 0, 159, 120, 0, 139, 168, 67, 0, 74, 109, 0, 28, 165, 0, 145, 146, 53, 11, 68, 0, 48, 102, 144, 0, 24, 97, 0, 25, 88, 0, 116, 141, 0, 2, 75, 0, 123, 138, 13, 0, 60, 69, 65, 0, 52, 71, 0, 112, 70, 110, 92, 161, 171, 0, 131, 103, 114, 132, 22, 0, 105, 98, 89, 96, 149, 62, 152, 0, 47, 157, 0, 87, 155, 94, 93, 158, 164, 99, 142, 0, 50, 58, 80, 0, 90, 117, 0, 34, 118, 0, 126, 163, 0, 121, 107, 37, 119, 108, 7, 91, 0, 95, 113, 0, 148, 40, 0, 160, 46, 0, 125, 36, 0, 133, 27, 0, 84, 85, 0, 41, 12, 0, 122, 127, 32, 16, 106, 0, 42, 77, 169, 0, 101, 136, 0, 49, 115, 0, 162, 111, 0, 143, 130, 0, 150, 147, 0, 100, 153, 0, 134, 0, 137, 18, 61, 51, 0, 35, 167, 0, 124, 0, 129, 0]</t>
  </si>
  <si>
    <t>[0, 23, 150, 46, 59, 94, 50, 141, 108, 146, 112, 68, 152, 126, 0, 27, 32, 49, 174, 40, 0, 88, 18, 130, 107, 87, 115, 160, 51, 0, 61, 76, 105, 5, 129, 80, 52, 110, 134, 55, 158, 44, 0, 66, 149, 132, 78, 43, 20, 116, 82, 89, 137, 136, 72, 153, 90, 0, 63, 67, 124, 47, 16, 97, 106, 138, 0, 56, 39, 62, 159, 73, 102, 17, 140, 139, 92, 0, 169, 42, 53, 21, 91, 71, 41, 65, 118, 144, 104, 99, 0, 133, 162, 28, 45, 142, 77, 86, 57, 74, 151, 135, 154, 0, 167, 123, 145, 121, 84, 8, 113, 58, 172, 0, 29, 37, 60, 0, 98, 111, 25, 2, 0, 6, 114, 0, 120, 127, 101, 161, 79, 147, 166, 155, 12, 93, 0, 35, 119, 48, 83, 38, 128, 64, 173, 131, 0, 7, 117, 81, 170, 100, 109, 54, 163, 70, 0, 157, 19, 26, 143, 175, 0, 34, 31, 0, 122, 171, 36, 14, 0, 69, 75, 103, 96, 95, 164, 168, 85, 125, 4, 148, 0, 24, 165, 0, 22, 0, 13, 33, 0, 3, 30, 0, 15, 0, 10, 0, 1, 0, 9, 11, 0, 156, 0]</t>
  </si>
  <si>
    <t>X_n175</t>
  </si>
  <si>
    <t>[0, 143, 14, 120, 36, 127, 93, 172, 153, 90, 0, 101, 161, 155, 166, 147, 79, 10, 175, 0, 157, 121, 113, 19, 26, 0, 111, 58, 84, 123, 12, 167, 140, 62, 106, 0, 139, 67, 72, 145, 8, 102, 73, 98, 0, 39, 124, 47, 132, 43, 20, 116, 82, 89, 137, 136, 159, 60, 0, 149, 78, 150, 16, 49, 160, 42, 0, 17, 27, 61, 40, 0, 171, 25, 31, 0, 169, 88, 32, 23, 97, 0, 174, 46, 59, 94, 50, 141, 108, 146, 5, 130, 76, 115, 51, 0, 66, 18, 68, 112, 107, 87, 133, 0, 144, 158, 134, 110, 80, 129, 37, 152, 126, 105, 53, 0, 21, 55, 29, 162, 0, 44, 28, 52, 83, 38, 48, 45, 142, 77, 57, 0, 91, 86, 119, 4, 128, 125, 168, 164, 95, 117, 0, 118, 71, 35, 85, 64, 81, 96, 103, 170, 173, 0, 74, 41, 54, 109, 100, 7, 63, 138, 114, 0, 104, 11, 131, 163, 70, 65, 151, 135, 0, 34, 2, 0, 13, 33, 75, 0, 56, 92, 1, 69, 165, 0, 22, 154, 0, 24, 99, 0, 122, 30, 9, 148, 156, 0, 3, 0, 6, 0, 15, 0]</t>
  </si>
  <si>
    <t>[0, 175, 143, 14, 3, 111, 98, 0, 114, 171, 10, 60, 0, 120, 26, 79, 147, 166, 36, 127, 93, 90, 0, 153, 172, 58, 145, 121, 84, 113, 155, 19, 161, 101, 157, 0, 12, 123, 72, 102, 159, 62, 63, 0, 8, 136, 137, 89, 82, 116, 132, 124, 40, 0, 56, 2, 73, 25, 167, 0, 39, 15, 140, 139, 106, 138, 169, 0, 47, 149, 78, 20, 43, 59, 94, 141, 108, 50, 46, 150, 42, 0, 30, 31, 122, 0, 67, 97, 17, 66, 51, 144, 92, 0, 16, 49, 174, 88, 61, 160, 53, 118, 0, 32, 23, 115, 44, 71, 135, 0, 104, 5, 130, 27, 0, 18, 68, 152, 126, 107, 87, 0, 6, 0, 76, 105, 146, 112, 37, 129, 80, 52, 110, 134, 158, 74, 0, 21, 55, 29, 162, 0, 133, 142, 35, 45, 119, 48, 83, 128, 38, 77, 0, 156, 28, 125, 168, 164, 95, 96, 103, 109, 69, 165, 0, 34, 86, 91, 57, 41, 99, 154, 0, 148, 65, 173, 81, 64, 117, 85, 4, 0, 7, 170, 100, 131, 151, 0, 13, 33, 0, 163, 1, 75, 0, 24, 54, 70, 0, 22, 0, 11, 9, 0]</t>
  </si>
  <si>
    <t>[0, 145, 13, 77, 136, 133, 59, 180, 148, 0, 129, 173, 119, 28, 69, 100, 56, 38, 0, 112, 139, 22, 48, 6, 126, 120, 101, 0, 106, 154, 99, 16, 50, 94, 146, 82, 0, 160, 172, 141, 1, 81, 66, 72, 41, 0, 25, 153, 46, 74, 166, 103, 134, 7, 0, 168, 91, 83, 125, 167, 87, 147, 39, 0, 174, 110, 175, 117, 35, 33, 151, 162, 0, 45, 31, 75, 113, 4, 53, 57, 123, 0, 155, 118, 34, 97, 164, 37, 15, 150, 0, 170, 138, 115, 179, 5, 135, 24, 71, 0, 17, 10, 111, 156, 127, 177, 40, 178, 0, 105, 64, 43, 54, 86, 62, 23, 55, 0, 104, 165, 108, 12, 70, 18, 76, 121, 0, 144, 124, 176, 98, 88, 130, 73, 67, 0, 114, 8, 80, 159, 171, 96, 58, 21, 0, 19, 68, 109, 161, 93, 3, 102, 78, 0, 11, 49, 137, 14, 36, 158, 20, 107, 0, 143, 60, 79, 30, 9, 128, 142, 0, 47, 157, 42, 84, 27, 163, 51, 52, 0, 132, 44, 32, 61, 65, 131, 92, 116, 0, 152, 95, 90, 63, 26, 29, 122, 0, 140, 169, 85, 89, 2, 149, 0]</t>
  </si>
  <si>
    <t>X_n180</t>
  </si>
  <si>
    <t>[0, 152, 52, 95, 44, 61, 65, 32, 132, 0, 143, 47, 51, 116, 92, 131, 169, 140, 0, 142, 29, 84, 89, 2, 85, 63, 149, 0, 163, 90, 26, 27, 122, 157, 42, 11, 0, 67, 96, 171, 79, 30, 60, 49, 19, 0, 114, 130, 68, 137, 158, 36, 9, 128, 0, 73, 88, 20, 58, 80, 159, 14, 109, 0, 144, 176, 78, 21, 3, 93, 107, 161, 0, 104, 165, 76, 18, 8, 102, 98, 124, 0, 108, 12, 70, 121, 135, 179, 71, 55, 0, 62, 54, 127, 37, 15, 156, 111, 43, 0, 24, 5, 86, 40, 4, 118, 113, 75, 0, 10, 177, 150, 97, 164, 147, 87, 167, 0, 110, 175, 117, 53, 39, 34, 64, 23, 0, 57, 162, 91, 33, 151, 35, 178, 105, 0, 31, 168, 7, 134, 125, 103, 94, 119, 0, 126, 72, 66, 153, 146, 166, 83, 115, 0, 174, 41, 25, 82, 46, 74, 50, 69, 0, 170, 155, 123, 48, 6, 22, 138, 17, 0, 120, 160, 81, 1, 16, 100, 28, 173, 0, 154, 56, 99, 141, 172, 106, 139, 101, 0, 45, 112, 59, 133, 38, 129, 136, 77, 0, 148, 180, 13, 145, 0]</t>
  </si>
  <si>
    <t>[0, 43, 177, 150, 164, 37, 15, 127, 54, 0, 10, 34, 97, 40, 156, 111, 86, 105, 0, 75, 118, 4, 39, 147, 87, 167, 125, 0, 178, 113, 117, 53, 33, 134, 83, 7, 0, 175, 151, 103, 166, 146, 94, 69, 119, 0, 57, 35, 153, 82, 46, 74, 50, 1, 0, 31, 110, 91, 81, 16, 100, 28, 56, 0, 144, 12, 121, 62, 64, 5, 179, 17, 0, 23, 70, 76, 18, 159, 171, 96, 8, 0, 138, 115, 162, 66, 141, 99, 173, 172, 0, 123, 174, 168, 72, 25, 154, 38, 129, 0, 55, 71, 24, 135, 108, 124, 165, 104, 0, 155, 48, 41, 160, 106, 22, 6, 126, 0, 114, 73, 176, 98, 21, 102, 78, 130, 0, 67, 88, 93, 3, 58, 80, 158, 161, 0, 11, 79, 30, 36, 20, 107, 109, 68, 0, 19, 49, 137, 14, 9, 128, 60, 143, 0, 47, 122, 157, 42, 84, 116, 92, 131, 0, 142, 52, 51, 27, 29, 163, 95, 152, 0, 149, 65, 169, 85, 89, 2, 26, 90, 0, 170, 120, 139, 59, 133, 136, 77, 13, 0, 140, 63, 61, 32, 44, 132, 0, 45, 148, 101, 112, 180, 145, 0]</t>
  </si>
  <si>
    <t>[0, 172, 68, 155, 58, 176, 13, 0, 2, 69, 159, 16, 77, 9, 183, 182, 30, 93, 28, 0, 19, 35, 180, 11, 94, 54, 112, 20, 66, 135, 71, 184, 129, 0, 12, 99, 84, 27, 89, 98, 151, 122, 139, 102, 97, 128, 0, 171, 85, 24, 4, 140, 126, 173, 49, 73, 158, 14, 0, 108, 170, 175, 74, 82, 39, 91, 45, 168, 162, 5, 181, 0, 33, 104, 177, 64, 117, 132, 65, 34, 148, 120, 47, 143, 8, 0, 119, 63, 70, 50, 92, 44, 138, 21, 147, 55, 48, 179, 165, 153, 0, 145, 136, 51, 83, 134, 78, 75, 81, 106, 150, 29, 95, 0, 52, 100, 115, 118, 36, 61, 157, 17, 80, 110, 3, 161, 0, 123, 125, 137, 169, 146, 76, 46, 57, 62, 56, 167, 141, 127, 0, 101, 114, 142, 156, 79, 149, 105, 23, 113, 178, 174, 0, 130, 131, 10, 6, 133, 160, 25, 109, 32, 1, 144, 163, 96, 87, 0, 22, 40, 15, 18, 116, 103, 31, 90, 7, 185, 37, 59, 166, 0, 107, 111, 38, 43, 41, 53, 154, 164, 121, 88, 72, 86, 42, 0, 26, 124, 152, 67, 60, 0]</t>
  </si>
  <si>
    <t>X_n185</t>
  </si>
  <si>
    <t>[0, 2, 69, 159, 183, 182, 30, 93, 28, 172, 68, 155, 58, 176, 0, 9, 77, 16, 19, 35, 180, 11, 112, 54, 94, 135, 71, 184, 0, 43, 181, 170, 12, 74, 128, 84, 27, 89, 98, 20, 66, 129, 0, 108, 175, 82, 99, 102, 151, 122, 139, 97, 168, 162, 5, 0, 38, 41, 53, 154, 45, 91, 39, 29, 95, 145, 72, 0, 22, 121, 101, 134, 75, 81, 106, 83, 51, 150, 136, 87, 164, 0, 88, 37, 15, 116, 174, 100, 78, 52, 96, 18, 40, 86, 111, 0, 59, 31, 103, 163, 80, 157, 61, 36, 118, 142, 114, 178, 0, 127, 141, 130, 144, 156, 79, 161, 149, 110, 17, 3, 115, 0, 42, 185, 7, 90, 32, 1, 113, 23, 105, 109, 25, 160, 133, 0, 67, 166, 131, 10, 6, 62, 56, 57, 46, 76, 47, 143, 153, 0, 152, 167, 137, 169, 146, 147, 55, 48, 92, 21, 138, 44, 148, 123, 0, 124, 120, 125, 179, 50, 70, 63, 165, 34, 65, 132, 117, 8, 0, 4, 173, 126, 49, 140, 33, 104, 177, 64, 119, 73, 158, 0, 13, 171, 24, 85, 14, 26, 107, 60, 0]</t>
  </si>
  <si>
    <t>[0, 172, 68, 155, 58, 176, 13, 24, 4, 126, 49, 173, 85, 171, 0, 28, 60, 14, 158, 8, 119, 64, 177, 104, 33, 140, 0, 77, 16, 19, 35, 180, 11, 94, 54, 112, 20, 66, 135, 9, 0, 183, 159, 129, 184, 71, 98, 89, 27, 84, 99, 12, 108, 0, 170, 175, 82, 97, 139, 122, 151, 102, 128, 74, 182, 93, 30, 0, 5, 168, 136, 51, 150, 29, 39, 91, 45, 181, 43, 107, 0, 95, 106, 81, 75, 36, 61, 157, 110, 118, 115, 78, 134, 83, 0, 65, 50, 44, 138, 21, 92, 48, 179, 70, 63, 34, 132, 117, 0, 114, 79, 149, 80, 17, 3, 156, 142, 52, 87, 145, 0, 165, 148, 55, 147, 169, 146, 76, 57, 46, 137, 125, 120, 123, 47, 0, 130, 185, 131, 10, 133, 25, 160, 6, 62, 56, 167, 141, 127, 0, 40, 18, 174, 100, 113, 161, 23, 105, 109, 32, 90, 7, 37, 0, 73, 153, 143, 59, 22, 166, 152, 124, 26, 0, 88, 15, 31, 116, 103, 163, 144, 1, 178, 96, 101, 121, 42, 0, 67, 111, 86, 72, 164, 162, 154, 53, 41, 38, 69, 2, 0]</t>
  </si>
  <si>
    <t>[0, 131, 118, 166, 175, 11, 116, 122, 82, 32, 180, 76, 41, 50, 121, 142, 43, 10, 103, 72, 139, 37, 0, 31, 99, 45, 14, 170, 16, 44, 147, 158, 155, 17, 79, 60, 157, 67, 117, 26, 49, 119, 106, 0, 128, 73, 24, 109, 35, 91, 90, 3, 27, 53, 124, 140, 154, 162, 65, 114, 9, 134, 132, 173, 51, 129, 184, 0, 160, 165, 108, 92, 94, 69, 164, 23, 111, 74, 161, 33, 7, 189, 187, 15, 20, 59, 68, 5, 36, 30, 0, 168, 85, 104, 39, 48, 42, 8, 100, 62, 96, 107, 113, 55, 179, 75, 93, 81, 88, 182, 0, 135, 115, 21, 178, 56, 174, 40, 61, 153, 18, 185, 84, 98, 141, 70, 123, 176, 95, 66, 0, 46, 145, 144, 89, 2, 38, 130, 54, 126, 181, 152, 186, 101, 137, 150, 138, 159, 58, 13, 0, 112, 169, 78, 97, 143, 25, 183, 136, 167, 148, 177, 71, 52, 47, 146, 87, 151, 125, 86, 77, 6, 22, 12, 80, 28, 102, 29, 0, 63, 172, 83, 1, 149, 156, 133, 127, 120, 171, 110, 4, 34, 163, 64, 57, 188, 19, 105, 0]</t>
  </si>
  <si>
    <t>X_n189</t>
  </si>
  <si>
    <t>[0, 106, 119, 49, 26, 117, 157, 175, 11, 122, 161, 173, 75, 81, 93, 51, 166, 170, 16, 149, 184, 45, 99, 118, 131, 0, 1, 139, 133, 129, 108, 10, 150, 55, 164, 79, 82, 116, 60, 132, 115, 145, 92, 135, 46, 67, 156, 14, 31, 0, 147, 38, 2, 35, 68, 23, 113, 91, 126, 98, 3, 65, 162, 17, 155, 134, 74, 158, 121, 50, 94, 144, 142, 103, 72, 160, 29, 0, 83, 127, 44, 168, 28, 89, 109, 179, 9, 180, 32, 53, 7, 33, 107, 111, 69, 178, 21, 88, 165, 182, 37, 0, 159, 104, 8, 62, 59, 114, 20, 154, 189, 140, 42, 101, 36, 39, 138, 43, 172, 0, 120, 102, 58, 85, 6, 130, 56, 100, 90, 96, 27, 15, 187, 124, 40, 84, 48, 77, 73, 34, 4, 163, 110, 171, 0, 112, 169, 12, 136, 146, 186, 87, 152, 70, 141, 153, 61, 18, 185, 76, 54, 181, 41, 174, 151, 137, 176, 125, 86, 22, 30, 80, 0, 63, 66, 13, 128, 95, 78, 97, 143, 24, 5, 47, 52, 71, 123, 177, 148, 167, 183, 25, 64, 57, 188, 19, 105, 0]</t>
  </si>
  <si>
    <t>[0, 106, 119, 49, 26, 117, 175, 11, 60, 116, 122, 82, 140, 189, 17, 79, 155, 134, 74, 135, 108, 99, 118, 131, 0, 103, 159, 115, 121, 113, 91, 59, 114, 65, 20, 53, 154, 162, 33, 107, 161, 132, 173, 157, 166, 16, 14, 31, 0, 170, 51, 93, 75, 158, 164, 23, 111, 7, 187, 27, 9, 96, 55, 69, 50, 94, 145, 81, 92, 46, 67, 129, 139, 45, 0, 156, 144, 178, 179, 62, 90, 3, 15, 124, 40, 32, 61, 180, 153, 84, 18, 185, 76, 181, 130, 21, 68, 35, 1, 29, 0, 88, 95, 25, 136, 167, 148, 98, 141, 126, 54, 174, 48, 42, 100, 8, 56, 109, 89, 104, 142, 58, 72, 184, 37, 0, 149, 133, 10, 43, 28, 138, 85, 2, 6, 38, 137, 151, 41, 70, 186, 152, 87, 101, 125, 77, 22, 36, 39, 80, 112, 102, 83, 0, 168, 97, 143, 183, 123, 177, 52, 71, 146, 47, 5, 176, 86, 12, 24, 147, 150, 30, 78, 169, 73, 44, 165, 160, 182, 0, 63, 172, 127, 120, 13, 171, 4, 34, 128, 163, 110, 66, 64, 57, 188, 19, 105, 0]</t>
  </si>
  <si>
    <t>[0, 65, 51, 153, 133, 121, 0, 25, 27, 0, 116, 60, 162, 0, 1, 79, 0, 127, 97, 175, 111, 94, 140, 0, 22, 6, 0, 141, 102, 171, 128, 0, 73, 132, 173, 0, 62, 138, 83, 96, 0, 69, 109, 87, 0, 63, 179, 32, 0, 68, 80, 0, 41, 157, 0, 30, 34, 193, 125, 0, 177, 2, 28, 0, 137, 139, 0, 154, 165, 148, 185, 0, 126, 129, 16, 190, 0, 101, 146, 0, 82, 84, 56, 59, 0, 178, 77, 49, 0, 172, 124, 192, 0, 45, 145, 76, 15, 181, 184, 70, 0, 169, 151, 0, 112, 7, 194, 40, 19, 182, 0, 4, 95, 37, 123, 99, 0, 89, 47, 55, 75, 93, 5, 81, 0, 149, 136, 105, 187, 103, 134, 0, 144, 166, 176, 0, 110, 113, 122, 188, 0, 43, 38, 21, 0, 156, 119, 130, 0, 186, 142, 100, 174, 0, 8, 158, 135, 61, 0, 191, 114, 10, 0, 23, 18, 26, 14, 0, 168, 74, 88, 0, 33, 143, 46, 48, 0, 53, 85, 71, 24, 90, 66, 0, 170, 9, 72, 57, 78, 67, 0, 152, 120, 155, 0, 92, 36, 0, 42, 164, 115, 39, 17, 0, 44, 35, 58, 0, 20, 161, 91, 108, 12, 0, 117, 98, 131, 167, 107, 11, 0, 86, 106, 180, 54, 0, 189, 64, 0, 50, 3, 0, 160, 29, 0, 150, 183, 159, 0, 147, 163, 0, 31, 52, 118, 0, 13, 104, 0]</t>
  </si>
  <si>
    <t>X_n194</t>
  </si>
  <si>
    <t>[0, 5, 40, 15, 76, 7, 70, 0, 182, 19, 81, 145, 84, 0, 185, 96, 83, 65, 0, 30, 193, 56, 124, 0, 25, 22, 0, 138, 51, 127, 153, 0, 27, 121, 175, 102, 111, 0, 162, 79, 0, 6, 62, 34, 0, 1, 60, 173, 0, 171, 109, 133, 97, 94, 140, 0, 68, 141, 177, 0, 77, 87, 128, 69, 0, 95, 28, 0, 49, 2, 37, 123, 0, 122, 113, 178, 0, 149, 136, 105, 186, 103, 134, 0, 4, 187, 142, 100, 0, 53, 135, 158, 174, 110, 0, 88, 114, 156, 0, 8, 10, 61, 188, 0, 168, 85, 74, 0, 143, 71, 152, 0, 106, 90, 24, 33, 46, 0, 17, 66, 120, 155, 98, 42, 0, 52, 13, 0, 180, 164, 39, 48, 0, 29, 64, 191, 0, 12, 108, 167, 161, 20, 115, 0, 86, 11, 91, 117, 0, 58, 160, 54, 0, 35, 189, 131, 107, 78, 57, 0, 183, 99, 118, 104, 0, 44, 36, 67, 0, 31, 21, 92, 9, 55, 47, 0, 3, 170, 26, 0, 89, 72, 18, 93, 0, 14, 23, 38, 75, 0, 43, 194, 181, 184, 0, 50, 169, 0, 151, 112, 192, 0, 190, 137, 159, 0, 45, 82, 172, 146, 0, 101, 16, 0, 126, 129, 59, 148, 0, 139, 165, 154, 0, 32, 125, 179, 0, 132, 63, 0, 73, 41, 0, 157, 80, 144, 0, 116, 166, 176, 0, 130, 163, 0, 119, 147, 0, 150, 0]</t>
  </si>
  <si>
    <t>[0, 5, 43, 38, 0, 182, 19, 40, 15, 76, 84, 0, 70, 7, 81, 181, 184, 112, 0, 45, 192, 124, 151, 0, 169, 194, 145, 82, 0, 190, 172, 32, 173, 0, 93, 75, 55, 18, 23, 14, 0, 126, 129, 56, 59, 0, 139, 146, 0, 101, 16, 0, 185, 148, 165, 154, 0, 125, 193, 34, 0, 137, 179, 159, 0, 96, 83, 62, 0, 30, 138, 65, 51, 153, 0, 27, 121, 127, 97, 133, 94, 0, 63, 132, 0, 162, 79, 0, 60, 25, 177, 0, 175, 102, 111, 109, 0, 140, 141, 128, 171, 0, 73, 41, 0, 116, 1, 157, 0, 22, 69, 87, 0, 6, 2, 0, 68, 28, 144, 0, 47, 26, 72, 9, 89, 21, 0, 49, 37, 95, 0, 123, 103, 105, 187, 77, 178, 0, 80, 176, 130, 0, 174, 158, 100, 186, 136, 4, 149, 0, 170, 92, 57, 78, 107, 67, 0, 142, 135, 0, 3, 50, 0, 36, 44, 54, 0, 31, 86, 35, 58, 0, 64, 189, 0, 11, 167, 131, 117, 12, 0, 106, 98, 160, 0, 42, 164, 155, 161, 91, 108, 180, 0, 52, 29, 0, 115, 120, 90, 17, 0, 39, 20, 66, 0, 188, 74, 53, 85, 0, 113, 134, 110, 0, 152, 24, 71, 48, 0, 191, 8, 10, 61, 0, 118, 147, 183, 0, 166, 119, 0, 104, 13, 0, 33, 168, 143, 0, 150, 99, 0, 163, 156, 0, 122, 114, 88, 46, 0]</t>
  </si>
  <si>
    <t>[0, 79, 162, 11, 31, 18, 0, 20, 178, 84, 12, 32, 0, 76, 74, 5, 113, 28, 10, 0, 125, 121, 154, 78, 27, 65, 0, 63, 179, 48, 45, 106, 40, 0, 58, 185, 77, 70, 88, 0, 150, 85, 129, 109, 4, 26, 0, 92, 57, 163, 188, 46, 194, 0, 142, 151, 68, 67, 145, 14, 0, 55, 72, 62, 190, 167, 186, 0, 17, 53, 123, 182, 39, 52, 187, 193, 87, 140, 111, 0, 83, 98, 97, 180, 120, 0, 147, 134, 7, 38, 152, 0, 158, 94, 130, 115, 156, 0, 73, 195, 101, 54, 173, 0, 153, 19, 89, 131, 82, 0, 42, 103, 191, 159, 183, 0, 135, 132, 149, 30, 146, 114, 0, 22, 166, 24, 35, 50, 0, 161, 105, 198, 8, 13, 0, 184, 25, 43, 41, 66, 0, 116, 199, 37, 56, 128, 0, 95, 104, 93, 3, 155, 0, 176, 122, 175, 197, 137, 0, 21, 141, 143, 96, 127, 0, 160, 174, 64, 47, 164, 0, 148, 192, 107, 36, 110, 0, 90, 139, 124, 144, 15, 0, 9, 60, 99, 165, 86, 0, 1, 126, 157, 2, 100, 16, 0, 71, 33, 112, 44, 80, 0, 108, 69, 81, 133, 75, 0, 177, 34, 189, 51, 91, 0, 170, 168, 138, 181, 61, 0, 171, 102, 6, 117, 49, 0, 29, 169, 119, 172, 59, 0, 136, 23, 196, 118, 0]</t>
  </si>
  <si>
    <t>X_n199</t>
  </si>
  <si>
    <t>[0, 118, 29, 59, 196, 0, 49, 61, 181, 138, 23, 0, 172, 119, 169, 171, 136, 0, 110, 100, 16, 117, 6, 102, 0, 80, 107, 2, 168, 75, 108, 0, 170, 133, 86, 44, 186, 0, 81, 157, 126, 69, 1, 0, 9, 112, 139, 99, 35, 111, 0, 144, 192, 60, 124, 0, 160, 197, 148, 36, 165, 0, 174, 90, 64, 164, 22, 0, 91, 127, 143, 47, 21, 0, 51, 95, 189, 71, 177, 0, 104, 13, 56, 96, 141, 0, 33, 128, 176, 175, 137, 0, 34, 116, 37, 184, 50, 0, 15, 199, 166, 93, 161, 0, 3, 8, 41, 24, 198, 135, 0, 105, 66, 25, 114, 122, 0, 155, 146, 30, 159, 183, 120, 167, 0, 94, 123, 182, 38, 89, 149, 43, 153, 0, 156, 173, 101, 42, 53, 39, 52, 17, 0, 73, 54, 132, 19, 187, 0, 195, 191, 7, 82, 180, 0, 83, 152, 103, 115, 0, 130, 131, 134, 87, 98, 0, 55, 68, 57, 163, 188, 70, 0, 67, 46, 77, 185, 63, 178, 0, 58, 28, 5, 194, 151, 0, 62, 179, 113, 74, 88, 0, 26, 14, 72, 65, 85, 106, 0, 158, 147, 140, 193, 97, 0, 11, 84, 45, 27, 150, 0, 145, 48, 162, 12, 31, 0, 190, 109, 129, 4, 142, 0, 79, 32, 20, 10, 154, 0, 18, 121, 78, 125, 40, 76, 92, 0]</t>
  </si>
  <si>
    <t>[0, 52, 39, 182, 187, 193, 87, 123, 53, 97, 0, 83, 98, 140, 7, 38, 89, 0, 94, 131, 19, 134, 147, 0, 167, 130, 152, 82, 42, 191, 0, 132, 103, 54, 180, 111, 0, 156, 101, 159, 149, 30, 0, 153, 195, 43, 146, 41, 66, 0, 77, 70, 188, 163, 57, 142, 0, 183, 173, 115, 73, 120, 186, 0, 155, 198, 24, 25, 114, 176, 0, 48, 28, 179, 185, 46, 125, 0, 135, 50, 166, 122, 199, 0, 35, 8, 175, 96, 0, 105, 37, 56, 104, 116, 0, 93, 184, 148, 197, 137, 0, 141, 107, 192, 143, 128, 33, 0, 15, 3, 13, 127, 95, 0, 11, 178, 63, 5, 68, 17, 0, 160, 64, 36, 47, 22, 0, 164, 60, 2, 100, 181, 0, 67, 194, 58, 84, 32, 0, 71, 21, 126, 157, 138, 0, 189, 174, 124, 90, 9, 0, 161, 144, 165, 168, 61, 0, 6, 16, 133, 99, 139, 177, 0, 76, 55, 151, 74, 113, 162, 79, 0, 34, 51, 112, 1, 80, 0, 86, 69, 81, 117, 102, 0, 49, 170, 75, 44, 91, 0, 158, 136, 108, 110, 172, 0, 190, 62, 72, 145, 26, 0, 12, 45, 88, 129, 109, 0, 14, 65, 10, 20, 31, 0, 29, 171, 169, 119, 196, 0, 18, 106, 85, 27, 4, 40, 92, 0, 118, 23, 59, 0, 121, 154, 78, 150, 0]</t>
  </si>
  <si>
    <t>[0, 61, 73, 69, 23, 24, 28, 6, 86, 92, 85, 21, 0, 51, 87, 13, 25, 91, 4, 59, 31, 41, 3, 74, 0, 42, 29, 95, 67, 7, 84, 39, 33, 43, 17, 0, 11, 54, 94, 40, 56, 66, 110, 156, 139, 197, 55, 185, 140, 0, 141, 89, 93, 165, 180, 158, 146, 103, 184, 163, 57, 0, 22, 125, 81, 44, 10, 102, 14, 137, 147, 201, 142, 0, 97, 107, 171, 161, 130, 175, 168, 115, 138, 191, 117, 0, 166, 134, 126, 129, 47, 149, 192, 108, 178, 196, 76, 0, 118, 98, 159, 1, 68, 121, 112, 9, 8, 172, 193, 0, 188, 133, 154, 187, 111, 203, 199, 195, 127, 114, 104, 0, 151, 190, 132, 200, 144, 119, 116, 148, 136, 12, 202, 0, 109, 152, 150, 182, 18, 62, 70, 124, 2, 176, 0, 58, 88, 64, 60, 37, 35, 82, 46, 20, 50, 0, 106, 181, 135, 36, 48, 101, 53, 34, 15, 100, 78, 0, 63, 45, 189, 38, 19, 80, 49, 27, 52, 174, 143, 0, 167, 131, 123, 169, 164, 16, 198, 155, 170, 5, 145, 0, 177, 65, 128, 32, 72, 30, 99, 179, 71, 120, 173, 0, 96, 153, 160, 122, 157, 186, 105, 162, 113, 75, 83, 26, 0, 194, 90, 79, 77, 183, 0]</t>
  </si>
  <si>
    <t>X_n203</t>
  </si>
  <si>
    <t>[0, 42, 21, 73, 13, 23, 24, 28, 6, 92, 85, 58, 0, 61, 25, 91, 4, 69, 86, 29, 95, 39, 17, 0, 96, 26, 63, 35, 37, 60, 64, 7, 67, 84, 33, 0, 173, 183, 38, 50, 20, 46, 82, 88, 43, 0, 90, 177, 77, 79, 153, 83, 75, 80, 19, 189, 45, 0, 170, 167, 131, 65, 71, 52, 27, 49, 113, 122, 157, 160, 0, 194, 5, 200, 72, 30, 99, 179, 162, 105, 186, 0, 109, 106, 123, 15, 100, 78, 174, 32, 128, 143, 120, 0, 176, 70, 62, 48, 36, 101, 53, 34, 164, 169, 155, 0, 2, 104, 124, 152, 18, 182, 12, 135, 198, 181, 0, 151, 190, 114, 132, 144, 119, 116, 148, 136, 202, 150, 0, 193, 188, 172, 133, 127, 154, 195, 199, 203, 16, 0, 22, 98, 166, 121, 129, 112, 111, 187, 9, 8, 1, 159, 0, 76, 134, 68, 126, 149, 47, 171, 192, 138, 191, 81, 0, 14, 115, 97, 196, 161, 130, 107, 178, 108, 118, 125, 0, 147, 137, 55, 165, 180, 158, 103, 184, 163, 175, 168, 0, 10, 102, 57, 146, 93, 89, 66, 110, 156, 139, 197, 185, 0, 117, 44, 201, 141, 140, 56, 40, 94, 11, 54, 59, 31, 0, 142, 0, 145, 51, 87, 41, 3, 74, 0]</t>
  </si>
  <si>
    <t>[0, 197, 139, 57, 163, 184, 103, 146, 158, 180, 165, 93, 110, 0, 201, 147, 55, 156, 89, 66, 56, 40, 94, 54, 91, 3, 0, 81, 10, 14, 137, 168, 175, 130, 161, 178, 196, 0, 125, 192, 149, 47, 171, 107, 108, 97, 115, 102, 117, 0, 141, 140, 185, 191, 138, 126, 121, 68, 134, 76, 44, 0, 118, 166, 129, 112, 111, 187, 8, 1, 172, 188, 159, 98, 0, 74, 51, 11, 13, 25, 59, 4, 23, 24, 28, 6, 0, 193, 133, 154, 9, 195, 127, 190, 104, 2, 109, 0, 62, 200, 148, 116, 119, 48, 144, 203, 199, 132, 114, 0, 176, 124, 70, 18, 182, 12, 136, 36, 101, 53, 198, 0, 42, 21, 73, 85, 92, 86, 69, 31, 41, 87, 61, 0, 151, 152, 150, 202, 135, 34, 15, 100, 78, 181, 170, 0, 58, 29, 95, 67, 7, 84, 39, 33, 17, 63, 0, 45, 50, 20, 82, 35, 37, 60, 64, 88, 43, 0, 177, 65, 169, 164, 16, 155, 123, 106, 131, 167, 5, 0, 173, 143, 128, 32, 174, 52, 27, 30, 72, 79, 77, 0, 186, 120, 99, 179, 71, 162, 105, 122, 157, 153, 183, 0, 160, 113, 75, 49, 80, 46, 19, 83, 38, 189, 26, 0, 145, 142, 22, 194, 90, 96, 0]</t>
  </si>
  <si>
    <t>[0, 174, 2, 117, 139, 66, 1, 195, 41, 150, 154, 184, 140, 62, 13, 0, 135, 123, 73, 153, 11, 28, 115, 36, 202, 185, 179, 134, 89, 104, 0, 87, 163, 114, 64, 129, 170, 7, 166, 37, 172, 96, 192, 67, 31, 102, 0, 21, 19, 76, 164, 55, 146, 79, 137, 59, 133, 52, 160, 168, 48, 0, 194, 126, 145, 113, 83, 182, 61, 120, 51, 8, 90, 22, 180, 0, 121, 162, 197, 85, 157, 24, 189, 109, 32, 171, 158, 30, 124, 167, 0, 91, 165, 27, 99, 108, 74, 155, 148, 206, 101, 130, 26, 156, 205, 0, 3, 191, 23, 94, 46, 141, 107, 12, 125, 6, 92, 193, 116, 0, 103, 42, 100, 44, 49, 70, 17, 176, 200, 203, 173, 56, 0, 149, 71, 207, 82, 57, 95, 5, 33, 14, 152, 84, 88, 0, 98, 188, 142, 147, 106, 181, 122, 15, 35, 25, 81, 39, 112, 97, 0, 118, 10, 86, 151, 127, 43, 60, 196, 9, 4, 93, 138, 208, 0, 38, 47, 72, 54, 29, 63, 20, 77, 111, 75, 187, 58, 40, 0, 34, 175, 161, 199, 136, 53, 78, 178, 119, 105, 110, 169, 128, 177, 0, 201, 198, 69, 186, 80, 204, 143, 144, 159, 0, 190, 183, 45, 50, 132, 68, 18, 131, 16, 65, 0]</t>
  </si>
  <si>
    <t>X_n208</t>
  </si>
  <si>
    <t>[0, 143, 204, 80, 118, 10, 86, 151, 127, 43, 60, 4, 3, 208, 0, 121, 167, 93, 9, 116, 191, 193, 92, 107, 141, 12, 125, 6, 196, 0, 69, 186, 180, 138, 162, 158, 171, 32, 109, 94, 46, 23, 124, 0, 52, 133, 30, 197, 85, 189, 24, 157, 182, 120, 8, 90, 174, 160, 0, 137, 145, 113, 2, 139, 66, 195, 1, 83, 61, 51, 126, 59, 0, 102, 114, 135, 89, 202, 179, 150, 184, 41, 117, 62, 13, 104, 79, 146, 0, 198, 48, 168, 22, 76, 164, 55, 87, 19, 21, 194, 50, 175, 0, 173, 200, 42, 165, 153, 28, 115, 36, 185, 154, 140, 123, 64, 91, 0, 163, 31, 73, 134, 11, 172, 7, 129, 170, 192, 67, 27, 176, 203, 0, 103, 17, 99, 166, 37, 96, 74, 108, 101, 205, 29, 47, 0, 56, 54, 156, 130, 206, 155, 148, 26, 70, 100, 98, 199, 161, 0, 88, 72, 84, 44, 14, 82, 57, 95, 5, 33, 49, 38, 0, 34, 110, 136, 63, 71, 152, 207, 188, 122, 181, 142, 147, 106, 35, 0, 105, 53, 20, 149, 77, 111, 112, 39, 15, 25, 81, 97, 75, 0, 183, 45, 132, 177, 128, 169, 78, 58, 187, 178, 40, 119, 68, 18, 0, 65, 16, 131, 190, 201, 144, 159, 0]</t>
  </si>
  <si>
    <t>[0, 10, 86, 151, 60, 193, 92, 46, 141, 107, 12, 125, 6, 196, 127, 0, 208, 167, 23, 32, 109, 94, 191, 116, 9, 4, 43, 93, 0, 3, 124, 30, 158, 171, 85, 157, 189, 24, 182, 61, 197, 162, 121, 69, 0, 159, 144, 143, 204, 80, 118, 186, 22, 180, 160, 198, 201, 0, 138, 59, 90, 8, 126, 146, 55, 164, 76, 52, 168, 48, 0, 51, 120, 2, 83, 1, 195, 66, 139, 117, 62, 13, 113, 174, 133, 0, 145, 89, 140, 184, 41, 150, 154, 179, 36, 185, 202, 28, 115, 135, 0, 102, 7, 166, 37, 172, 11, 153, 134, 73, 123, 64, 114, 104, 163, 0, 173, 200, 17, 27, 67, 192, 170, 129, 31, 165, 91, 137, 79, 19, 194, 0, 87, 99, 108, 74, 96, 155, 148, 206, 101, 130, 26, 156, 176, 0, 103, 205, 44, 14, 57, 95, 5, 33, 49, 70, 42, 203, 0, 56, 100, 82, 106, 147, 181, 122, 207, 39, 35, 25, 81, 112, 0, 21, 38, 47, 54, 29, 98, 152, 188, 142, 15, 111, 97, 75, 0, 175, 161, 199, 72, 84, 20, 149, 71, 77, 187, 58, 63, 136, 0, 34, 50, 88, 110, 105, 78, 53, 178, 40, 119, 169, 128, 177, 68, 0, 190, 183, 131, 45, 132, 18, 65, 16, 0]</t>
  </si>
  <si>
    <t>[0, 26, 102, 148, 213, 161, 190, 153, 209, 152, 138, 71, 65, 0, 151, 185, 118, 208, 24, 84, 0, 20, 205, 109, 183, 51, 164, 37, 66, 14, 170, 25, 127, 12, 121, 31, 6, 0, 96, 106, 101, 72, 140, 158, 203, 202, 211, 174, 32, 107, 105, 23, 70, 116, 169, 0, 103, 67, 154, 112, 75, 28, 100, 165, 85, 52, 8, 61, 89, 69, 128, 126, 172, 0, 58, 207, 35, 1, 57, 44, 145, 16, 114, 122, 113, 95, 184, 54, 150, 90, 86, 146, 134, 111, 21, 36, 0, 143, 155, 198, 9, 108, 176, 15, 18, 110, 42, 79, 197, 196, 131, 179, 123, 4, 193, 0, 49, 191, 206, 10, 39, 38, 73, 125, 173, 50, 201, 46, 149, 78, 76, 166, 27, 82, 93, 120, 80, 0, 3, 142, 19, 194, 119, 178, 171, 192, 43, 29, 74, 88, 188, 130, 141, 204, 104, 157, 45, 53, 168, 124, 0, 175, 180, 97, 136, 115, 59, 159, 195, 56, 81, 22, 94, 212, 2, 182, 91, 144, 167, 0, 40, 117, 48, 62, 147, 156, 177, 41, 5, 129, 139, 77, 98, 87, 60, 199, 34, 17, 30, 162, 189, 0, 13, 33, 181, 135, 187, 163, 63, 11, 132, 68, 133, 160, 186, 200, 64, 92, 210, 83, 55, 0, 47, 137, 99, 7, 0]</t>
  </si>
  <si>
    <t>X_n213</t>
  </si>
  <si>
    <t>[0, 185, 102, 26, 148, 213, 153, 190, 161, 20, 205, 183, 109, 127, 12, 121, 31, 209, 0, 116, 23, 107, 32, 202, 112, 154, 67, 75, 28, 100, 52, 25, 51, 164, 37, 89, 8, 35, 207, 103, 211, 174, 58, 140, 0, 105, 165, 85, 61, 170, 66, 14, 145, 44, 128, 57, 1, 203, 21, 155, 158, 0, 83, 210, 64, 92, 123, 131, 197, 79, 9, 134, 111, 198, 126, 70, 6, 0, 36, 179, 189, 162, 160, 30, 196, 3, 199, 60, 42, 108, 95, 113, 122, 114, 16, 69, 0, 200, 186, 163, 133, 87, 142, 18, 110, 176, 146, 90, 150, 184, 54, 86, 15, 34, 63, 187, 167, 0, 135, 132, 11, 68, 129, 5, 178, 141, 188, 88, 29, 43, 192, 171, 119, 194, 19, 139, 77, 98, 17, 0, 101, 143, 41, 157, 104, 204, 130, 74, 94, 212, 22, 81, 195, 156, 177, 62, 48, 45, 40, 7, 0, 39, 38, 201, 136, 182, 115, 59, 173, 50, 73, 125, 159, 56, 2, 147, 91, 144, 53, 117, 168, 99, 124, 0, 193, 106, 120, 93, 149, 46, 166, 180, 97, 175, 27, 76, 78, 82, 181, 72, 4, 138, 169, 0, 96, 47, 137, 80, 172, 71, 65, 55, 13, 33, 10, 206, 49, 191, 118, 208, 24, 84, 151, 0, 152, 0]</t>
  </si>
  <si>
    <t>[0, 151, 24, 208, 118, 185, 102, 148, 213, 26, 209, 152, 169, 138, 71, 172, 47, 96, 84, 0, 153, 190, 161, 20, 205, 109, 183, 51, 164, 37, 66, 14, 114, 122, 113, 95, 16, 69, 89, 52, 75, 107, 140, 0, 6, 116, 31, 70, 23, 105, 32, 121, 12, 127, 202, 174, 158, 143, 55, 0, 58, 211, 67, 154, 112, 28, 165, 100, 25, 170, 8, 61, 85, 128, 1, 21, 101, 0, 103, 207, 203, 35, 126, 198, 57, 134, 44, 145, 90, 150, 184, 54, 86, 176, 79, 160, 210, 0, 155, 131, 197, 111, 9, 196, 3, 42, 108, 146, 110, 18, 87, 34, 30, 162, 64, 83, 106, 0, 17, 133, 98, 77, 5, 41, 141, 188, 43, 192, 171, 178, 119, 194, 19, 15, 142, 60, 0, 49, 191, 206, 10, 39, 149, 46, 38, 73, 125, 173, 50, 201, 166, 76, 93, 33, 120, 137, 0, 27, 175, 182, 212, 22, 81, 56, 195, 159, 59, 115, 136, 97, 180, 78, 82, 80, 0, 135, 167, 40, 45, 157, 104, 204, 177, 130, 88, 29, 74, 94, 156, 2, 147, 91, 62, 48, 144, 53, 117, 168, 124, 0, 36, 99, 13, 181, 186, 187, 63, 68, 11, 132, 129, 139, 199, 163, 189, 200, 179, 92, 123, 72, 4, 0, 7, 193, 65, 0]</t>
  </si>
  <si>
    <t>[0, 215, 8, 119, 0, 21, 63, 44, 0, 42, 126, 68, 0, 216, 143, 103, 0, 203, 187, 19, 0, 105, 186, 94, 0, 17, 184, 213, 0, 196, 129, 194, 0, 73, 199, 100, 0, 158, 120, 170, 0, 111, 45, 10, 0, 151, 50, 142, 0, 104, 195, 145, 0, 174, 182, 28, 0, 47, 123, 179, 0, 55, 54, 163, 0, 118, 80, 11, 0, 139, 189, 108, 0, 122, 98, 82, 0, 27, 141, 149, 0, 24, 101, 86, 0, 198, 59, 168, 0, 133, 43, 169, 0, 49, 197, 60, 0, 92, 130, 89, 0, 154, 29, 14, 0, 77, 117, 177, 0, 35, 140, 106, 0, 84, 204, 113, 0, 161, 33, 23, 0, 67, 206, 6, 0, 62, 162, 85, 0, 34, 2, 58, 0, 26, 132, 188, 0, 109, 160, 46, 0, 114, 202, 81, 0, 171, 156, 7, 0, 66, 214, 79, 0, 65, 148, 144, 0, 72, 200, 212, 0, 209, 69, 136, 0, 107, 135, 90, 0, 57, 15, 22, 0, 125, 211, 91, 0, 20, 41, 48, 0, 150, 40, 38, 0, 192, 110, 167, 0, 208, 121, 1, 0, 70, 102, 25, 0, 53, 175, 159, 0, 147, 210, 201, 0, 32, 75, 16, 0, 217, 37, 12, 0, 39, 64, 97, 0, 152, 165, 137, 0, 5, 51, 127, 0, 207, 134, 13, 0, 74, 153, 172, 0, 176, 193, 164, 0, 181, 155, 138, 0, 178, 99, 218, 0, 96, 31, 78, 0, 183, 131, 9, 0, 71, 56, 205, 0, 61, 124, 115, 0, 190, 18, 36, 0, 128, 76, 116, 0, 52, 87, 157, 0, 173, 4, 95, 0, 83, 88, 3, 0, 191, 180, 30, 0, 166, 146, 185, 0, 112, 93, 0]</t>
  </si>
  <si>
    <t>X_n218</t>
  </si>
  <si>
    <t>[0, 115, 97, 124, 0, 51, 164, 87, 0, 1, 90, 214, 0, 64, 75, 16, 0, 127, 208, 109, 0, 66, 121, 135, 0, 202, 79, 81, 0, 46, 84, 107, 0, 114, 160, 204, 0, 67, 35, 177, 0, 113, 206, 6, 0, 197, 60, 106, 0, 140, 49, 27, 0, 101, 86, 77, 0, 142, 163, 24, 0, 151, 55, 117, 0, 50, 216, 111, 0, 143, 103, 54, 0, 119, 8, 105, 0, 149, 141, 82, 0, 203, 68, 215, 0, 21, 44, 94, 0, 45, 63, 120, 0, 186, 145, 126, 0, 42, 100, 28, 0, 184, 199, 195, 0, 187, 182, 19, 0, 17, 213, 73, 0, 118, 80, 11, 0, 104, 174, 14, 0, 161, 29, 23, 0, 72, 33, 43, 0, 154, 144, 65, 0, 169, 200, 2, 0, 156, 148, 212, 0, 22, 136, 69, 0, 171, 58, 209, 0, 34, 15, 57, 0, 38, 37, 165, 0, 41, 40, 159, 0, 133, 150, 175, 0, 20, 153, 172, 0, 74, 31, 152, 0, 48, 70, 128, 0, 56, 102, 96, 0, 78, 217, 53, 0, 218, 12, 25, 0, 190, 205, 137, 0, 71, 18, 13, 0, 178, 36, 88, 0, 116, 76, 83, 0, 112, 3, 93, 0, 99, 7, 91, 0, 185, 146, 166, 0, 183, 180, 30, 0, 173, 61, 191, 0, 131, 52, 4, 0, 95, 9, 138, 0, 176, 193, 157, 0, 39, 32, 5, 0, 167, 110, 192, 0, 26, 210, 155, 0, 188, 132, 62, 0, 189, 170, 162, 0, 108, 179, 147, 0, 122, 47, 123, 0, 85, 139, 125, 0, 98, 10, 194, 0, 196, 129, 158, 0, 130, 198, 59, 0, 92, 168, 89, 0, 211, 134, 207, 0, 181, 201, 0]</t>
  </si>
  <si>
    <t>[0, 193, 124, 87, 0, 157, 164, 64, 0, 51, 97, 127, 0, 115, 1, 208, 0, 16, 167, 192, 0, 46, 160, 75, 0, 114, 66, 109, 0, 90, 121, 81, 0, 113, 202, 214, 0, 84, 79, 135, 0, 6, 206, 204, 0, 35, 60, 140, 0, 67, 197, 101, 0, 110, 107, 32, 0, 177, 106, 77, 0, 117, 86, 49, 0, 163, 142, 50, 0, 24, 54, 55, 0, 149, 141, 27, 0, 151, 103, 143, 0, 216, 68, 186, 0, 8, 94, 145, 0, 82, 98, 122, 0, 126, 100, 105, 0, 195, 28, 215, 0, 187, 199, 182, 0, 111, 45, 194, 0, 119, 63, 42, 0, 21, 44, 184, 0, 39, 132, 62, 0, 203, 19, 213, 0, 129, 10, 47, 0, 17, 73, 14, 0, 118, 80, 11, 0, 196, 120, 26, 0, 104, 174, 29, 0, 179, 123, 170, 0, 158, 198, 59, 0, 43, 154, 23, 0, 130, 133, 169, 0, 161, 33, 200, 0, 72, 148, 144, 0, 65, 212, 69, 0, 2, 136, 175, 0, 171, 58, 156, 0, 22, 15, 38, 0, 150, 159, 165, 0, 34, 209, 40, 0, 37, 153, 96, 0, 85, 188, 176, 0, 162, 108, 189, 0, 125, 139, 5, 0, 211, 89, 201, 0, 91, 92, 168, 0, 134, 7, 48, 0, 57, 41, 20, 0, 13, 207, 210, 0, 218, 102, 172, 0, 99, 70, 25, 0, 78, 12, 205, 0, 181, 56, 178, 0, 18, 155, 147, 0, 36, 53, 152, 0, 74, 217, 128, 0, 190, 137, 31, 0, 131, 138, 9, 0, 183, 71, 76, 0, 61, 52, 95, 0, 180, 4, 191, 0, 30, 173, 166, 0, 83, 116, 88, 0, 112, 3, 93, 0, 146, 185, 0]</t>
  </si>
  <si>
    <t>[0, 25, 55, 61, 109, 17, 11, 65, 59, 0, 56, 30, 36, 23, 73, 101, 57, 86, 7, 104, 16, 0, 13, 45, 76, 213, 54, 100, 0, 10, 6, 90, 81, 75, 18, 34, 0, 85, 2, 72, 29, 103, 91, 98, 0, 211, 41, 84, 62, 51, 83, 40, 0, 22, 35, 68, 79, 93, 3, 0, 87, 141, 170, 189, 168, 187, 180, 58, 106, 167, 0, 20, 74, 164, 82, 131, 0, 49, 218, 222, 42, 126, 27, 200, 0, 97, 50, 110, 33, 60, 179, 28, 0, 92, 129, 117, 114, 143, 158, 0, 140, 161, 214, 116, 206, 146, 0, 154, 220, 119, 137, 171, 203, 0, 47, 67, 198, 138, 77, 0, 172, 14, 155, 127, 19, 0, 144, 156, 186, 122, 163, 174, 0, 108, 44, 43, 148, 0, 9, 8, 204, 1, 105, 32, 111, 71, 196, 175, 0, 118, 205, 165, 212, 46, 152, 0, 4, 182, 113, 147, 89, 142, 219, 178, 151, 0, 99, 221, 190, 199, 194, 217, 70, 0, 102, 173, 149, 202, 0, 209, 193, 112, 157, 184, 133, 150, 207, 125, 0, 134, 80, 128, 183, 26, 0, 176, 215, 107, 88, 15, 124, 0, 210, 192, 188, 139, 169, 208, 0, 53, 37, 48, 63, 21, 0, 185, 166, 39, 197, 160, 201, 115, 145, 31, 0, 177, 195, 191, 159, 78, 0, 24, 153, 162, 135, 94, 123, 0, 130, 120, 66, 181, 69, 121, 0, 95, 136, 0, 64, 96, 12, 52, 5, 38, 0, 216, 132, 0]</t>
  </si>
  <si>
    <t>X_n222</t>
  </si>
  <si>
    <t>[0, 132, 5, 38, 69, 181, 0, 216, 121, 66, 123, 120, 135, 162, 24, 0, 52, 130, 94, 153, 31, 177, 0, 100, 185, 125, 88, 191, 201, 115, 145, 78, 0, 102, 9, 175, 184, 133, 150, 207, 39, 197, 160, 159, 0, 215, 107, 111, 105, 32, 71, 196, 0, 43, 44, 108, 8, 157, 0, 1, 204, 171, 137, 87, 141, 114, 0, 92, 154, 119, 200, 143, 158, 203, 0, 164, 58, 187, 189, 27, 126, 220, 131, 0, 22, 106, 180, 168, 170, 117, 129, 0, 222, 42, 218, 82, 74, 0, 65, 68, 3, 79, 49, 167, 35, 0, 10, 17, 75, 18, 93, 34, 11, 6, 0, 54, 55, 109, 81, 90, 59, 25, 0, 213, 76, 85, 20, 0, 36, 23, 73, 101, 57, 86, 7, 104, 61, 0, 45, 56, 16, 2, 30, 72, 29, 103, 91, 51, 98, 0, 41, 84, 62, 33, 40, 0, 97, 50, 110, 83, 67, 60, 0, 172, 155, 14, 214, 179, 13, 0, 140, 19, 144, 127, 47, 116, 211, 99, 0, 53, 46, 118, 161, 206, 0, 134, 205, 156, 138, 198, 0, 221, 77, 176, 195, 0, 152, 182, 174, 165, 186, 28, 0, 80, 212, 122, 163, 146, 0, 192, 188, 128, 147, 89, 4, 210, 0, 70, 219, 142, 113, 190, 37, 0, 26, 199, 151, 178, 139, 169, 183, 0, 48, 194, 217, 208, 63, 96, 0, 95, 64, 21, 12, 0, 136, 0, 209, 0, 202, 173, 124, 166, 0, 193, 15, 112, 149, 148, 0]</t>
  </si>
  <si>
    <t>[0, 215, 150, 107, 184, 133, 111, 71, 196, 8, 9, 0, 32, 105, 1, 203, 171, 154, 0, 204, 158, 137, 27, 87, 42, 92, 0, 131, 108, 44, 43, 0, 129, 180, 187, 170, 141, 143, 119, 0, 220, 117, 114, 200, 168, 218, 0, 222, 126, 189, 58, 106, 49, 167, 82, 164, 22, 0, 34, 3, 93, 18, 79, 68, 35, 0, 74, 65, 11, 75, 90, 17, 10, 0, 103, 29, 30, 23, 73, 101, 57, 86, 7, 81, 109, 59, 0, 148, 173, 175, 157, 176, 0, 45, 85, 61, 55, 6, 0, 25, 56, 16, 104, 36, 2, 72, 91, 0, 54, 213, 76, 62, 51, 40, 0, 41, 84, 98, 33, 83, 97, 0, 13, 211, 50, 110, 67, 0, 179, 60, 198, 138, 156, 127, 0, 146, 116, 161, 206, 140, 99, 0, 172, 214, 47, 77, 163, 199, 0, 19, 144, 155, 14, 118, 46, 0, 28, 4, 205, 186, 122, 147, 139, 151, 0, 221, 165, 89, 219, 178, 169, 0, 102, 202, 149, 112, 166, 0, 39, 88, 125, 207, 15, 124, 193, 209, 0, 70, 194, 128, 113, 174, 152, 134, 0, 53, 80, 212, 142, 217, 208, 0, 177, 195, 197, 160, 201, 115, 145, 0, 185, 78, 159, 191, 162, 135, 120, 94, 0, 26, 37, 182, 190, 183, 0, 136, 20, 95, 0, 210, 192, 188, 48, 63, 12, 0, 100, 24, 31, 153, 123, 66, 0, 21, 64, 96, 52, 0, 130, 181, 69, 38, 5, 0, 216, 121, 132, 0]</t>
  </si>
  <si>
    <t>[0, 60, 73, 115, 49, 23, 226, 105, 147, 96, 215, 210, 143, 174, 113, 43, 93, 160, 0, 157, 187, 197, 150, 179, 53, 11, 87, 102, 132, 223, 183, 0, 153, 161, 7, 31, 180, 46, 188, 89, 123, 0, 184, 204, 125, 185, 175, 154, 131, 45, 22, 168, 81, 66, 211, 129, 227, 0, 149, 169, 199, 10, 21, 0, 35, 106, 118, 176, 27, 140, 42, 0, 8, 85, 55, 219, 124, 69, 155, 218, 103, 0, 17, 51, 114, 32, 104, 80, 202, 58, 0, 216, 84, 126, 48, 95, 209, 214, 130, 94, 135, 63, 107, 24, 54, 120, 0, 28, 26, 117, 77, 90, 0, 173, 191, 207, 18, 189, 186, 193, 133, 156, 98, 0, 9, 3, 0, 192, 151, 212, 222, 170, 30, 225, 101, 0, 47, 40, 57, 78, 1, 128, 61, 220, 74, 158, 62, 146, 0, 70, 145, 203, 137, 76, 86, 110, 206, 100, 83, 159, 172, 177, 67, 36, 14, 116, 148, 52, 0, 75, 162, 50, 13, 208, 88, 144, 82, 4, 0, 41, 19, 16, 224, 0, 15, 92, 20, 72, 112, 37, 217, 0, 166, 178, 34, 127, 121, 111, 136, 221, 99, 138, 163, 39, 167, 182, 65, 12, 0, 44, 134, 119, 171, 164, 33, 108, 64, 139, 97, 141, 0, 109, 5, 190, 152, 165, 122, 196, 56, 68, 142, 0, 79, 181, 213, 201, 25, 59, 200, 194, 71, 38, 0, 198, 6, 91, 205, 195, 0, 2, 29, 0]</t>
  </si>
  <si>
    <t>X_n227</t>
  </si>
  <si>
    <t>[0, 157, 73, 115, 49, 23, 105, 7, 147, 0, 160, 93, 43, 113, 174, 143, 226, 210, 96, 215, 31, 180, 46, 135, 94, 95, 130, 63, 199, 188, 89, 161, 153, 0, 120, 123, 48, 209, 214, 107, 10, 21, 60, 0, 41, 216, 169, 54, 24, 9, 0, 90, 38, 19, 178, 34, 166, 126, 149, 84, 0, 194, 141, 109, 213, 121, 127, 181, 200, 79, 224, 16, 0, 71, 198, 136, 111, 221, 163, 25, 59, 217, 91, 205, 0, 44, 12, 5, 0, 68, 52, 134, 65, 164, 112, 39, 139, 165, 97, 152, 190, 122, 196, 201, 99, 138, 56, 171, 119, 37, 195, 0, 75, 182, 72, 167, 64, 6, 108, 162, 82, 116, 192, 202, 101, 0, 77, 98, 148, 4, 14, 144, 92, 142, 0, 218, 15, 151, 26, 176, 35, 0, 117, 70, 33, 29, 0, 145, 36, 50, 88, 208, 177, 13, 159, 67, 76, 137, 203, 212, 222, 80, 170, 156, 0, 225, 104, 189, 186, 207, 128, 78, 40, 57, 100, 83, 172, 20, 206, 110, 47, 62, 0, 155, 158, 74, 193, 191, 1, 61, 220, 86, 146, 58, 0, 103, 133, 173, 28, 114, 51, 124, 69, 184, 106, 0, 32, 18, 0, 125, 185, 175, 154, 87, 45, 131, 17, 85, 55, 219, 204, 140, 118, 42, 0, 27, 2, 0, 30, 0, 211, 8, 168, 81, 183, 0, 223, 66, 132, 102, 22, 53, 179, 150, 197, 187, 129, 0, 227, 11, 0, 3, 0]</t>
  </si>
  <si>
    <t>[0, 211, 183, 223, 66, 55, 131, 102, 132, 197, 53, 11, 179, 150, 187, 0, 157, 129, 81, 154, 168, 87, 22, 45, 85, 219, 175, 185, 125, 204, 140, 0, 227, 8, 124, 69, 155, 184, 176, 118, 0, 60, 73, 115, 49, 23, 226, 105, 147, 96, 215, 210, 143, 174, 113, 43, 180, 46, 188, 93, 120, 0, 17, 51, 114, 32, 52, 202, 225, 42, 0, 153, 7, 31, 199, 63, 135, 94, 130, 107, 123, 0, 173, 104, 18, 189, 207, 133, 170, 151, 195, 0, 160, 161, 21, 10, 89, 54, 0, 203, 1, 186, 191, 193, 74, 62, 146, 156, 117, 77, 90, 0, 28, 26, 192, 218, 0, 4, 86, 172, 159, 83, 100, 57, 40, 78, 128, 61, 220, 158, 137, 212, 222, 80, 0, 106, 30, 98, 58, 35, 0, 217, 116, 14, 13, 76, 47, 145, 70, 148, 101, 0, 68, 12, 65, 15, 103, 0, 44, 134, 182, 36, 67, 110, 206, 20, 177, 208, 88, 50, 144, 92, 82, 72, 194, 0, 142, 37, 75, 167, 162, 6, 171, 119, 200, 205, 0, 149, 24, 9, 209, 126, 216, 0, 164, 33, 108, 139, 39, 112, 109, 141, 71, 0, 59, 138, 122, 190, 152, 64, 165, 97, 196, 56, 25, 0, 84, 169, 3, 214, 48, 95, 166, 34, 178, 41, 0, 181, 213, 5, 163, 201, 99, 221, 136, 111, 121, 127, 79, 224, 0, 27, 2, 0, 38, 29, 91, 198, 16, 0, 19, 0]</t>
  </si>
  <si>
    <t>[0, 61, 14, 181, 164, 189, 200, 134, 208, 151, 0, 21, 139, 100, 18, 194, 59, 53, 120, 0, 220, 206, 55, 60, 1, 42, 81, 89, 0, 91, 205, 215, 54, 98, 192, 131, 128, 148, 165, 213, 221, 182, 160, 0, 50, 10, 173, 226, 16, 101, 43, 35, 0, 13, 199, 185, 149, 187, 188, 156, 225, 171, 207, 198, 184, 186, 146, 143, 122, 123, 169, 142, 132, 34, 211, 179, 0, 178, 104, 22, 203, 216, 103, 202, 231, 83, 140, 12, 94, 95, 44, 167, 36, 9, 88, 196, 144, 70, 210, 158, 217, 174, 162, 201, 214, 0, 72, 102, 96, 69, 163, 33, 209, 150, 32, 105, 154, 125, 24, 26, 73, 204, 152, 232, 119, 159, 195, 49, 0, 155, 56, 76, 41, 97, 79, 29, 90, 47, 57, 0, 124, 212, 157, 121, 229, 161, 168, 115, 138, 227, 136, 137, 66, 127, 19, 7, 62, 0, 74, 133, 52, 15, 20, 78, 113, 177, 63, 25, 147, 37, 190, 218, 118, 219, 175, 130, 141, 183, 129, 5, 17, 85, 30, 111, 197, 46, 0, 31, 82, 58, 3, 23, 28, 86, 109, 0, 107, 80, 27, 48, 77, 93, 8, 64, 38, 0, 230, 67, 153, 75, 222, 126, 223, 228, 99, 117, 51, 176, 191, 224, 193, 135, 180, 39, 0, 2, 106, 110, 71, 45, 87, 84, 114, 6, 145, 0, 65, 116, 166, 4, 68, 108, 92, 172, 0, 11, 170, 112, 40, 0]</t>
  </si>
  <si>
    <t>X_n232</t>
  </si>
  <si>
    <t>[0, 39, 68, 106, 7, 62, 80, 116, 40, 0, 112, 166, 4, 2, 23, 127, 136, 137, 138, 115, 168, 161, 157, 212, 124, 0, 49, 199, 102, 214, 201, 159, 163, 121, 227, 19, 82, 3, 86, 8, 0, 72, 195, 174, 96, 69, 229, 66, 32, 105, 150, 209, 33, 125, 154, 24, 26, 73, 36, 167, 95, 44, 9, 88, 83, 178, 185, 0, 182, 149, 187, 217, 232, 119, 158, 203, 22, 216, 103, 202, 231, 140, 12, 94, 210, 70, 144, 196, 204, 152, 162, 0, 151, 160, 211, 221, 143, 213, 122, 123, 169, 146, 128, 131, 171, 207, 198, 184, 156, 225, 104, 188, 142, 132, 34, 179, 13, 107, 0, 215, 186, 148, 165, 98, 192, 53, 59, 208, 205, 91, 50, 0, 155, 61, 14, 134, 120, 189, 200, 54, 0, 10, 220, 139, 100, 194, 164, 181, 0, 170, 56, 47, 74, 133, 90, 76, 60, 1, 18, 21, 0, 57, 226, 89, 81, 42, 55, 173, 206, 0, 230, 52, 41, 79, 101, 16, 97, 43, 35, 0, 11, 15, 29, 113, 177, 25, 37, 190, 218, 118, 219, 175, 130, 141, 78, 20, 75, 153, 67, 0, 193, 176, 191, 197, 111, 30, 85, 17, 5, 183, 129, 147, 63, 222, 126, 46, 223, 228, 99, 117, 51, 0, 135, 224, 145, 6, 84, 87, 114, 92, 108, 172, 180, 65, 0, 45, 71, 38, 64, 28, 110, 0, 27, 48, 77, 93, 109, 58, 31, 0]</t>
  </si>
  <si>
    <t>[0, 163, 157, 229, 121, 33, 209, 154, 150, 105, 32, 136, 127, 66, 137, 227, 138, 115, 168, 161, 212, 124, 0, 195, 162, 152, 232, 70, 144, 210, 83, 140, 12, 94, 95, 44, 167, 36, 9, 88, 196, 204, 73, 26, 24, 125, 96, 69, 102, 0, 72, 214, 201, 159, 174, 217, 119, 158, 231, 202, 103, 203, 22, 216, 171, 207, 198, 225, 104, 156, 184, 146, 187, 199, 49, 0, 151, 179, 34, 122, 221, 143, 213, 165, 192, 59, 53, 131, 128, 148, 186, 188, 142, 169, 123, 132, 149, 185, 178, 13, 0, 205, 54, 120, 189, 200, 98, 215, 160, 211, 182, 0, 208, 134, 194, 100, 139, 164, 181, 14, 0, 91, 61, 21, 18, 55, 1, 42, 81, 47, 230, 0, 107, 19, 31, 82, 58, 3, 23, 86, 62, 0, 220, 206, 173, 60, 89, 16, 226, 35, 133, 0, 10, 43, 97, 101, 29, 79, 41, 76, 0, 80, 7, 48, 109, 93, 28, 64, 8, 0, 74, 52, 20, 78, 177, 63, 147, 129, 183, 141, 5, 219, 175, 130, 118, 218, 190, 37, 25, 113, 15, 90, 56, 0, 112, 4, 2, 166, 116, 65, 11, 0, 40, 39, 106, 27, 77, 38, 110, 108, 135, 0, 68, 71, 45, 87, 84, 114, 6, 145, 92, 172, 224, 0, 180, 193, 176, 191, 46, 197, 111, 30, 85, 17, 222, 75, 126, 153, 223, 228, 99, 117, 51, 67, 0, 170, 57, 155, 50, 0]</t>
  </si>
  <si>
    <t>[0, 145, 68, 52, 128, 202, 34, 96, 204, 124, 161, 3, 198, 234, 149, 27, 195, 164, 0, 62, 191, 41, 188, 233, 117, 37, 94, 174, 79, 101, 113, 49, 88, 222, 70, 2, 0, 10, 13, 225, 40, 133, 207, 220, 126, 90, 30, 24, 151, 72, 44, 130, 219, 66, 0, 157, 181, 67, 21, 168, 89, 231, 107, 227, 104, 57, 5, 61, 213, 210, 228, 162, 0, 180, 80, 172, 55, 42, 154, 99, 60, 193, 12, 127, 98, 19, 18, 200, 15, 110, 0, 179, 82, 114, 201, 205, 84, 26, 86, 158, 31, 111, 206, 182, 45, 53, 221, 112, 0, 102, 136, 92, 142, 64, 16, 36, 216, 208, 139, 32, 76, 147, 159, 20, 120, 81, 0, 189, 87, 135, 229, 166, 217, 223, 33, 155, 218, 115, 121, 93, 58, 95, 73, 22, 0, 235, 78, 59, 150, 129, 173, 7, 138, 152, 214, 35, 153, 178, 232, 143, 105, 83, 0, 54, 197, 119, 140, 199, 123, 209, 211, 125, 156, 134, 190, 103, 144, 171, 29, 91, 0, 224, 186, 137, 14, 50, 122, 167, 116, 160, 11, 131, 203, 1, 148, 184, 183, 74, 0, 56, 194, 163, 4, 63, 176, 187, 226, 75, 17, 141, 71, 69, 6, 170, 165, 48, 0, 100, 85, 25, 118, 169, 215, 146, 51, 196, 236, 77, 39, 97, 23, 230, 185, 175, 0, 109, 28, 177, 43, 8, 65, 108, 212, 192, 47, 132, 46, 9, 38, 106, 0]</t>
  </si>
  <si>
    <t>X_n236</t>
  </si>
  <si>
    <t>[0, 184, 148, 1, 203, 14, 167, 83, 143, 232, 178, 214, 35, 153, 116, 160, 11, 131, 0, 122, 129, 87, 135, 229, 58, 53, 111, 206, 182, 45, 22, 152, 138, 7, 173, 105, 0, 73, 95, 112, 121, 221, 115, 93, 218, 33, 223, 166, 162, 114, 189, 150, 50, 59, 0, 155, 217, 201, 205, 84, 26, 86, 31, 158, 213, 210, 228, 231, 164, 168, 21, 179, 0, 235, 82, 89, 107, 227, 104, 61, 5, 57, 161, 3, 124, 198, 2, 72, 44, 225, 0, 85, 66, 40, 151, 68, 149, 34, 96, 204, 234, 27, 195, 145, 130, 219, 181, 157, 0, 13, 102, 133, 207, 220, 126, 90, 24, 62, 174, 94, 101, 113, 202, 128, 52, 70, 0, 25, 10, 30, 222, 88, 49, 79, 233, 37, 117, 188, 42, 41, 172, 191, 169, 118, 0, 186, 137, 78, 67, 180, 200, 80, 19, 55, 154, 99, 60, 98, 18, 92, 136, 110, 0, 215, 81, 15, 142, 64, 16, 193, 12, 127, 208, 139, 32, 216, 36, 147, 146, 51, 0, 196, 29, 120, 144, 190, 103, 123, 211, 75, 125, 156, 134, 76, 159, 20, 48, 100, 0, 8, 165, 91, 170, 171, 119, 140, 209, 141, 17, 226, 187, 176, 63, 4, 163, 199, 0, 175, 230, 23, 97, 39, 77, 54, 56, 194, 71, 197, 69, 6, 236, 185, 65, 43, 0, 109, 28, 38, 9, 177, 46, 132, 47, 108, 212, 192, 183, 74, 224, 106, 0]</t>
  </si>
  <si>
    <t>[0, 183, 184, 148, 1, 203, 131, 11, 160, 116, 153, 178, 232, 167, 122, 14, 137, 186, 0, 83, 105, 143, 7, 22, 73, 95, 58, 221, 53, 111, 206, 182, 45, 152, 214, 35, 0, 129, 173, 223, 86, 26, 228, 210, 213, 158, 31, 115, 121, 112, 93, 155, 218, 138, 0, 229, 33, 217, 166, 84, 61, 5, 57, 104, 227, 107, 231, 89, 205, 201, 135, 50, 0, 85, 25, 157, 67, 21, 168, 162, 114, 87, 150, 189, 59, 82, 179, 181, 78, 235, 0, 72, 145, 68, 149, 52, 128, 34, 96, 124, 161, 3, 198, 204, 234, 27, 195, 164, 0, 2, 151, 62, 70, 222, 88, 202, 49, 113, 101, 79, 233, 174, 94, 37, 117, 188, 0, 130, 225, 44, 24, 30, 90, 126, 191, 172, 41, 42, 99, 154, 55, 19, 80, 133, 0, 66, 219, 40, 220, 207, 18, 98, 193, 60, 12, 127, 208, 16, 64, 142, 200, 180, 0, 13, 102, 81, 110, 136, 92, 15, 147, 36, 216, 139, 32, 134, 76, 159, 20, 29, 0, 169, 120, 171, 144, 190, 156, 125, 75, 17, 226, 187, 176, 63, 4, 194, 39, 23, 0, 100, 10, 118, 215, 146, 48, 51, 91, 170, 103, 211, 209, 141, 163, 56, 77, 185, 0, 108, 65, 8, 196, 165, 6, 119, 140, 123, 199, 71, 197, 69, 54, 97, 236, 230, 0, 106, 74, 224, 192, 212, 47, 132, 46, 43, 175, 177, 9, 38, 28, 109, 0]</t>
  </si>
  <si>
    <t>[0, 26, 177, 229, 2, 144, 23, 104, 53, 191, 0, 116, 189, 182, 162, 106, 208, 0, 72, 164, 195, 39, 91, 0, 120, 151, 77, 172, 0, 103, 86, 228, 82, 173, 212, 0, 40, 221, 45, 197, 152, 0, 219, 128, 41, 59, 34, 7, 131, 143, 178, 149, 0, 168, 129, 181, 11, 0, 47, 19, 148, 94, 175, 226, 0, 238, 192, 161, 89, 0, 90, 188, 234, 169, 0, 54, 15, 193, 63, 100, 198, 0, 118, 56, 85, 236, 235, 0, 105, 111, 156, 163, 206, 0, 154, 46, 64, 141, 4, 0, 20, 136, 22, 109, 0, 1, 29, 74, 99, 31, 0, 57, 171, 216, 0, 225, 119, 232, 230, 0, 205, 202, 33, 88, 211, 167, 0, 43, 113, 78, 153, 0, 218, 207, 25, 145, 166, 159, 0, 35, 3, 80, 165, 176, 75, 0, 231, 239, 37, 133, 0, 200, 127, 199, 241, 0, 24, 81, 73, 142, 223, 10, 184, 0, 50, 147, 42, 27, 0, 112, 158, 187, 55, 190, 6, 0, 210, 126, 16, 139, 0, 66, 122, 44, 135, 76, 217, 203, 0, 138, 123, 67, 58, 233, 0, 125, 95, 5, 65, 124, 0, 68, 17, 160, 71, 214, 170, 0, 102, 12, 18, 32, 108, 155, 0, 98, 117, 224, 30, 215, 0, 222, 93, 70, 92, 69, 0, 48, 150, 62, 130, 38, 0, 204, 213, 201, 220, 0, 8, 240, 14, 79, 134, 0, 60, 174, 237, 110, 0, 115, 97, 84, 9, 0, 194, 179, 157, 146, 107, 0, 83, 132, 180, 183, 0, 185, 101, 52, 137, 61, 28, 0, 21, 140, 87, 49, 0, 209, 13, 51, 0, 227, 36, 186, 0, 96, 196, 121, 0, 114, 0]</t>
  </si>
  <si>
    <t>X_n241</t>
  </si>
  <si>
    <t>[0, 69, 92, 124, 237, 138, 84, 0, 123, 67, 93, 174, 0, 167, 95, 73, 223, 5, 184, 70, 0, 24, 176, 75, 65, 110, 0, 35, 211, 31, 33, 80, 88, 3, 0, 205, 206, 165, 10, 142, 81, 0, 4, 29, 99, 163, 1, 0, 202, 74, 141, 154, 111, 0, 156, 47, 228, 86, 0, 19, 234, 188, 90, 230, 105, 0, 26, 226, 175, 46, 177, 148, 168, 0, 64, 169, 106, 0, 39, 195, 53, 229, 94, 103, 0, 152, 197, 45, 82, 208, 0, 222, 119, 232, 125, 0, 116, 189, 191, 162, 144, 23, 2, 104, 0, 72, 34, 59, 182, 0, 91, 129, 43, 11, 0, 221, 41, 143, 131, 7, 172, 0, 238, 151, 77, 164, 120, 0, 236, 15, 178, 109, 63, 128, 219, 0, 193, 192, 161, 40, 0, 100, 89, 37, 239, 118, 0, 54, 85, 22, 200, 149, 198, 25, 0, 159, 133, 231, 66, 0, 6, 20, 50, 241, 166, 235, 0, 56, 136, 147, 187, 135, 0, 8, 145, 112, 210, 218, 0, 27, 42, 127, 199, 122, 0, 158, 190, 55, 44, 160, 17, 0, 113, 126, 76, 139, 0, 52, 102, 16, 71, 214, 0, 201, 78, 171, 0, 179, 220, 213, 117, 0, 240, 48, 30, 181, 212, 0, 224, 68, 18, 62, 0, 153, 217, 170, 32, 130, 155, 150, 0, 38, 108, 12, 101, 207, 0, 13, 14, 134, 146, 203, 185, 0, 194, 107, 209, 79, 0, 204, 51, 157, 36, 0, 61, 137, 186, 216, 0, 227, 215, 196, 121, 0, 115, 57, 98, 0, 28, 96, 114, 49, 0, 87, 21, 0, 83, 60, 140, 0, 132, 225, 173, 0, 233, 58, 97, 180, 0, 183, 9, 0]</t>
  </si>
  <si>
    <t>[0, 167, 174, 110, 69, 84, 0, 97, 93, 123, 138, 183, 0, 237, 70, 5, 65, 124, 92, 0, 95, 184, 10, 223, 73, 24, 0, 58, 35, 211, 67, 125, 233, 0, 3, 88, 80, 176, 75, 142, 81, 0, 206, 31, 4, 74, 99, 165, 0, 222, 232, 119, 105, 0, 205, 33, 202, 163, 208, 0, 230, 1, 29, 141, 175, 226, 154, 103, 0, 156, 188, 234, 90, 0, 19, 177, 46, 64, 26, 0, 148, 94, 169, 111, 0, 191, 144, 2, 229, 106, 104, 47, 0, 39, 59, 162, 23, 53, 0, 82, 189, 182, 34, 7, 131, 0, 86, 228, 168, 129, 54, 0, 45, 151, 172, 0, 91, 195, 77, 143, 41, 116, 0, 197, 164, 193, 128, 219, 120, 0, 152, 72, 109, 178, 239, 0, 43, 181, 57, 0, 15, 22, 37, 63, 221, 0, 83, 225, 173, 171, 0, 236, 40, 161, 192, 238, 0, 85, 89, 200, 149, 198, 0, 11, 113, 159, 145, 0, 235, 56, 100, 133, 118, 0, 166, 136, 127, 147, 0, 20, 241, 231, 199, 187, 55, 0, 25, 50, 42, 158, 27, 0, 66, 112, 190, 44, 135, 122, 0, 16, 126, 210, 153, 0, 48, 6, 68, 78, 8, 0, 146, 170, 214, 71, 160, 17, 139, 102, 0, 134, 62, 76, 240, 207, 0, 212, 216, 224, 30, 0, 201, 213, 117, 0, 220, 101, 14, 157, 0, 179, 12, 18, 32, 38, 0, 204, 52, 217, 155, 108, 130, 203, 0, 215, 98, 13, 186, 185, 0, 60, 180, 132, 140, 0, 49, 21, 9, 114, 0, 61, 137, 51, 194, 115, 0, 36, 150, 79, 107, 218, 0, 96, 209, 227, 0, 87, 121, 196, 28, 0]</t>
  </si>
  <si>
    <t>[0, 138, 231, 49, 64, 72, 147, 148, 0, 101, 224, 155, 223, 31, 176, 222, 204, 192, 235, 133, 241, 124, 96, 0, 23, 65, 0, 242, 57, 0, 236, 58, 55, 168, 0, 205, 99, 209, 40, 0, 111, 159, 208, 108, 180, 29, 213, 82, 166, 191, 136, 113, 207, 119, 97, 0, 4, 218, 26, 0, 174, 54, 0, 177, 232, 171, 189, 43, 211, 95, 215, 115, 0, 141, 243, 132, 32, 135, 94, 0, 219, 157, 216, 81, 129, 89, 79, 22, 202, 116, 162, 100, 0, 14, 92, 0, 66, 0, 25, 150, 122, 143, 153, 187, 186, 154, 0, 27, 68, 0, 15, 60, 170, 103, 0, 7, 130, 20, 118, 0, 228, 91, 102, 169, 56, 69, 201, 139, 75, 125, 110, 199, 217, 86, 0, 161, 131, 53, 121, 84, 212, 105, 151, 156, 0, 50, 140, 76, 90, 145, 0, 47, 244, 167, 126, 152, 0, 190, 142, 9, 163, 88, 233, 246, 226, 0, 67, 42, 71, 85, 0, 24, 37, 0, 73, 59, 2, 0, 35, 107, 104, 172, 197, 183, 0, 78, 184, 203, 6, 160, 146, 193, 214, 239, 221, 198, 225, 0, 38, 196, 77, 234, 240, 127, 230, 229, 144, 220, 114, 238, 0, 34, 45, 0, 134, 41, 200, 13, 98, 0, 39, 206, 120, 165, 181, 237, 112, 0, 178, 87, 106, 51, 80, 158, 117, 0, 62, 83, 195, 93, 128, 149, 0, 48, 36, 0, 28, 0, 185, 179, 137, 173, 227, 188, 210, 175, 70, 109, 194, 245, 182, 74, 164, 123, 0, 5, 0, 63, 0, 17, 18, 0, 1, 0, 8, 0, 33, 0, 12, 0, 10, 0, 61, 0, 3, 0, 30, 0, 46, 0, 21, 0, 44, 0, 11, 0, 19, 0, 16, 0, 52, 0]</t>
  </si>
  <si>
    <t>X_n246</t>
  </si>
  <si>
    <t>[0, 148, 242, 147, 72, 64, 49, 138, 0, 231, 101, 57, 115, 111, 0, 236, 92, 61, 97, 0, 23, 58, 0, 65, 55, 96, 0, 12, 0, 10, 0, 168, 241, 133, 235, 192, 204, 222, 223, 4, 119, 0, 207, 26, 30, 0, 205, 99, 54, 155, 124, 0, 174, 113, 209, 224, 40, 0, 136, 177, 232, 191, 159, 166, 208, 82, 213, 176, 31, 108, 189, 243, 0, 94, 218, 171, 43, 211, 215, 141, 0, 68, 27, 135, 0, 132, 29, 180, 15, 100, 0, 25, 95, 0, 32, 150, 187, 186, 154, 0, 66, 0, 14, 0, 153, 130, 157, 228, 202, 79, 22, 116, 162, 219, 0, 37, 216, 60, 102, 103, 0, 7, 143, 20, 0, 122, 81, 89, 56, 129, 125, 75, 163, 142, 140, 199, 217, 169, 91, 244, 0, 85, 152, 183, 167, 190, 110, 42, 170, 118, 0, 71, 246, 73, 233, 88, 139, 201, 78, 69, 184, 48, 104, 172, 86, 0, 214, 240, 127, 28, 203, 160, 146, 107, 76, 126, 0, 47, 226, 90, 197, 225, 0, 2, 59, 198, 0, 123, 145, 221, 193, 220, 144, 229, 230, 77, 234, 196, 24, 0, 35, 239, 114, 206, 120, 74, 238, 0, 38, 67, 0, 128, 164, 109, 137, 188, 210, 175, 195, 83, 6, 0, 62, 227, 173, 179, 70, 245, 194, 93, 0, 33, 182, 165, 158, 117, 0, 18, 36, 0, 237, 181, 80, 8, 0, 9, 0, 41, 185, 5, 0, 134, 178, 149, 63, 106, 87, 0, 151, 200, 51, 121, 84, 212, 105, 0, 45, 98, 13, 112, 0, 16, 0, 1, 156, 0, 34, 131, 161, 0, 50, 0, 53, 0, 3, 0, 44, 0, 46, 0, 21, 0, 52, 0, 39, 0, 11, 0, 19, 0, 17, 0]</t>
  </si>
  <si>
    <t>[0, 138, 49, 64, 72, 147, 242, 148, 0, 231, 96, 133, 235, 192, 204, 222, 176, 29, 213, 223, 155, 241, 124, 168, 101, 0, 23, 55, 0, 205, 57, 119, 97, 0, 236, 111, 113, 209, 224, 40, 99, 0, 207, 174, 4, 177, 191, 166, 82, 208, 159, 95, 141, 0, 58, 65, 0, 136, 54, 94, 0, 10, 92, 0, 61, 0, 218, 232, 171, 43, 211, 115, 0, 66, 0, 215, 189, 108, 31, 180, 79, 89, 129, 125, 201, 91, 143, 152, 118, 0, 243, 132, 32, 135, 0, 26, 27, 0, 14, 0, 100, 25, 219, 154, 0, 12, 0, 68, 7, 0, 150, 116, 202, 22, 81, 169, 102, 216, 157, 153, 0, 15, 162, 37, 0, 130, 47, 186, 85, 0, 3, 0, 187, 44, 170, 244, 90, 145, 0, 122, 228, 50, 103, 0, 11, 67, 0, 60, 42, 0, 16, 167, 197, 225, 0, 20, 24, 226, 183, 0, 2, 139, 75, 69, 78, 184, 203, 146, 172, 76, 198, 0, 126, 19, 221, 120, 238, 165, 181, 117, 0, 46, 0, 217, 199, 35, 107, 73, 246, 71, 86, 0, 196, 77, 240, 127, 28, 110, 163, 88, 142, 0, 160, 59, 56, 0, 190, 140, 9, 233, 104, 214, 239, 206, 123, 0, 62, 234, 230, 229, 144, 220, 193, 83, 158, 0, 6, 114, 210, 227, 173, 179, 175, 109, 128, 0, 38, 195, 194, 245, 74, 164, 237, 112, 0, 48, 36, 0, 39, 0, 131, 53, 161, 0, 121, 84, 51, 212, 105, 156, 0, 1, 0, 93, 5, 188, 137, 70, 182, 151, 0, 30, 0, 34, 45, 0, 134, 87, 63, 106, 200, 98, 0, 21, 0, 13, 41, 149, 0, 18, 0, 33, 185, 80, 178, 0, 8, 0, 17, 0, 52, 0]</t>
  </si>
  <si>
    <t>[0, 95, 106, 58, 142, 2, 38, 98, 85, 0, 78, 7, 132, 19, 185, 196, 233, 174, 0, 212, 231, 170, 224, 208, 225, 126, 213, 6, 0, 5, 139, 155, 242, 151, 249, 46, 241, 162, 0, 226, 163, 77, 194, 193, 216, 129, 24, 197, 0, 83, 1, 186, 36, 16, 199, 65, 47, 80, 0, 10, 120, 48, 49, 100, 44, 30, 88, 134, 63, 180, 0, 60, 61, 104, 68, 122, 43, 89, 70, 92, 250, 0, 41, 27, 33, 50, 125, 169, 238, 144, 75, 0, 57, 18, 12, 29, 93, 99, 109, 56, 0, 54, 91, 52, 74, 115, 105, 232, 32, 13, 236, 0, 11, 14, 69, 35, 53, 111, 121, 112, 90, 0, 26, 59, 72, 188, 124, 123, 51, 34, 164, 204, 0, 245, 149, 239, 143, 84, 146, 166, 150, 168, 45, 0, 22, 76, 153, 114, 117, 94, 217, 154, 133, 0, 79, 37, 20, 229, 4, 81, 97, 107, 0, 73, 96, 87, 23, 3, 21, 179, 110, 113, 86, 0, 158, 39, 200, 227, 147, 64, 130, 136, 9, 0, 183, 247, 201, 156, 221, 8, 171, 131, 140, 176, 0, 178, 192, 173, 230, 127, 240, 82, 40, 0, 243, 237, 209, 167, 182, 211, 135, 248, 161, 0, 206, 244, 205, 138, 190, 246, 159, 219, 145, 0, 191, 141, 175, 165, 202, 223, 128, 148, 0, 222, 234, 218, 210, 172, 62, 160, 203, 228, 0, 116, 108, 198, 28, 181, 177, 189, 67, 195, 0, 102, 184, 152, 235, 214, 220, 17, 215, 66, 137, 0, 118, 31, 71, 207, 187, 157, 42, 103, 0, 15, 55, 25, 101, 119, 0]</t>
  </si>
  <si>
    <t>X_n250</t>
  </si>
  <si>
    <t>[0, 95, 106, 58, 78, 85, 7, 2, 38, 0, 98, 142, 19, 185, 196, 233, 174, 132, 0, 6, 212, 208, 224, 139, 1, 83, 5, 0, 170, 231, 126, 225, 241, 226, 16, 36, 186, 47, 0, 65, 199, 10, 155, 242, 249, 46, 162, 213, 0, 80, 197, 163, 44, 216, 193, 194, 77, 151, 0, 119, 41, 60, 120, 134, 30, 63, 180, 129, 24, 0, 250, 88, 104, 100, 48, 61, 92, 33, 27, 54, 0, 125, 18, 89, 43, 122, 68, 49, 70, 57, 50, 0, 75, 91, 12, 29, 93, 99, 109, 56, 26, 0, 245, 149, 72, 13, 232, 74, 52, 59, 169, 0, 45, 236, 239, 143, 34, 51, 123, 105, 115, 32, 0, 238, 22, 168, 84, 188, 124, 164, 114, 153, 146, 0, 82, 235, 230, 166, 192, 127, 178, 243, 0, 144, 184, 203, 237, 150, 161, 160, 191, 152, 40, 0, 31, 207, 214, 248, 133, 240, 228, 187, 102, 0, 137, 17, 247, 154, 76, 173, 157, 103, 0, 42, 183, 220, 209, 67, 62, 108, 66, 0, 71, 215, 195, 189, 135, 221, 204, 117, 201, 167, 0, 158, 244, 145, 211, 94, 217, 156, 182, 141, 177, 0, 116, 113, 159, 171, 175, 181, 198, 206, 101, 0, 55, 39, 234, 28, 222, 25, 15, 0, 118, 138, 140, 223, 202, 8, 165, 210, 0, 148, 172, 218, 246, 128, 131, 219, 176, 205, 0, 86, 130, 110, 179, 64, 200, 147, 227, 190, 0, 9, 136, 3, 21, 69, 14, 23, 87, 96, 0, 111, 35, 53, 11, 73, 81, 4, 229, 20, 0, 79, 37, 97, 121, 112, 107, 90, 0]</t>
  </si>
  <si>
    <t>[0, 95, 106, 58, 7, 85, 78, 98, 38, 0, 2, 142, 19, 185, 196, 233, 132, 0, 174, 208, 170, 224, 225, 126, 231, 212, 6, 0, 213, 162, 241, 46, 249, 151, 242, 155, 139, 0, 226, 197, 24, 77, 194, 193, 216, 129, 10, 36, 0, 65, 92, 60, 120, 163, 16, 199, 186, 1, 0, 180, 63, 134, 88, 30, 44, 100, 104, 48, 61, 250, 0, 5, 83, 49, 68, 122, 43, 89, 57, 27, 41, 0, 54, 50, 109, 99, 93, 29, 18, 70, 33, 0, 75, 125, 91, 12, 56, 105, 123, 51, 34, 164, 0, 169, 26, 59, 52, 74, 115, 232, 124, 84, 0, 245, 149, 72, 13, 32, 188, 143, 239, 236, 45, 0, 144, 238, 168, 22, 178, 243, 184, 42, 0, 82, 127, 192, 166, 146, 153, 114, 204, 94, 0, 240, 237, 150, 76, 173, 230, 248, 203, 0, 228, 235, 161, 154, 209, 133, 214, 207, 66, 0, 152, 191, 135, 201, 156, 217, 117, 221, 182, 181, 0, 17, 220, 177, 211, 167, 247, 160, 183, 187, 0, 157, 62, 67, 141, 222, 108, 215, 31, 0, 195, 189, 175, 172, 165, 8, 202, 223, 210, 0, 137, 198, 28, 145, 171, 218, 131, 128, 234, 0, 102, 138, 148, 140, 159, 219, 227, 205, 206, 0, 39, 200, 147, 176, 246, 190, 244, 158, 40, 103, 0, 90, 107, 112, 121, 97, 37, 79, 0, 111, 53, 11, 35, 69, 14, 23, 73, 20, 0, 4, 96, 87, 3, 21, 179, 64, 130, 113, 0, 229, 81, 9, 110, 136, 86, 71, 116, 0, 15, 118, 55, 25, 101, 119, 80, 47, 0]</t>
  </si>
  <si>
    <t>[0, 146, 147, 20, 114, 112, 204, 236, 121, 38, 174, 210, 149, 11, 141, 218, 0, 148, 37, 41, 32, 85, 111, 78, 152, 137, 238, 26, 59, 36, 53, 132, 0, 232, 35, 21, 125, 190, 80, 75, 110, 157, 178, 103, 138, 18, 89, 99, 34, 227, 0, 13, 205, 7, 108, 161, 49, 251, 10, 23, 116, 244, 52, 90, 40, 240, 0, 63, 229, 202, 123, 5, 243, 207, 235, 170, 252, 199, 143, 172, 14, 230, 105, 0, 12, 39, 216, 176, 92, 91, 74, 117, 135, 9, 134, 54, 247, 0, 184, 150, 165, 69, 76, 136, 1, 222, 209, 126, 96, 162, 180, 79, 144, 194, 0, 101, 139, 160, 183, 156, 255, 66, 191, 2, 131, 100, 186, 220, 254, 0, 61, 83, 22, 84, 19, 237, 129, 70, 93, 65, 119, 155, 24, 219, 173, 0, 225, 164, 71, 29, 25, 87, 200, 203, 44, 212, 27, 189, 43, 233, 151, 192, 0, 56, 8, 72, 102, 163, 97, 81, 68, 187, 195, 208, 113, 239, 55, 142, 133, 0, 82, 166, 198, 128, 47, 86, 48, 181, 4, 124, 88, 213, 179, 64, 122, 0, 234, 115, 169, 228, 206, 231, 196, 6, 73, 253, 120, 223, 94, 224, 31, 188, 0, 33, 106, 167, 193, 50, 77, 215, 60, 177, 109, 127, 30, 226, 95, 221, 0, 175, 130, 168, 159, 248, 211, 58, 242, 245, 98, 154, 250, 140, 0, 249, 246, 185, 171, 51, 107, 16, 17, 28, 57, 104, 3, 153, 214, 201, 0, 217, 197, 15, 67, 158, 145, 42, 46, 182, 62, 45, 118, 241, 0]</t>
  </si>
  <si>
    <t>X_n255</t>
  </si>
  <si>
    <t>[0, 249, 246, 241, 118, 182, 45, 62, 15, 197, 217, 201, 193, 33, 0, 82, 106, 122, 167, 50, 77, 171, 51, 95, 107, 3, 214, 185, 0, 64, 88, 213, 60, 215, 221, 57, 177, 29, 124, 181, 225, 192, 101, 247, 0, 179, 71, 25, 87, 86, 200, 203, 212, 189, 233, 164, 128, 47, 4, 198, 166, 0, 48, 151, 43, 44, 27, 156, 183, 160, 255, 66, 2, 131, 100, 139, 54, 12, 0, 216, 91, 172, 170, 143, 252, 199, 74, 117, 135, 9, 191, 186, 220, 254, 134, 0, 132, 32, 85, 111, 78, 152, 137, 207, 123, 202, 229, 14, 92, 176, 39, 105, 0, 148, 26, 59, 36, 53, 63, 230, 5, 243, 235, 238, 41, 37, 114, 112, 20, 0, 146, 147, 218, 141, 11, 174, 210, 149, 204, 236, 121, 38, 21, 35, 232, 34, 13, 0, 61, 240, 184, 150, 90, 108, 18, 80, 190, 125, 89, 7, 99, 205, 227, 0, 40, 83, 52, 244, 165, 49, 161, 138, 75, 103, 10, 23, 116, 194, 22, 0, 173, 219, 84, 19, 79, 209, 96, 157, 110, 178, 222, 1, 136, 76, 69, 251, 0, 130, 115, 133, 8, 70, 162, 180, 126, 144, 129, 237, 24, 56, 175, 234, 0, 142, 72, 102, 163, 97, 208, 195, 187, 68, 119, 93, 65, 155, 0, 168, 169, 206, 231, 224, 94, 223, 120, 253, 6, 196, 73, 113, 81, 239, 55, 0, 159, 228, 188, 248, 31, 211, 58, 242, 245, 98, 154, 250, 140, 0, 67, 158, 145, 42, 46, 28, 127, 109, 30, 226, 17, 16, 104, 153, 0]</t>
  </si>
  <si>
    <t>[0, 247, 54, 134, 254, 220, 186, 100, 131, 2, 191, 66, 255, 183, 160, 101, 0, 12, 105, 39, 216, 176, 74, 117, 135, 9, 139, 156, 27, 212, 44, 189, 43, 151, 0, 132, 63, 123, 235, 170, 152, 111, 78, 252, 199, 143, 172, 91, 92, 14, 230, 229, 0, 148, 26, 59, 36, 53, 202, 5, 243, 207, 137, 85, 32, 238, 41, 37, 0, 146, 147, 20, 114, 112, 204, 236, 121, 149, 210, 11, 174, 35, 34, 141, 218, 0, 13, 227, 232, 21, 38, 190, 125, 80, 18, 108, 89, 7, 99, 205, 240, 61, 0, 82, 106, 225, 166, 198, 47, 86, 25, 87, 200, 203, 164, 128, 233, 192, 0, 184, 150, 52, 165, 161, 138, 103, 75, 110, 157, 178, 222, 76, 49, 244, 40, 0, 167, 50, 64, 88, 109, 177, 29, 71, 124, 48, 181, 4, 193, 122, 33, 0, 22, 194, 129, 180, 162, 96, 126, 209, 1, 136, 69, 10, 251, 116, 90, 83, 0, 249, 77, 179, 213, 60, 215, 30, 127, 28, 226, 17, 107, 95, 51, 171, 221, 0, 246, 185, 214, 153, 3, 16, 104, 57, 46, 42, 67, 158, 145, 217, 201, 0, 23, 19, 237, 144, 79, 70, 93, 68, 119, 65, 155, 24, 219, 56, 234, 0, 173, 84, 8, 72, 102, 163, 187, 195, 208, 81, 97, 142, 133, 130, 175, 0, 115, 55, 239, 113, 73, 253, 120, 223, 94, 224, 6, 196, 231, 206, 228, 169, 0, 197, 15, 62, 182, 45, 241, 118, 154, 250, 140, 0, 168, 188, 31, 211, 58, 242, 245, 98, 248, 159, 0]</t>
  </si>
  <si>
    <t>[0, 141, 82, 41, 100, 207, 80, 236, 111, 237, 192, 95, 245, 63, 238, 70, 167, 205, 244, 190, 138, 19, 48, 131, 39, 213, 0, 50, 4, 117, 43, 57, 119, 60, 77, 25, 154, 78, 27, 194, 163, 12, 105, 103, 31, 36, 68, 250, 226, 49, 0, 180, 173, 221, 18, 183, 243, 248, 17, 83, 61, 201, 127, 223, 169, 45, 150, 86, 110, 67, 148, 0, 143, 16, 178, 64, 51, 214, 37, 209, 28, 187, 26, 104, 217, 116, 260, 0, 171, 240, 158, 258, 3, 66, 90, 112, 151, 34, 185, 249, 47, 199, 97, 93, 102, 251, 166, 0, 188, 6, 193, 56, 256, 123, 20, 203, 8, 14, 152, 227, 140, 225, 89, 65, 29, 189, 144, 153, 35, 22, 10, 233, 219, 11, 92, 149, 0, 254, 72, 76, 247, 59, 94, 175, 108, 52, 208, 252, 38, 234, 170, 125, 182, 33, 115, 222, 155, 257, 40, 0, 197, 53, 212, 42, 161, 73, 5, 13, 198, 58, 128, 101, 186, 145, 9, 98, 179, 0, 156, 118, 107, 202, 215, 176, 218, 196, 84, 54, 114, 216, 191, 71, 206, 228, 87, 172, 130, 210, 85, 139, 137, 0, 55, 122, 164, 239, 204, 235, 224, 23, 146, 165, 113, 129, 81, 133, 21, 126, 30, 88, 200, 24, 184, 0, 174, 231, 44, 259, 132, 195, 220, 99, 230, 157, 136, 147, 121, 74, 96, 2, 106, 255, 246, 168, 142, 0, 91, 229, 15, 62, 46, 253, 75, 134, 135, 79, 177, 0, 242, 159, 32, 162, 69, 120, 211, 124, 109, 181, 160, 241, 1, 7, 232, 0]</t>
  </si>
  <si>
    <t>X_n260</t>
  </si>
  <si>
    <t>[0, 148, 218, 84, 54, 114, 71, 206, 191, 216, 92, 219, 233, 153, 35, 22, 10, 11, 149, 196, 215, 202, 118, 156, 0, 228, 87, 29, 189, 144, 227, 152, 14, 8, 123, 20, 203, 201, 61, 127, 223, 193, 256, 56, 140, 225, 65, 89, 172, 130, 210, 110, 39, 0, 67, 85, 188, 86, 6, 169, 83, 17, 63, 238, 70, 243, 183, 45, 150, 173, 48, 131, 41, 180, 250, 197, 0, 143, 178, 100, 221, 18, 248, 167, 245, 95, 205, 138, 80, 19, 207, 28, 209, 37, 214, 0, 51, 26, 187, 43, 25, 27, 78, 154, 77, 60, 237, 192, 244, 190, 117, 236, 50, 104, 82, 213, 0, 226, 260, 102, 116, 64, 217, 240, 4, 111, 57, 119, 194, 163, 12, 105, 31, 68, 158, 247, 93, 76, 0, 139, 231, 53, 171, 59, 258, 66, 90, 112, 151, 36, 34, 103, 185, 175, 94, 161, 72, 42, 254, 251, 166, 0, 44, 9, 145, 55, 155, 222, 108, 52, 208, 97, 199, 47, 249, 3, 257, 212, 16, 176, 0, 259, 40, 186, 5, 73, 115, 33, 182, 252, 38, 234, 170, 125, 239, 164, 204, 235, 224, 23, 146, 165, 81, 21, 136, 0, 98, 179, 132, 195, 220, 99, 230, 101, 122, 128, 58, 13, 198, 126, 113, 129, 133, 88, 211, 0, 142, 168, 246, 255, 106, 2, 157, 30, 200, 24, 184, 147, 121, 74, 96, 181, 160, 162, 0, 229, 232, 49, 174, 15, 62, 141, 7, 241, 1, 69, 109, 124, 120, 32, 159, 242, 0, 135, 134, 75, 107, 137, 46, 253, 79, 91, 177, 0]</t>
  </si>
  <si>
    <t>[0, 176, 196, 54, 84, 71, 206, 29, 233, 144, 153, 35, 22, 10, 219, 11, 92, 191, 216, 114, 149, 215, 156, 0, 67, 210, 130, 172, 89, 65, 225, 6, 56, 256, 193, 223, 127, 83, 61, 201, 203, 20, 123, 8, 14, 152, 227, 140, 189, 87, 228, 218, 202, 0, 148, 213, 85, 86, 150, 45, 169, 17, 70, 238, 63, 245, 167, 205, 244, 190, 243, 248, 183, 173, 226, 166, 0, 131, 48, 221, 18, 138, 236, 117, 111, 95, 192, 237, 60, 77, 194, 25, 154, 78, 27, 163, 12, 105, 31, 68, 250, 0, 16, 197, 64, 51, 26, 187, 209, 104, 37, 214, 82, 180, 41, 188, 110, 39, 141, 0, 100, 207, 19, 80, 4, 43, 57, 119, 151, 103, 185, 34, 36, 112, 50, 28, 217, 171, 0, 260, 102, 240, 158, 258, 66, 90, 3, 97, 199, 249, 47, 38, 234, 170, 125, 182, 52, 94, 0, 251, 254, 212, 72, 76, 161, 222, 115, 33, 252, 208, 108, 175, 59, 247, 93, 116, 178, 143, 139, 107, 137, 0, 211, 136, 21, 133, 81, 129, 113, 165, 146, 23, 224, 235, 204, 239, 164, 73, 5, 155, 257, 40, 145, 42, 177, 0, 231, 53, 44, 9, 55, 186, 122, 128, 58, 13, 198, 126, 88, 200, 24, 147, 99, 195, 0, 62, 142, 259, 98, 179, 132, 220, 230, 101, 157, 30, 184, 121, 74, 96, 2, 106, 181, 124, 162, 0, 253, 46, 118, 15, 7, 168, 241, 246, 255, 160, 1, 109, 69, 120, 32, 49, 174, 0, 91, 242, 159, 232, 229, 75, 134, 135, 79, 0]</t>
  </si>
  <si>
    <t>[0, 151, 42, 14, 116, 257, 0, 50, 117, 61, 119, 26, 0, 220, 60, 55, 93, 2, 0, 252, 160, 200, 207, 179, 0, 215, 201, 138, 182, 204, 0, 210, 169, 244, 136, 15, 0, 99, 79, 168, 173, 152, 0, 264, 212, 132, 199, 0, 4, 46, 48, 131, 80, 0, 250, 178, 232, 265, 0, 259, 248, 67, 142, 229, 0, 235, 159, 161, 241, 0, 177, 196, 203, 127, 0, 74, 216, 228, 23, 0, 260, 86, 95, 52, 222, 0, 162, 240, 43, 153, 163, 0, 150, 145, 135, 113, 218, 0, 255, 78, 83, 192, 0, 72, 30, 6, 3, 0, 213, 87, 36, 247, 118, 0, 97, 226, 140, 214, 0, 22, 130, 111, 19, 0, 208, 28, 32, 64, 0, 187, 253, 245, 188, 0, 190, 156, 176, 256, 0, 251, 11, 9, 39, 0, 221, 71, 37, 1, 35, 56, 0, 184, 128, 225, 224, 0, 217, 183, 133, 174, 0, 157, 34, 105, 63, 0, 134, 181, 258, 21, 0, 57, 69, 73, 191, 0, 175, 24, 58, 18, 0, 242, 12, 205, 155, 54, 0, 75, 101, 122, 17, 0, 38, 7, 91, 158, 0, 125, 53, 33, 211, 0, 84, 180, 123, 172, 0, 129, 8, 120, 92, 0, 110, 243, 31, 76, 0, 263, 249, 51, 146, 0, 94, 100, 107, 85, 45, 16, 0, 108, 167, 121, 77, 0, 109, 29, 230, 239, 197, 0, 233, 89, 41, 102, 0, 104, 126, 96, 5, 0, 13, 154, 209, 231, 103, 0, 59, 124, 40, 70, 0, 47, 114, 234, 219, 0, 246, 44, 49, 82, 0, 206, 189, 193, 186, 81, 0, 141, 147, 65, 106, 0, 237, 261, 62, 171, 262, 0, 164, 238, 115, 90, 66, 0, 27, 143, 166, 20, 0, 139, 148, 137, 185, 0, 223, 10, 144, 198, 0, 170, 254, 98, 194, 112, 0, 88, 227, 25, 149, 0, 195, 202, 236, 0, 68, 165, 0]</t>
  </si>
  <si>
    <t>X_n265</t>
  </si>
  <si>
    <t>[0, 102, 41, 45, 143, 0, 16, 85, 107, 100, 120, 0, 92, 8, 17, 75, 0, 129, 1, 37, 122, 101, 0, 221, 208, 71, 9, 35, 0, 12, 251, 140, 232, 0, 242, 214, 256, 156, 0, 155, 28, 11, 39, 56, 0, 205, 176, 192, 135, 0, 218, 226, 145, 67, 150, 0, 54, 72, 32, 83, 0, 113, 222, 257, 127, 248, 0, 52, 78, 30, 64, 0, 138, 196, 260, 255, 229, 0, 203, 95, 86, 142, 259, 0, 42, 26, 3, 6, 116, 0, 14, 50, 61, 117, 0, 177, 151, 132, 215, 0, 244, 60, 93, 119, 220, 0, 15, 207, 169, 210, 99, 0, 216, 131, 80, 2, 55, 0, 160, 136, 74, 253, 0, 200, 46, 48, 4, 23, 0, 179, 228, 213, 63, 0, 184, 105, 245, 79, 161, 0, 212, 247, 36, 111, 0, 264, 199, 53, 33, 0, 250, 252, 118, 130, 87, 0, 201, 22, 38, 7, 0, 157, 34, 24, 19, 77, 0, 168, 187, 128, 175, 0, 125, 188, 225, 58, 0, 69, 158, 91, 96, 0, 173, 224, 18, 121, 0, 178, 126, 5, 31, 211, 0, 147, 108, 167, 70, 0, 219, 104, 243, 49, 0, 154, 110, 40, 82, 0, 114, 246, 76, 124, 0, 209, 59, 106, 115, 90, 0, 254, 44, 65, 66, 0, 112, 194, 98, 238, 234, 0, 227, 25, 164, 13, 0, 170, 141, 149, 68, 0, 236, 197, 47, 88, 103, 0, 202, 237, 165, 0, 239, 84, 206, 195, 0, 198, 144, 185, 263, 223, 0, 137, 262, 27, 139, 261, 0, 10, 148, 20, 193, 0, 29, 230, 183, 21, 0, 134, 217, 231, 191, 0, 81, 166, 171, 233, 0, 109, 94, 189, 62, 186, 0, 249, 146, 89, 0, 51, 123, 172, 0, 180, 190, 43, 97, 0, 182, 265, 153, 163, 0, 162, 159, 241, 73, 0, 204, 240, 235, 258, 0, 152, 133, 57, 174, 0, 181, 0]</t>
  </si>
  <si>
    <t>[0, 102, 16, 41, 45, 54, 0, 92, 101, 120, 85, 0, 75, 35, 122, 100, 107, 0, 129, 56, 39, 17, 0, 208, 1, 37, 9, 8, 0, 94, 146, 123, 172, 0, 51, 89, 189, 62, 0, 221, 155, 156, 205, 12, 0, 72, 71, 11, 28, 52, 0, 251, 256, 176, 140, 0, 32, 30, 64, 3, 0, 83, 78, 6, 116, 0, 20, 193, 143, 186, 0, 226, 214, 192, 135, 0, 190, 218, 248, 232, 97, 0, 257, 86, 95, 127, 0, 259, 178, 67, 113, 242, 0, 142, 255, 222, 145, 150, 0, 61, 119, 26, 14, 203, 0, 153, 229, 260, 177, 196, 0, 42, 50, 117, 80, 0, 151, 2, 93, 55, 4, 0, 252, 220, 60, 48, 131, 0, 201, 132, 212, 215, 0, 250, 138, 264, 79, 168, 0, 200, 169, 247, 36, 46, 0, 99, 210, 118, 111, 213, 0, 15, 244, 130, 38, 0, 199, 160, 216, 136, 0, 179, 74, 228, 23, 0, 265, 43, 180, 0, 187, 207, 22, 87, 0, 63, 128, 7, 5, 0, 253, 225, 77, 19, 0, 233, 29, 171, 166, 0, 158, 91, 24, 224, 0, 69, 184, 58, 96, 0, 263, 27, 262, 148, 10, 0, 109, 249, 230, 217, 0, 159, 182, 240, 163, 0, 161, 245, 105, 175, 0, 173, 53, 188, 33, 0, 126, 121, 18, 157, 125, 0, 21, 241, 235, 57, 0, 204, 162, 133, 152, 174, 0, 211, 167, 108, 34, 0, 231, 73, 209, 154, 0, 104, 243, 31, 76, 0, 258, 40, 70, 49, 0, 134, 183, 181, 191, 0, 239, 84, 81, 137, 0, 141, 219, 13, 114, 164, 0, 246, 110, 82, 115, 0, 47, 139, 185, 144, 0, 234, 59, 124, 65, 0, 206, 261, 198, 195, 0, 236, 103, 197, 223, 202, 0, 147, 44, 106, 90, 66, 0, 237, 88, 165, 0, 25, 254, 170, 0, 112, 98, 238, 194, 227, 0, 68, 149, 0]</t>
  </si>
  <si>
    <t>[0, 159, 180, 221, 201, 189, 158, 212, 200, 0, 211, 138, 185, 11, 161, 254, 152, 0, 82, 229, 248, 63, 245, 21, 246, 0, 226, 269, 95, 55, 145, 52, 90, 0, 207, 157, 98, 205, 44, 124, 186, 170, 0, 214, 149, 268, 28, 217, 208, 0, 110, 30, 224, 181, 134, 58, 255, 22, 0, 199, 263, 196, 187, 166, 156, 238, 85, 0, 253, 6, 97, 122, 127, 78, 20, 0, 144, 237, 264, 222, 135, 140, 48, 0, 167, 262, 267, 252, 182, 74, 171, 198, 0, 188, 41, 59, 92, 25, 19, 109, 213, 0, 89, 234, 250, 14, 115, 183, 150, 209, 0, 32, 64, 80, 100, 16, 106, 35, 0, 104, 147, 231, 218, 26, 69, 194, 0, 71, 77, 34, 54, 70, 126, 105, 0, 66, 45, 60, 111, 125, 50, 83, 0, 244, 220, 165, 151, 163, 228, 113, 0, 10, 215, 99, 67, 31, 33, 29, 38, 0, 225, 168, 2, 72, 12, 1, 0, 120, 27, 4, 7, 65, 91, 107, 116, 0, 251, 117, 15, 230, 155, 43, 61, 0, 73, 84, 79, 53, 96, 87, 259, 0, 184, 227, 195, 177, 191, 142, 40, 123, 0, 258, 223, 210, 232, 249, 242, 160, 162, 0, 36, 175, 219, 266, 192, 260, 128, 153, 0, 247, 256, 133, 236, 146, 143, 178, 0, 57, 203, 114, 154, 136, 235, 241, 0, 51, 179, 174, 139, 239, 233, 137, 0, 76, 240, 164, 257, 68, 193, 141, 206, 0, 202, 216, 204, 197, 148, 261, 0, 56, 47, 5, 169, 75, 24, 129, 119, 0, 173, 243, 13, 190, 172, 130, 102, 121, 0, 118, 3, 131, 265, 23, 88, 39, 112, 0, 132, 37, 8, 103, 17, 42, 46, 93, 0, 9, 18, 101, 176, 86, 49, 108, 94, 0, 62, 81, 0]</t>
  </si>
  <si>
    <t>X_n269</t>
  </si>
  <si>
    <t>[0, 120, 51, 47, 5, 131, 112, 37, 0, 56, 61, 216, 23, 119, 39, 0, 3, 202, 197, 75, 129, 88, 265, 0, 50, 27, 148, 178, 137, 204, 24, 169, 0, 86, 260, 128, 79, 31, 33, 29, 73, 0, 49, 177, 96, 53, 184, 84, 12, 0, 132, 243, 193, 266, 195, 87, 259, 40, 0, 36, 203, 257, 219, 227, 142, 72, 0, 123, 175, 153, 192, 136, 141, 164, 130, 0, 176, 121, 190, 206, 114, 68, 154, 57, 0, 2, 191, 241, 173, 13, 172, 102, 0, 38, 235, 240, 76, 46, 17, 103, 42, 0, 118, 232, 139, 242, 143, 233, 261, 8, 0, 251, 249, 236, 160, 174, 239, 162, 0, 83, 223, 210, 146, 133, 256, 247, 0, 15, 230, 155, 43, 258, 179, 0, 117, 65, 91, 7, 4, 116, 66, 45, 0, 107, 125, 111, 60, 105, 70, 34, 0, 213, 77, 64, 16, 100, 80, 126, 0, 41, 78, 20, 25, 19, 35, 106, 54, 0, 188, 253, 97, 92, 59, 109, 32, 0, 127, 122, 6, 21, 254, 152, 212, 0, 189, 201, 170, 161, 11, 246, 200, 0, 185, 63, 245, 55, 145, 95, 229, 0, 82, 226, 269, 90, 248, 138, 221, 158, 0, 159, 211, 52, 124, 44, 205, 30, 110, 0, 180, 186, 224, 98, 157, 268, 149, 0, 199, 181, 207, 196, 263, 28, 217, 208, 0, 85, 144, 237, 58, 134, 166, 187, 0, 89, 167, 48, 140, 255, 156, 238, 214, 0, 71, 198, 264, 222, 22, 74, 267, 262, 0, 135, 171, 182, 252, 234, 147, 104, 0, 194, 151, 183, 14, 150, 209, 250, 0, 231, 115, 165, 215, 163, 99, 69, 10, 0, 244, 218, 26, 220, 67, 228, 113, 0, 1, 168, 18, 93, 101, 108, 94, 0, 9, 225, 81, 62, 0]</t>
  </si>
  <si>
    <t>[0, 50, 45, 105, 60, 66, 91, 65, 7, 0, 4, 116, 107, 125, 111, 126, 64, 0, 35, 106, 80, 70, 54, 34, 77, 0, 83, 32, 100, 16, 19, 92, 20, 0, 188, 41, 127, 78, 25, 59, 109, 213, 0, 71, 200, 212, 158, 253, 152, 189, 159, 0, 246, 254, 6, 122, 97, 245, 185, 0, 180, 201, 170, 21, 161, 11, 0, 63, 95, 55, 145, 52, 90, 248, 0, 221, 138, 229, 226, 269, 186, 211, 0, 157, 98, 205, 44, 124, 224, 30, 82, 0, 27, 251, 117, 15, 230, 43, 51, 0, 217, 28, 110, 196, 187, 199, 149, 0, 268, 263, 207, 156, 181, 134, 58, 22, 89, 0, 48, 144, 222, 74, 255, 238, 166, 85, 0, 167, 262, 135, 198, 264, 237, 140, 0, 56, 258, 139, 236, 249, 232, 155, 0, 208, 214, 267, 209, 171, 182, 252, 0, 3, 247, 162, 223, 160, 242, 146, 210, 0, 61, 233, 239, 174, 143, 133, 256, 0, 104, 234, 250, 151, 183, 115, 150, 0, 194, 69, 67, 163, 215, 165, 14, 231, 0, 147, 218, 26, 220, 99, 228, 113, 0, 47, 169, 137, 178, 148, 261, 179, 202, 0, 73, 53, 96, 79, 31, 33, 29, 38, 0, 84, 184, 259, 87, 195, 227, 142, 40, 0, 12, 177, 128, 260, 192, 175, 191, 0, 5, 119, 24, 197, 75, 204, 216, 0, 9, 225, 2, 72, 10, 1, 244, 0, 36, 153, 266, 219, 136, 193, 154, 203, 0, 57, 206, 164, 68, 141, 235, 241, 123, 0, 121, 76, 130, 190, 240, 243, 257, 114, 0, 86, 8, 88, 129, 23, 265, 131, 39, 0, 168, 18, 102, 173, 13, 172, 93, 0, 94, 81, 118, 120, 62, 0, 42, 46, 17, 103, 112, 37, 49, 0, 108, 132, 176, 101, 0]</t>
  </si>
  <si>
    <t>[0, 188, 26, 254, 96, 58, 179, 250, 238, 204, 0, 116, 53, 57, 103, 36, 142, 182, 25, 246, 0, 2, 211, 234, 248, 55, 256, 115, 172, 114, 0, 156, 16, 147, 266, 33, 208, 155, 189, 34, 0, 24, 175, 221, 133, 177, 159, 272, 253, 225, 0, 161, 141, 244, 260, 268, 85, 22, 23, 97, 0, 89, 202, 145, 198, 65, 269, 42, 73, 119, 0, 75, 106, 144, 126, 148, 134, 233, 228, 247, 0, 104, 107, 27, 273, 9, 168, 146, 226, 181, 0, 136, 184, 109, 91, 120, 180, 222, 257, 194, 0, 60, 185, 262, 219, 108, 236, 78, 174, 149, 0, 21, 135, 207, 129, 83, 47, 38, 213, 84, 0, 74, 39, 98, 223, 81, 270, 191, 44, 79, 0, 92, 20, 220, 162, 197, 263, 54, 18, 40, 0, 128, 3, 66, 153, 231, 121, 255, 10, 227, 0, 169, 6, 271, 264, 154, 237, 70, 259, 50, 0, 243, 51, 178, 28, 59, 12, 72, 131, 105, 0, 196, 183, 14, 80, 76, 187, 139, 61, 186, 0, 30, 17, 203, 205, 48, 137, 143, 52, 93, 0, 190, 117, 71, 37, 95, 113, 216, 68, 258, 0, 193, 157, 77, 13, 239, 100, 252, 241, 88, 0, 82, 62, 160, 123, 265, 173, 111, 127, 217, 0, 212, 192, 64, 201, 195, 210, 242, 125, 15, 0, 206, 230, 158, 118, 166, 229, 245, 122, 150, 0, 29, 11, 218, 164, 99, 132, 267, 102, 251, 0, 41, 90, 170, 224, 232, 67, 152, 138, 235, 0, 87, 165, 249, 209, 7, 140, 94, 69, 274, 0, 56, 49, 43, 110, 8, 19, 1, 214, 176, 0, 31, 167, 199, 151, 46, 130, 101, 5, 261, 0, 124, 215, 171, 4, 63, 35, 200, 45, 240, 0, 32, 112, 163, 86, 0]</t>
  </si>
  <si>
    <t>X_n274</t>
  </si>
  <si>
    <t>[0, 30, 17, 203, 105, 52, 93, 13, 239, 100, 0, 51, 205, 143, 131, 137, 50, 128, 169, 243, 0, 92, 20, 84, 44, 40, 3, 48, 178, 227, 0, 21, 220, 10, 6, 231, 72, 12, 59, 28, 0, 181, 213, 162, 18, 70, 259, 121, 255, 79, 0, 136, 135, 207, 191, 153, 237, 154, 271, 197, 0, 272, 185, 38, 47, 223, 174, 66, 270, 264, 0, 74, 262, 120, 222, 236, 78, 81, 263, 54, 0, 60, 39, 83, 98, 108, 180, 104, 147, 16, 0, 253, 175, 156, 53, 266, 96, 58, 254, 161, 0, 24, 146, 145, 159, 36, 103, 179, 250, 26, 0, 116, 238, 114, 57, 133, 177, 89, 194, 91, 0, 204, 33, 208, 155, 142, 244, 182, 2, 246, 0, 129, 149, 219, 184, 109, 257, 27, 273, 9, 0, 225, 42, 198, 65, 269, 168, 107, 226, 119, 0, 188, 221, 202, 73, 172, 115, 256, 55, 25, 0, 97, 141, 268, 260, 234, 248, 34, 211, 189, 0, 190, 134, 148, 126, 144, 106, 85, 22, 23, 0, 196, 113, 217, 233, 228, 139, 186, 183, 75, 0, 117, 82, 62, 160, 123, 216, 76, 80, 258, 0, 61, 247, 14, 71, 265, 125, 29, 15, 212, 0, 163, 32, 56, 173, 111, 37, 95, 187, 68, 0, 64, 127, 201, 195, 192, 242, 31, 112, 86, 0, 210, 99, 164, 218, 11, 176, 49, 171, 215, 0, 240, 214, 167, 267, 5, 130, 101, 132, 0, 124, 138, 200, 35, 46, 102, 261, 251, 0, 87, 8, 4, 151, 45, 199, 19, 1, 0, 43, 94, 63, 140, 7, 165, 67, 235, 0, 41, 90, 249, 209, 245, 69, 110, 274, 0, 157, 152, 232, 224, 150, 166, 229, 122, 170, 0, 206, 158, 118, 252, 230, 88, 241, 77, 193, 0]</t>
  </si>
  <si>
    <t>[0, 30, 17, 203, 205, 52, 93, 239, 13, 77, 0, 51, 105, 137, 59, 12, 259, 72, 131, 143, 0, 169, 6, 66, 153, 154, 237, 70, 28, 48, 0, 128, 121, 223, 270, 264, 271, 231, 178, 50, 0, 243, 227, 255, 54, 263, 81, 174, 78, 191, 0, 79, 44, 162, 149, 108, 98, 197, 3, 10, 0, 20, 129, 38, 39, 47, 83, 18, 40, 220, 0, 222, 236, 180, 91, 219, 207, 213, 84, 92, 0, 21, 135, 184, 109, 120, 194, 257, 27, 104, 0, 136, 185, 262, 226, 146, 107, 168, 273, 9, 0, 152, 206, 230, 88, 252, 100, 241, 157, 235, 0, 181, 119, 73, 42, 198, 269, 65, 89, 159, 0, 74, 272, 202, 145, 172, 115, 256, 55, 248, 0, 193, 60, 253, 147, 177, 133, 221, 33, 266, 0, 24, 175, 16, 53, 96, 58, 254, 156, 26, 0, 204, 57, 208, 155, 189, 211, 234, 34, 179, 0, 124, 138, 158, 118, 166, 229, 150, 67, 87, 0, 225, 188, 116, 250, 103, 114, 36, 142, 2, 0, 32, 31, 165, 170, 224, 232, 41, 171, 86, 0, 215, 90, 122, 249, 209, 245, 7, 49, 240, 0, 56, 176, 63, 140, 94, 69, 110, 274, 112, 0, 238, 246, 182, 25, 244, 260, 126, 148, 134, 0, 97, 23, 141, 268, 144, 106, 85, 22, 75, 0, 163, 43, 8, 199, 19, 1, 214, 29, 15, 0, 167, 45, 4, 35, 46, 151, 200, 261, 251, 0, 125, 242, 218, 267, 5, 101, 130, 102, 11, 0, 196, 183, 68, 247, 228, 233, 139, 61, 186, 0, 210, 164, 132, 99, 201, 64, 195, 192, 212, 0, 161, 258, 14, 80, 76, 187, 217, 216, 71, 0, 190, 82, 160, 123, 173, 111, 127, 265, 0, 62, 95, 113, 37, 117, 0]</t>
  </si>
  <si>
    <t>[0, 233, 93, 271, 269, 129, 24, 88, 142, 140, 191, 1, 47, 95, 138, 0, 175, 111, 57, 28, 188, 87, 13, 208, 62, 238, 184, 82, 190, 246, 253, 239, 273, 223, 0, 193, 182, 132, 43, 77, 42, 23, 18, 150, 272, 27, 167, 247, 39, 117, 70, 260, 126, 0, 241, 38, 121, 134, 55, 116, 277, 106, 139, 237, 7, 171, 251, 222, 256, 67, 146, 248, 63, 266, 197, 214, 265, 262, 249, 153, 0, 148, 198, 66, 166, 9, 22, 96, 180, 0, 60, 160, 157, 205, 41, 6, 36, 274, 37, 183, 120, 75, 127, 56, 101, 268, 242, 51, 0, 114, 270, 71, 49, 225, 2, 177, 179, 48, 145, 104, 118, 234, 257, 45, 164, 30, 135, 230, 0, 108, 210, 94, 275, 131, 152, 137, 35, 261, 141, 34, 186, 99, 125, 85, 259, 172, 110, 91, 211, 46, 107, 192, 207, 124, 255, 109, 162, 44, 74, 267, 216, 189, 0, 52, 174, 168, 227, 169, 278, 73, 40, 58, 59, 279, 33, 50, 72, 224, 79, 119, 235, 64, 219, 221, 217, 100, 170, 203, 250, 14, 159, 0, 276, 21, 165, 98, 112, 185, 16, 204, 81, 123, 229, 212, 130, 264, 0, 154, 209, 173, 231, 68, 178, 236, 161, 11, 26, 220, 105, 122, 32, 89, 163, 61, 97, 0, 92, 201, 65, 5, 3, 181, 245, 149, 0, 53, 187, 195, 143, 244, 115, 78, 102, 76, 25, 86, 113, 252, 84, 12, 90, 213, 69, 0, 258, 218, 254, 215, 232, 206, 29, 226, 4, 196, 176, 80, 243, 228, 199, 202, 155, 0, 263, 194, 136, 54, 156, 144, 15, 240, 103, 158, 31, 147, 0, 200, 83, 10, 8, 151, 133, 128, 0, 17, 20, 0, 19, 0]</t>
  </si>
  <si>
    <t>X_n279</t>
  </si>
  <si>
    <t>[0, 103, 264, 154, 209, 173, 231, 161, 26, 212, 229, 123, 211, 91, 110, 46, 16, 112, 130, 220, 236, 178, 68, 89, 61, 0, 147, 31, 158, 240, 11, 185, 105, 122, 98, 165, 32, 136, 194, 263, 0, 94, 160, 268, 131, 152, 137, 35, 261, 75, 120, 274, 37, 141, 34, 186, 99, 125, 85, 259, 172, 107, 192, 207, 81, 204, 124, 255, 109, 162, 44, 74, 267, 0, 126, 157, 260, 101, 275, 56, 41, 117, 127, 183, 36, 167, 27, 272, 6, 233, 70, 205, 77, 166, 193, 0, 276, 242, 66, 132, 43, 39, 247, 150, 18, 271, 9, 111, 273, 0, 210, 216, 182, 239, 42, 93, 23, 269, 129, 24, 253, 28, 57, 248, 121, 38, 0, 223, 197, 96, 266, 138, 146, 188, 95, 246, 47, 190, 82, 88, 142, 140, 191, 184, 62, 208, 87, 22, 63, 135, 0, 180, 214, 175, 241, 250, 164, 134, 256, 106, 139, 237, 171, 251, 222, 238, 13, 67, 114, 198, 0, 262, 148, 108, 60, 51, 189, 21, 163, 15, 97, 144, 0, 52, 170, 118, 104, 145, 48, 179, 177, 1, 277, 116, 55, 225, 270, 30, 203, 265, 0, 249, 14, 71, 49, 2, 234, 257, 45, 199, 202, 0, 228, 230, 53, 196, 100, 217, 79, 7, 224, 119, 235, 72, 50, 33, 279, 59, 58, 40, 73, 64, 219, 221, 278, 169, 174, 92, 176, 80, 0, 243, 187, 168, 227, 201, 195, 181, 65, 5, 244, 143, 115, 78, 102, 76, 252, 245, 226, 206, 0, 90, 84, 25, 86, 113, 149, 4, 10, 218, 0, 83, 232, 29, 8, 3, 213, 0, 215, 254, 12, 17, 151, 133, 0, 69, 258, 20, 128, 155, 200, 153, 156, 54, 159, 0, 19, 0]</t>
  </si>
  <si>
    <t>[0, 240, 103, 154, 209, 173, 231, 11, 161, 236, 178, 264, 163, 61, 276, 189, 51, 97, 0, 89, 68, 220, 105, 130, 26, 212, 229, 123, 211, 91, 110, 46, 81, 204, 16, 185, 112, 122, 108, 223, 180, 0, 144, 32, 165, 98, 255, 124, 207, 192, 107, 172, 259, 85, 125, 99, 186, 34, 261, 141, 37, 274, 120, 127, 75, 137, 152, 109, 162, 74, 94, 242, 216, 210, 148, 262, 60, 156, 0, 126, 267, 44, 35, 183, 36, 167, 6, 247, 41, 56, 275, 268, 160, 265, 249, 153, 0, 101, 131, 205, 117, 39, 42, 93, 150, 27, 272, 271, 18, 129, 269, 24, 246, 253, 233, 77, 182, 193, 214, 0, 198, 66, 239, 57, 95, 208, 62, 47, 184, 171, 191, 140, 142, 88, 82, 190, 23, 70, 260, 157, 159, 0, 54, 21, 9, 166, 111, 266, 175, 197, 202, 0, 96, 273, 138, 146, 87, 222, 237, 7, 251, 238, 13, 188, 28, 43, 132, 0, 63, 248, 22, 67, 1, 106, 114, 121, 0, 135, 30, 270, 71, 49, 104, 145, 48, 179, 177, 139, 2, 256, 277, 116, 55, 134, 38, 241, 0, 164, 257, 234, 225, 118, 79, 224, 119, 235, 72, 50, 33, 279, 59, 58, 40, 64, 219, 73, 278, 5, 65, 169, 0, 199, 250, 203, 170, 174, 100, 217, 45, 221, 227, 168, 201, 181, 3, 244, 143, 78, 76, 25, 90, 0, 14, 52, 92, 4, 176, 196, 53, 230, 228, 83, 0, 243, 80, 226, 187, 245, 195, 115, 102, 86, 113, 252, 84, 149, 8, 206, 218, 133, 0, 200, 151, 10, 17, 29, 232, 213, 254, 215, 0, 136, 19, 15, 158, 31, 147, 0, 263, 194, 155, 12, 20, 258, 0, 128, 69, 0]</t>
  </si>
  <si>
    <t>[0, 22, 80, 218, 171, 197, 91, 129, 161, 76, 193, 58, 21, 35, 97, 87, 53, 0, 247, 177, 19, 7, 110, 223, 75, 222, 23, 73, 255, 237, 195, 179, 27, 228, 17, 278, 260, 30, 69, 154, 256, 0, 55, 219, 244, 158, 119, 46, 183, 59, 57, 4, 208, 112, 257, 137, 190, 159, 60, 133, 6, 210, 0, 214, 39, 147, 42, 182, 238, 216, 64, 81, 56, 201, 134, 249, 167, 175, 14, 121, 120, 277, 246, 95, 114, 0, 104, 279, 272, 48, 226, 180, 139, 265, 132, 163, 12, 8, 89, 215, 185, 67, 196, 115, 275, 173, 271, 0, 153, 126, 43, 211, 25, 232, 187, 107, 45, 84, 74, 200, 117, 176, 264, 151, 82, 233, 51, 0, 149, 118, 213, 124, 156, 94, 103, 268, 11, 184, 2, 44, 71, 16, 26, 86, 34, 127, 130, 198, 254, 267, 0, 93, 229, 282, 33, 123, 263, 101, 128, 165, 169, 178, 144, 70, 62, 174, 98, 49, 241, 0, 146, 248, 142, 141, 143, 15, 202, 231, 140, 148, 36, 77, 162, 10, 5, 31, 99, 52, 18, 250, 160, 0, 240, 106, 50, 281, 135, 270, 40, 131, 111, 88, 194, 192, 181, 166, 38, 108, 205, 72, 105, 113, 283, 0, 199, 152, 225, 170, 96, 32, 204, 262, 236, 85, 242, 9, 92, 102, 261, 164, 269, 138, 212, 230, 0, 63, 266, 13, 68, 239, 217, 209, 253, 150, 66, 245, 259, 90, 79, 20, 235, 227, 243, 157, 221, 276, 0, 188, 273, 203, 191, 83, 207, 280, 109, 3, 220, 251, 54, 189, 224, 274, 100, 125, 186, 172, 0, 37, 155, 206, 47, 168, 252, 24, 65, 145, 61, 258, 41, 1, 234, 136, 28, 78, 29, 0, 116, 122, 0]</t>
  </si>
  <si>
    <t>X_n283</t>
  </si>
  <si>
    <t>[0, 37, 155, 122, 116, 276, 172, 29, 234, 221, 49, 98, 282, 33, 128, 263, 123, 229, 93, 0, 188, 206, 211, 165, 101, 70, 239, 68, 62, 174, 241, 63, 266, 157, 1, 136, 28, 78, 230, 0, 199, 152, 225, 47, 168, 252, 212, 41, 79, 3, 109, 178, 169, 144, 217, 209, 13, 227, 243, 0, 273, 95, 42, 92, 90, 245, 66, 150, 253, 20, 251, 61, 235, 186, 125, 100, 258, 145, 65, 0, 203, 24, 191, 189, 207, 83, 242, 9, 102, 261, 164, 269, 259, 280, 138, 220, 54, 224, 274, 0, 160, 6, 283, 32, 248, 108, 205, 166, 38, 135, 270, 131, 40, 281, 50, 106, 236, 204, 170, 0, 96, 262, 85, 240, 105, 149, 72, 181, 233, 52, 99, 31, 118, 213, 126, 146, 51, 114, 0, 250, 214, 39, 18, 271, 43, 173, 5, 10, 124, 25, 267, 192, 111, 194, 141, 94, 8, 120, 277, 246, 210, 0, 35, 119, 156, 82, 162, 142, 140, 202, 15, 143, 88, 153, 69, 133, 279, 154, 113, 0, 104, 77, 36, 148, 198, 86, 130, 127, 231, 34, 184, 254, 232, 275, 226, 272, 55, 30, 256, 0, 17, 219, 147, 64, 215, 84, 117, 268, 11, 44, 71, 16, 26, 2, 264, 151, 187, 196, 0, 278, 175, 238, 216, 139, 265, 132, 163, 12, 185, 89, 74, 200, 103, 176, 107, 67, 45, 115, 180, 182, 48, 0, 97, 21, 228, 244, 158, 195, 4, 208, 112, 134, 249, 201, 56, 81, 167, 14, 190, 257, 137, 159, 121, 260, 87, 0, 53, 7, 27, 60, 46, 183, 57, 59, 237, 179, 255, 73, 23, 222, 75, 110, 161, 193, 19, 177, 0, 247, 58, 129, 76, 223, 91, 197, 171, 218, 80, 22, 0]</t>
  </si>
  <si>
    <t>[0, 22, 80, 218, 23, 73, 255, 237, 195, 59, 208, 112, 134, 190, 257, 4, 57, 179, 222, 75, 110, 161, 19, 0, 247, 197, 58, 193, 7, 177, 21, 35, 260, 278, 17, 228, 27, 223, 76, 129, 91, 171, 0, 214, 133, 120, 147, 175, 167, 216, 56, 201, 249, 14, 137, 159, 121, 183, 46, 119, 60, 158, 244, 219, 30, 0, 39, 271, 272, 275, 226, 115, 180, 64, 139, 45, 8, 163, 132, 265, 81, 238, 182, 42, 48, 95, 210, 0, 204, 106, 118, 124, 156, 232, 187, 176, 67, 185, 215, 89, 84, 200, 74, 12, 196, 25, 211, 126, 69, 0, 279, 149, 31, 94, 2, 34, 71, 44, 11, 268, 103, 117, 107, 10, 43, 277, 97, 87, 53, 0, 270, 142, 140, 130, 202, 231, 127, 86, 26, 16, 184, 264, 151, 82, 233, 99, 5, 213, 153, 246, 55, 104, 0, 188, 199, 152, 225, 114, 256, 154, 6, 250, 283, 113, 51, 18, 146, 262, 96, 47, 155, 0, 105, 173, 72, 52, 267, 162, 254, 198, 77, 36, 148, 15, 143, 88, 194, 141, 205, 108, 0, 160, 32, 170, 203, 236, 85, 240, 50, 248, 135, 38, 192, 181, 166, 111, 131, 40, 281, 242, 191, 24, 252, 206, 0, 28, 1, 169, 101, 128, 123, 263, 261, 102, 92, 9, 83, 189, 258, 212, 65, 168, 273, 0, 78, 234, 41, 145, 224, 251, 54, 207, 280, 164, 269, 259, 150, 61, 274, 100, 125, 186, 235, 0, 122, 29, 230, 136, 20, 79, 220, 3, 138, 109, 90, 245, 66, 165, 178, 144, 253, 68, 241, 172, 276, 0, 93, 49, 98, 174, 62, 229, 282, 33, 70, 239, 217, 209, 13, 227, 243, 157, 266, 63, 221, 116, 0, 37, 0]</t>
  </si>
  <si>
    <t>[0, 137, 52, 121, 35, 46, 0, 219, 266, 6, 274, 0, 153, 251, 268, 12, 0, 198, 174, 59, 67, 0, 75, 256, 280, 22, 0, 28, 65, 269, 259, 0, 124, 200, 154, 244, 0, 277, 279, 243, 43, 0, 155, 158, 148, 0, 252, 215, 197, 0, 79, 76, 228, 37, 0, 95, 157, 113, 0, 103, 11, 106, 0, 273, 196, 178, 39, 227, 0, 232, 183, 261, 0, 172, 288, 187, 0, 69, 225, 216, 184, 0, 3, 64, 9, 127, 116, 0, 18, 13, 93, 138, 0, 42, 97, 182, 0, 63, 139, 96, 229, 265, 0, 86, 149, 238, 0, 132, 84, 119, 41, 88, 24, 60, 258, 0, 262, 102, 230, 77, 162, 98, 0, 213, 267, 36, 105, 0, 142, 38, 247, 47, 0, 109, 285, 100, 223, 26, 83, 68, 140, 101, 159, 163, 0, 66, 143, 152, 176, 186, 0, 50, 151, 74, 220, 164, 283, 190, 222, 0, 272, 224, 207, 242, 150, 177, 199, 0, 276, 194, 202, 118, 29, 10, 129, 144, 4, 31, 49, 141, 104, 231, 173, 0, 226, 27, 70, 92, 44, 260, 0, 160, 89, 287, 205, 208, 134, 87, 0, 165, 19, 61, 33, 115, 99, 161, 0, 120, 284, 56, 0, 1, 271, 234, 0, 32, 179, 185, 189, 0, 54, 281, 171, 237, 257, 0, 17, 221, 188, 80, 73, 108, 57, 0, 167, 71, 264, 48, 23, 72, 191, 0, 236, 235, 81, 111, 122, 55, 117, 8, 85, 133, 0, 181, 240, 170, 0, 253, 212, 211, 40, 0, 286, 206, 169, 0, 270, 131, 136, 0, 193, 201, 241, 0, 175, 239, 16, 146, 0, 90, 130, 21, 7, 112, 14, 34, 5, 0, 145, 91, 166, 0, 195, 210, 254, 0, 218, 209, 204, 0, 168, 53, 249, 0, 156, 110, 126, 0, 107, 45, 123, 0, 214, 125, 30, 128, 0, 62, 94, 245, 15, 0, 263, 203, 246, 114, 0, 192, 255, 51, 0, 217, 147, 250, 0, 248, 78, 20, 0, 282, 135, 275, 0, 58, 82, 180, 0, 25, 233, 278, 0, 2, 0]</t>
  </si>
  <si>
    <t>X_n288</t>
  </si>
  <si>
    <t>[0, 91, 239, 16, 211, 212, 0, 15, 166, 40, 237, 105, 0, 272, 171, 204, 255, 0, 191, 173, 231, 23, 141, 144, 4, 129, 31, 49, 10, 104, 264, 0, 245, 257, 72, 71, 224, 194, 163, 202, 242, 258, 0, 276, 118, 159, 29, 60, 88, 24, 68, 140, 101, 48, 0, 83, 119, 127, 41, 64, 67, 84, 0, 116, 9, 6, 35, 0, 59, 268, 174, 137, 0, 46, 3, 274, 153, 39, 0, 251, 266, 269, 244, 0, 26, 219, 256, 121, 52, 0, 132, 43, 252, 280, 0, 197, 65, 198, 12, 0, 277, 243, 279, 75, 0, 79, 155, 158, 37, 0, 148, 228, 273, 0, 259, 261, 76, 200, 0, 172, 178, 215, 265, 63, 0, 69, 95, 232, 238, 98, 151, 0, 187, 196, 28, 100, 0, 13, 288, 184, 111, 0, 225, 183, 149, 92, 57, 0, 113, 157, 103, 0, 22, 229, 102, 186, 0, 154, 262, 86, 216, 0, 42, 97, 182, 0, 50, 18, 96, 93, 0, 283, 66, 77, 176, 230, 0, 74, 162, 61, 70, 139, 0, 205, 143, 27, 152, 115, 21, 0, 226, 220, 190, 44, 122, 33, 164, 0, 120, 208, 260, 19, 80, 73, 133, 0, 138, 134, 287, 188, 55, 117, 112, 99, 0, 106, 124, 247, 0, 161, 81, 8, 7, 14, 108, 11, 0, 284, 87, 222, 221, 85, 0, 267, 131, 165, 160, 89, 235, 0, 156, 56, 17, 236, 34, 5, 0, 45, 227, 130, 30, 114, 0, 263, 110, 126, 0, 203, 90, 128, 20, 0, 214, 246, 125, 78, 0, 136, 123, 213, 0, 248, 135, 275, 0, 107, 233, 278, 0, 25, 147, 180, 0, 168, 195, 282, 0, 58, 62, 2, 0, 217, 270, 82, 0, 250, 53, 192, 0, 181, 218, 51, 0, 286, 249, 0, 240, 32, 179, 142, 0, 193, 145, 169, 0, 175, 254, 0, 189, 170, 210, 0, 201, 185, 1, 0, 206, 253, 0, 209, 94, 146, 0, 167, 177, 36, 38, 0, 234, 281, 271, 0, 241, 54, 0, 199, 150, 207, 223, 285, 109, 47, 0]</t>
  </si>
  <si>
    <t>[0, 15, 204, 211, 94, 0, 91, 239, 245, 255, 0, 201, 212, 209, 0, 146, 166, 16, 40, 0, 167, 281, 272, 234, 0, 191, 257, 173, 231, 104, 23, 141, 144, 4, 129, 31, 49, 194, 0, 241, 54, 271, 0, 171, 237, 150, 207, 264, 71, 72, 0, 105, 258, 224, 163, 202, 159, 29, 24, 68, 140, 101, 10, 48, 276, 0, 47, 177, 109, 247, 38, 0, 100, 223, 83, 119, 88, 60, 118, 242, 0, 285, 26, 84, 127, 41, 59, 67, 0, 116, 9, 274, 64, 0, 132, 3, 268, 6, 0, 46, 174, 266, 198, 0, 65, 251, 219, 37, 0, 35, 256, 121, 52, 0, 39, 279, 243, 43, 277, 0, 280, 228, 238, 92, 0, 153, 252, 158, 0, 28, 148, 269, 137, 0, 155, 215, 273, 12, 0, 75, 197, 200, 0, 79, 76, 265, 262, 259, 0, 187, 196, 103, 244, 0, 157, 232, 102, 77, 151, 0, 124, 154, 113, 0, 95, 178, 149, 138, 0, 172, 184, 183, 63, 0, 93, 229, 186, 69, 0, 106, 11, 22, 0, 225, 288, 86, 80, 133, 0, 185, 199, 36, 179, 0, 42, 261, 216, 143, 227, 0, 97, 96, 176, 115, 111, 57, 0, 182, 230, 61, 98, 0, 13, 18, 139, 66, 226, 0, 164, 27, 70, 50, 0, 120, 134, 208, 205, 87, 0, 165, 162, 152, 33, 19, 260, 0, 284, 74, 283, 190, 222, 287, 0, 131, 220, 44, 188, 108, 21, 7, 112, 99, 161, 0, 90, 160, 122, 55, 73, 117, 8, 0, 156, 56, 126, 0, 5, 34, 14, 85, 221, 89, 45, 0, 107, 136, 203, 0, 213, 142, 1, 0, 32, 206, 210, 0, 267, 189, 193, 0, 270, 240, 145, 0, 110, 17, 235, 81, 236, 130, 0, 175, 253, 181, 286, 0, 169, 170, 218, 0, 168, 195, 249, 0, 254, 51, 250, 0, 214, 123, 30, 128, 0, 53, 192, 82, 0, 147, 62, 58, 0, 282, 263, 217, 0, 248, 246, 114, 78, 0, 125, 20, 135, 0, 180, 233, 2, 0, 25, 275, 278, 0]</t>
  </si>
  <si>
    <t>[0, 77, 172, 174, 85, 153, 107, 59, 83, 106, 271, 0, 38, 109, 194, 43, 168, 0, 90, 275, 164, 225, 22, 253, 2, 201, 157, 0, 281, 64, 82, 50, 156, 0, 101, 159, 16, 222, 0, 244, 12, 148, 214, 276, 210, 0, 66, 255, 175, 73, 15, 182, 29, 74, 0, 162, 197, 62, 105, 0, 170, 204, 37, 171, 251, 146, 283, 147, 0, 119, 8, 229, 177, 191, 0, 261, 36, 27, 111, 89, 0, 154, 230, 136, 247, 216, 195, 0, 94, 7, 248, 110, 245, 18, 0, 181, 250, 262, 240, 179, 134, 20, 0, 284, 13, 277, 258, 137, 0, 232, 217, 34, 51, 265, 0, 63, 139, 17, 68, 209, 125, 42, 0, 150, 208, 108, 93, 236, 53, 78, 0, 44, 113, 25, 263, 0, 287, 264, 138, 173, 286, 0, 133, 47, 212, 39, 0, 220, 202, 272, 0, 145, 193, 97, 183, 49, 52, 0, 290, 140, 9, 200, 165, 41, 121, 128, 79, 226, 0, 67, 158, 96, 132, 161, 249, 254, 293, 0, 6, 122, 166, 207, 0, 118, 155, 21, 167, 129, 219, 0, 5, 163, 260, 127, 87, 282, 117, 160, 0, 274, 278, 252, 120, 26, 143, 0, 269, 131, 1, 242, 45, 0, 211, 192, 228, 142, 56, 292, 141, 235, 0, 185, 30, 80, 71, 70, 60, 4, 14, 0, 104, 23, 152, 57, 205, 0, 187, 199, 126, 218, 0, 28, 241, 19, 280, 35, 0, 291, 149, 48, 227, 81, 91, 0, 190, 31, 256, 243, 279, 72, 92, 0, 203, 65, 112, 0, 215, 61, 213, 267, 0, 169, 84, 114, 40, 102, 0, 224, 234, 123, 95, 198, 285, 88, 0, 178, 270, 75, 257, 151, 10, 124, 266, 0, 259, 206, 76, 115, 0, 135, 237, 86, 3, 289, 0, 58, 238, 268, 99, 186, 0, 24, 231, 184, 144, 11, 33, 0, 98, 176, 55, 196, 0, 100, 130, 46, 246, 223, 288, 0, 32, 273, 103, 0, 188, 233, 54, 0, 69, 239, 189, 0, 180, 116, 221, 0]</t>
  </si>
  <si>
    <t>X_n293</t>
  </si>
  <si>
    <t>[0, 195, 27, 97, 282, 117, 160, 0, 261, 67, 158, 242, 131, 163, 0, 269, 260, 254, 161, 96, 183, 20, 0, 193, 293, 132, 249, 134, 49, 179, 113, 171, 251, 0, 145, 127, 1, 4, 57, 70, 205, 0, 92, 104, 23, 80, 14, 87, 0, 185, 30, 152, 60, 71, 243, 291, 0, 223, 72, 114, 279, 227, 48, 149, 0, 81, 84, 102, 233, 0, 135, 31, 40, 256, 186, 289, 0, 54, 169, 237, 86, 0, 88, 178, 270, 58, 221, 91, 0, 238, 268, 46, 115, 0, 259, 130, 144, 3, 246, 0, 184, 76, 266, 151, 10, 11, 33, 0, 190, 231, 267, 61, 0, 215, 206, 124, 99, 0, 224, 234, 123, 95, 75, 285, 0, 24, 235, 141, 280, 65, 213, 198, 257, 0, 187, 167, 56, 19, 112, 35, 0, 199, 203, 292, 228, 121, 128, 0, 192, 241, 252, 211, 218, 207, 226, 0, 126, 28, 120, 21, 140, 0, 41, 155, 142, 26, 143, 278, 274, 0, 219, 118, 129, 166, 290, 0, 79, 122, 202, 9, 0, 78, 53, 212, 165, 200, 264, 209, 208, 0, 39, 47, 108, 286, 220, 0, 6, 133, 150, 34, 0, 287, 42, 173, 138, 258, 0, 18, 63, 139, 17, 272, 93, 0, 51, 125, 68, 137, 248, 94, 0, 191, 236, 277, 7, 29, 119, 0, 265, 284, 13, 245, 217, 0, 177, 110, 182, 255, 8, 0, 77, 175, 15, 229, 16, 74, 0, 159, 38, 73, 66, 222, 232, 0, 172, 174, 153, 271, 43, 168, 89, 0, 157, 106, 85, 107, 164, 59, 83, 194, 0, 281, 50, 201, 109, 0, 210, 82, 197, 225, 22, 253, 2, 0, 276, 90, 275, 62, 105, 64, 0, 170, 214, 148, 204, 162, 0, 262, 240, 37, 146, 230, 12, 156, 0, 111, 147, 247, 136, 44, 0, 244, 283, 250, 25, 5, 0, 101, 36, 181, 263, 0, 176, 55, 0, 32, 216, 52, 103, 0, 196, 98, 273, 0, 69, 239, 189, 154, 0, 45, 180, 116, 288, 188, 0, 100, 0]</t>
  </si>
  <si>
    <t>[0, 53, 9, 200, 202, 165, 41, 129, 121, 128, 140, 0, 208, 47, 212, 122, 78, 0, 108, 42, 138, 209, 258, 137, 17, 94, 119, 0, 226, 220, 290, 39, 133, 196, 0, 286, 272, 68, 51, 0, 63, 236, 264, 173, 93, 0, 287, 150, 125, 277, 7, 248, 0, 34, 191, 18, 232, 0, 245, 284, 139, 13, 110, 0, 217, 177, 29, 182, 15, 0, 159, 66, 175, 255, 229, 8, 222, 74, 0, 16, 73, 38, 153, 174, 0, 157, 77, 172, 271, 85, 106, 194, 168, 0, 43, 109, 83, 107, 164, 225, 22, 0, 207, 274, 219, 166, 79, 0, 265, 6, 126, 199, 0, 201, 2, 59, 105, 62, 197, 90, 0, 261, 162, 253, 64, 50, 154, 0, 118, 278, 167, 21, 155, 143, 100, 0, 218, 211, 26, 252, 120, 228, 0, 195, 146, 251, 171, 37, 275, 204, 82, 170, 210, 0, 187, 28, 142, 56, 241, 141, 235, 0, 281, 148, 230, 214, 276, 156, 0, 12, 136, 240, 262, 283, 147, 0, 181, 247, 250, 179, 134, 49, 5, 0, 224, 35, 19, 292, 192, 0, 244, 216, 113, 20, 145, 0, 215, 213, 234, 280, 203, 0, 61, 112, 123, 198, 0, 111, 25, 263, 44, 0, 52, 183, 161, 249, 67, 0, 193, 97, 158, 96, 132, 282, 293, 0, 160, 117, 87, 14, 127, 254, 260, 163, 0, 269, 131, 1, 242, 45, 0, 185, 30, 80, 152, 70, 60, 4, 0, 267, 65, 95, 257, 285, 88, 0, 190, 184, 266, 206, 10, 151, 75, 270, 259, 0, 291, 243, 205, 71, 57, 23, 104, 0, 115, 76, 178, 24, 0, 144, 124, 11, 186, 99, 91, 0, 130, 46, 289, 33, 268, 246, 0, 58, 3, 86, 237, 0, 31, 40, 256, 238, 0, 169, 279, 48, 81, 0, 231, 233, 135, 223, 0, 54, 84, 114, 227, 72, 149, 0, 55, 98, 176, 101, 0, 180, 188, 69, 0, 288, 239, 102, 92, 221, 0, 32, 36, 27, 89, 0, 116, 189, 103, 0, 273, 0]</t>
  </si>
  <si>
    <t>[0, 126, 253, 160, 182, 157, 96, 95, 259, 281, 0, 248, 166, 128, 120, 165, 127, 218, 117, 20, 0, 154, 277, 78, 5, 206, 273, 125, 0, 131, 192, 66, 144, 162, 268, 292, 241, 0, 25, 142, 217, 198, 186, 210, 119, 13, 0, 86, 294, 116, 130, 159, 103, 184, 290, 29, 0, 27, 234, 214, 223, 99, 23, 68, 187, 87, 230, 177, 266, 202, 140, 0, 222, 188, 115, 238, 90, 287, 179, 189, 44, 102, 0, 101, 168, 237, 134, 57, 232, 220, 53, 91, 0, 227, 34, 60, 258, 269, 114, 296, 183, 284, 0, 191, 212, 197, 75, 129, 143, 265, 205, 256, 291, 0, 71, 83, 267, 98, 288, 45, 245, 236, 30, 148, 0, 22, 278, 39, 85, 10, 185, 32, 2, 0, 113, 152, 108, 105, 173, 37, 72, 174, 254, 65, 158, 171, 270, 193, 200, 224, 0, 74, 150, 9, 181, 123, 14, 228, 28, 93, 94, 0, 47, 242, 161, 63, 252, 82, 106, 255, 226, 80, 0, 84, 42, 167, 76, 100, 156, 153, 31, 88, 0, 233, 122, 6, 247, 109, 176, 12, 240, 0, 276, 118, 221, 175, 54, 195, 97, 73, 15, 7, 0, 58, 1, 49, 169, 209, 155, 280, 260, 272, 4, 194, 26, 145, 0, 283, 244, 190, 17, 216, 231, 264, 286, 50, 149, 295, 208, 0, 138, 62, 33, 225, 132, 77, 38, 211, 0, 21, 81, 275, 11, 213, 147, 203, 104, 0, 89, 229, 282, 215, 243, 43, 35, 110, 146, 163, 0, 36, 170, 249, 178, 48, 51, 262, 19, 180, 246, 250, 0, 235, 172, 41, 285, 46, 52, 207, 107, 3, 0, 204, 135, 261, 112, 24, 133, 40, 121, 201, 0, 274, 137, 239, 164, 199, 8, 289, 139, 219, 92, 263, 0, 251, 141, 297, 279, 64, 18, 55, 0, 111, 257, 136, 16, 124, 271, 67, 0, 151, 59, 56, 69, 196, 61, 70, 0, 293, 79, 0]</t>
  </si>
  <si>
    <t>X_n297</t>
  </si>
  <si>
    <t>[0, 20, 25, 142, 277, 117, 218, 128, 182, 0, 141, 154, 166, 165, 78, 127, 120, 44, 248, 0, 251, 227, 191, 27, 125, 206, 5, 273, 210, 0, 119, 34, 230, 68, 23, 99, 186, 198, 217, 0, 291, 140, 197, 266, 214, 258, 269, 177, 87, 187, 223, 234, 202, 0, 279, 74, 75, 183, 296, 114, 60, 212, 0, 284, 265, 129, 143, 205, 256, 94, 122, 18, 0, 240, 64, 257, 6, 28, 123, 181, 9, 150, 297, 0, 233, 93, 14, 228, 7, 109, 247, 55, 0, 111, 276, 12, 283, 244, 118, 221, 15, 176, 0, 67, 235, 16, 138, 124, 137, 263, 59, 0, 3, 62, 190, 216, 231, 73, 175, 149, 172, 295, 271, 196, 0, 208, 92, 41, 54, 195, 97, 17, 136, 0, 274, 36, 170, 139, 219, 132, 225, 264, 286, 50, 33, 207, 0, 61, 8, 289, 77, 38, 52, 46, 211, 107, 0, 69, 250, 135, 199, 164, 40, 121, 285, 0, 224, 89, 203, 145, 229, 249, 133, 201, 239, 112, 261, 0, 163, 104, 161, 19, 262, 51, 48, 24, 178, 0, 58, 21, 82, 147, 180, 215, 246, 70, 0, 22, 106, 252, 63, 213, 146, 282, 204, 79, 0, 47, 242, 152, 108, 26, 35, 31, 272, 4, 43, 243, 11, 81, 0, 278, 200, 209, 100, 156, 88, 260, 194, 110, 275, 0, 1, 169, 155, 280, 153, 65, 255, 39, 226, 0, 80, 193, 49, 167, 171, 76, 158, 254, 174, 72, 37, 85, 113, 71, 0, 148, 45, 98, 185, 10, 173, 42, 270, 105, 84, 83, 0, 30, 236, 245, 267, 288, 32, 2, 0, 184, 91, 222, 232, 57, 134, 237, 168, 101, 290, 29, 0, 103, 53, 238, 90, 287, 189, 179, 115, 220, 0, 241, 281, 162, 144, 102, 188, 116, 294, 0, 130, 292, 159, 268, 66, 192, 157, 96, 259, 0, 86, 131, 95, 160, 253, 126, 13, 0, 293, 56, 151, 0]</t>
  </si>
  <si>
    <t>[0, 184, 103, 53, 222, 220, 90, 287, 179, 189, 44, 102, 0, 86, 241, 159, 188, 238, 115, 144, 66, 192, 253, 0, 126, 248, 259, 157, 96, 162, 268, 292, 116, 281, 0, 294, 130, 131, 95, 182, 160, 0, 290, 91, 232, 57, 134, 45, 185, 32, 267, 101, 0, 29, 148, 30, 236, 98, 288, 245, 237, 168, 0, 154, 166, 128, 120, 165, 127, 78, 218, 227, 0, 251, 142, 217, 206, 5, 273, 117, 20, 0, 25, 277, 198, 186, 125, 210, 119, 0, 80, 71, 83, 2, 10, 85, 39, 278, 226, 47, 0, 191, 27, 234, 214, 258, 177, 230, 87, 187, 68, 23, 99, 223, 0, 113, 255, 152, 84, 173, 270, 105, 108, 82, 58, 204, 0, 242, 106, 193, 37, 72, 174, 254, 65, 158, 76, 171, 42, 200, 21, 0, 202, 60, 266, 269, 114, 183, 296, 129, 143, 205, 140, 3, 0, 161, 81, 260, 88, 31, 272, 153, 156, 100, 167, 1, 0, 34, 212, 197, 284, 75, 265, 123, 14, 0, 74, 256, 150, 9, 181, 28, 228, 7, 93, 6, 0, 224, 11, 26, 194, 4, 280, 155, 209, 49, 63, 252, 0, 109, 176, 118, 15, 221, 73, 175, 97, 225, 132, 0, 89, 203, 147, 213, 110, 35, 169, 104, 163, 0, 250, 180, 282, 243, 146, 43, 275, 229, 145, 0, 249, 246, 215, 19, 262, 51, 133, 24, 178, 135, 170, 0, 8, 164, 121, 40, 48, 112, 239, 201, 36, 274, 0, 276, 17, 50, 264, 54, 195, 244, 247, 0, 137, 261, 199, 289, 139, 219, 77, 38, 211, 295, 0, 196, 263, 271, 172, 285, 52, 46, 41, 0, 257, 94, 122, 233, 297, 141, 13, 0, 279, 12, 283, 62, 190, 33, 216, 231, 286, 149, 208, 22, 0, 70, 61, 235, 92, 107, 207, 138, 240, 0, 79, 293, 69, 56, 59, 151, 0, 67, 124, 16, 136, 64, 18, 55, 0, 111, 291, 0]</t>
  </si>
  <si>
    <t>[0, 217, 31, 240, 239, 254, 145, 138, 207, 194, 255, 195, 187, 291, 166, 29, 226, 60, 192, 0, 51, 198, 259, 174, 36, 8, 202, 262, 160, 68, 52, 300, 0, 108, 163, 280, 90, 186, 253, 171, 150, 268, 252, 234, 97, 235, 164, 210, 301, 0, 273, 95, 123, 264, 266, 124, 112, 165, 278, 122, 33, 286, 204, 0, 302, 74, 209, 4, 42, 92, 18, 126, 141, 159, 137, 59, 15, 85, 35, 148, 211, 0, 100, 94, 66, 257, 227, 190, 140, 89, 218, 82, 275, 250, 228, 157, 0, 147, 220, 271, 154, 55, 106, 216, 221, 101, 237, 104, 53, 0, 50, 151, 91, 40, 86, 3, 78, 247, 152, 185, 32, 0, 44, 261, 37, 181, 265, 136, 269, 87, 38, 13, 213, 81, 64, 183, 170, 0, 205, 54, 156, 65, 22, 84, 267, 45, 144, 155, 191, 2, 180, 281, 132, 130, 105, 215, 0, 19, 128, 168, 28, 79, 282, 11, 73, 263, 177, 292, 1, 214, 222, 0, 107, 298, 41, 260, 48, 297, 17, 72, 88, 179, 294, 206, 16, 158, 0, 57, 284, 173, 279, 43, 287, 80, 288, 116, 203, 24, 178, 219, 0, 120, 283, 149, 169, 212, 49, 111, 161, 102, 127, 70, 109, 119, 272, 0, 276, 295, 23, 249, 225, 113, 62, 25, 133, 30, 193, 5, 61, 270, 184, 0, 98, 248, 76, 56, 244, 134, 77, 167, 9, 83, 172, 233, 46, 162, 188, 69, 243, 27, 110, 63, 0, 245, 290, 142, 182, 96, 26, 20, 285, 135, 201, 189, 199, 10, 0, 224, 21, 241, 93, 47, 75, 230, 103, 58, 7, 246, 200, 67, 115, 153, 238, 118, 0, 146, 176, 117, 223, 231, 242, 196, 274, 296, 34, 289, 299, 197, 236, 131, 293, 0, 121, 277, 229, 14, 175, 251, 39, 129, 71, 139, 125, 114, 99, 258, 12, 0, 208, 6, 143, 256, 232, 0]</t>
  </si>
  <si>
    <t>X_n302</t>
  </si>
  <si>
    <t>[0, 204, 192, 205, 54, 156, 22, 84, 267, 45, 144, 229, 14, 277, 191, 182, 142, 132, 65, 130, 0, 215, 105, 245, 201, 290, 281, 2, 155, 96, 26, 180, 251, 39, 175, 10, 0, 232, 98, 118, 293, 258, 12, 99, 146, 224, 63, 238, 110, 131, 176, 125, 139, 71, 121, 20, 285, 135, 0, 256, 243, 153, 233, 103, 83, 196, 34, 289, 242, 231, 117, 223, 197, 114, 21, 0, 184, 270, 295, 249, 248, 76, 27, 61, 200, 7, 299, 47, 93, 236, 241, 67, 0, 143, 23, 5, 193, 115, 69, 188, 77, 9, 172, 274, 296, 230, 58, 75, 246, 0, 158, 219, 178, 24, 119, 109, 120, 225, 113, 149, 169, 244, 134, 167, 46, 162, 25, 56, 0, 222, 279, 203, 116, 127, 102, 30, 133, 62, 212, 111, 161, 16, 170, 32, 0, 272, 43, 206, 288, 70, 283, 49, 179, 38, 87, 260, 214, 284, 0, 185, 41, 287, 1, 80, 48, 297, 263, 11, 13, 73, 88, 72, 294, 0, 19, 183, 292, 17, 177, 79, 213, 269, 64, 265, 168, 128, 0, 173, 154, 271, 44, 28, 37, 282, 81, 136, 218, 89, 82, 275, 104, 0, 298, 261, 152, 247, 78, 181, 3, 151, 106, 237, 0, 276, 220, 86, 91, 40, 140, 250, 221, 216, 55, 228, 0, 74, 59, 257, 141, 159, 190, 227, 66, 94, 101, 100, 148, 50, 57, 0, 302, 33, 209, 4, 42, 252, 268, 126, 18, 92, 137, 85, 15, 35, 211, 208, 0, 286, 301, 210, 273, 122, 124, 266, 253, 186, 150, 171, 234, 112, 165, 278, 6, 0, 53, 60, 51, 123, 280, 90, 97, 264, 95, 235, 164, 157, 147, 107, 0, 226, 29, 259, 262, 195, 202, 8, 108, 36, 198, 0, 300, 174, 163, 255, 194, 207, 138, 145, 254, 187, 160, 52, 0, 166, 291, 68, 239, 240, 31, 217, 199, 189, 129, 0]</t>
  </si>
  <si>
    <t>[0, 48, 294, 72, 263, 11, 81, 213, 269, 13, 87, 38, 73, 88, 179, 288, 16, 119, 0, 170, 214, 43, 206, 297, 292, 17, 177, 79, 282, 64, 37, 32, 0, 279, 287, 183, 168, 28, 78, 265, 136, 3, 181, 44, 185, 0, 41, 1, 80, 260, 247, 86, 82, 218, 89, 140, 275, 91, 228, 157, 0, 222, 128, 261, 152, 151, 40, 250, 190, 159, 141, 227, 257, 104, 0, 50, 237, 101, 94, 66, 221, 216, 106, 55, 154, 271, 19, 0, 298, 220, 203, 116, 49, 111, 161, 102, 127, 70, 219, 6, 276, 0, 148, 100, 35, 85, 15, 59, 137, 92, 18, 126, 252, 268, 150, 266, 42, 74, 192, 0, 301, 122, 278, 124, 97, 264, 186, 253, 171, 234, 112, 165, 4, 209, 33, 302, 211, 0, 51, 273, 164, 235, 95, 36, 123, 280, 195, 90, 207, 138, 145, 187, 29, 0, 173, 178, 24, 109, 120, 283, 225, 212, 169, 244, 149, 113, 133, 5, 0, 210, 108, 163, 8, 202, 262, 255, 194, 254, 198, 60, 0, 248, 27, 61, 56, 115, 188, 25, 62, 30, 193, 23, 158, 284, 57, 0, 256, 238, 110, 153, 69, 162, 46, 233, 172, 83, 9, 167, 77, 134, 243, 76, 249, 295, 143, 0, 12, 146, 21, 58, 230, 299, 289, 231, 242, 34, 296, 196, 274, 103, 7, 246, 200, 67, 131, 63, 118, 270, 0, 226, 300, 259, 174, 160, 52, 166, 291, 68, 239, 240, 31, 217, 205, 0, 54, 156, 65, 22, 84, 267, 191, 285, 201, 189, 199, 245, 130, 105, 215, 0, 10, 20, 121, 26, 96, 277, 14, 229, 144, 45, 155, 182, 2, 281, 142, 290, 132, 135, 0, 176, 114, 117, 223, 197, 47, 75, 93, 236, 241, 224, 98, 184, 0, 204, 208, 272, 147, 107, 286, 53, 0, 71, 180, 251, 39, 175, 129, 139, 125, 99, 258, 293, 232, 0]</t>
  </si>
  <si>
    <t>[0, 119, 43, 201, 7, 301, 214, 45, 44, 28, 68, 5, 42, 61, 111, 93, 89, 283, 88, 145, 102, 131, 109, 0, 285, 267, 148, 62, 286, 18, 64, 129, 59, 16, 80, 26, 128, 243, 272, 299, 27, 0, 190, 30, 82, 168, 48, 85, 175, 156, 199, 266, 171, 189, 233, 293, 248, 238, 207, 39, 35, 126, 15, 221, 95, 23, 125, 71, 264, 166, 46, 124, 303, 302, 0, 31, 265, 52, 40, 72, 271, 254, 218, 127, 104, 24, 202, 99, 92, 174, 255, 275, 284, 161, 183, 297, 163, 169, 205, 274, 280, 157, 74, 134, 188, 242, 98, 292, 150, 113, 185, 259, 90, 141, 58, 0, 223, 251, 229, 69, 198, 11, 281, 94, 149, 240, 232, 9, 261, 176, 0, 187, 34, 241, 22, 215, 73, 172, 225, 192, 110, 226, 224, 191, 306, 227, 123, 300, 179, 298, 122, 107, 19, 2, 21, 268, 87, 307, 237, 203, 258, 0, 160, 263, 155, 194, 247, 66, 86, 105, 162, 167, 204, 211, 228, 17, 197, 196, 186, 117, 103, 164, 222, 154, 165, 260, 100, 65, 180, 257, 253, 250, 0, 234, 51, 116, 63, 6, 81, 114, 118, 140, 142, 50, 25, 106, 97, 144, 84, 4, 70, 38, 101, 135, 49, 136, 216, 130, 108, 0, 244, 91, 181, 209, 231, 235, 289, 159, 278, 273, 75, 76, 152, 219, 36, 55, 32, 12, 47, 239, 151, 33, 305, 184, 290, 252, 170, 304, 0, 213, 147, 173, 296, 269, 282, 3, 137, 276, 10, 295, 60, 79, 121, 53, 0, 249, 41, 56, 29, 139, 146, 153, 96, 1, 13, 120, 138, 143, 212, 0, 133, 287, 217, 158, 236, 208, 262, 294, 14, 8, 220, 245, 0, 182, 54, 256, 279, 277, 83, 210, 291, 112, 132, 270, 57, 37, 20, 77, 200, 206, 178, 288, 246, 230, 177, 78, 195, 193, 67, 115, 0]</t>
  </si>
  <si>
    <t>X_n307</t>
  </si>
  <si>
    <t>[0, 115, 256, 195, 187, 237, 34, 245, 220, 244, 91, 170, 252, 290, 184, 305, 172, 152, 76, 75, 273, 278, 159, 289, 235, 231, 209, 181, 294, 262, 208, 236, 158, 217, 193, 287, 304, 67, 133, 0, 250, 223, 109, 203, 307, 58, 87, 141, 90, 21, 110, 151, 239, 47, 12, 123, 32, 55, 36, 219, 33, 192, 225, 268, 73, 215, 22, 241, 0, 8, 226, 224, 191, 306, 227, 300, 179, 298, 74, 284, 255, 174, 99, 202, 275, 183, 297, 280, 157, 134, 188, 122, 107, 19, 242, 259, 185, 150, 40, 52, 131, 30, 303, 105, 0, 190, 31, 265, 102, 2, 113, 292, 98, 205, 169, 163, 274, 161, 92, 24, 104, 127, 218, 254, 72, 145, 27, 48, 82, 69, 251, 302, 0, 176, 261, 46, 168, 299, 45, 243, 129, 59, 16, 128, 5, 42, 61, 111, 93, 89, 283, 88, 43, 271, 119, 0, 194, 198, 11, 281, 201, 7, 214, 301, 44, 28, 68, 26, 62, 286, 240, 86, 0, 124, 232, 149, 166, 85, 175, 156, 272, 267, 80, 64, 18, 238, 94, 9, 247, 0, 258, 229, 162, 167, 204, 211, 228, 17, 199, 285, 266, 171, 189, 233, 293, 248, 39, 148, 35, 207, 264, 71, 125, 23, 95, 197, 154, 165, 260, 143, 108, 0, 66, 180, 65, 100, 173, 216, 282, 222, 196, 186, 221, 126, 70, 84, 38, 101, 135, 49, 117, 3, 103, 164, 136, 269, 296, 147, 130, 0, 138, 121, 79, 60, 137, 106, 97, 144, 4, 15, 213, 257, 155, 263, 160, 0, 253, 212, 120, 295, 10, 276, 96, 142, 50, 25, 140, 118, 114, 81, 6, 63, 116, 153, 146, 51, 139, 0, 14, 177, 53, 77, 20, 249, 41, 1, 29, 56, 37, 0, 182, 277, 83, 210, 291, 112, 132, 270, 57, 234, 13, 200, 206, 178, 288, 246, 230, 78, 279, 54, 0]</t>
  </si>
  <si>
    <t>[0, 287, 193, 217, 158, 208, 262, 294, 231, 235, 289, 159, 278, 14, 273, 184, 252, 290, 209, 181, 91, 244, 170, 34, 245, 220, 236, 0, 241, 22, 172, 305, 75, 76, 152, 219, 33, 36, 55, 32, 151, 239, 47, 12, 123, 300, 227, 306, 224, 110, 192, 225, 73, 58, 237, 203, 109, 0, 307, 87, 190, 141, 185, 292, 98, 205, 163, 297, 274, 280, 134, 157, 183, 169, 104, 24, 161, 275, 202, 99, 92, 174, 255, 284, 74, 298, 179, 188, 107, 19, 242, 259, 122, 191, 226, 90, 21, 268, 215, 187, 304, 0, 8, 150, 113, 2, 145, 102, 131, 31, 265, 223, 155, 0, 160, 30, 27, 271, 43, 88, 7, 45, 61, 5, 42, 93, 111, 89, 283, 127, 218, 254, 72, 40, 52, 0, 229, 232, 266, 293, 248, 267, 148, 39, 62, 286, 64, 129, 59, 16, 80, 26, 128, 68, 243, 272, 28, 44, 301, 214, 201, 299, 48, 168, 119, 69, 303, 251, 0, 176, 302, 105, 162, 186, 221, 126, 35, 18, 207, 238, 189, 233, 171, 199, 285, 156, 175, 85, 11, 46, 82, 0, 240, 149, 94, 17, 95, 70, 15, 125, 23, 71, 264, 166, 281, 198, 124, 0, 115, 256, 54, 279, 180, 173, 216, 165, 260, 167, 154, 282, 222, 196, 197, 228, 211, 204, 9, 261, 86, 194, 258, 195, 67, 133, 0, 296, 136, 164, 103, 117, 49, 101, 38, 135, 4, 84, 144, 97, 140, 118, 114, 81, 6, 142, 50, 25, 106, 96, 63, 116, 51, 139, 0, 213, 147, 138, 79, 13, 276, 137, 3, 269, 100, 143, 65, 66, 247, 263, 0, 177, 108, 130, 121, 120, 295, 10, 60, 1, 153, 146, 29, 56, 0, 78, 250, 257, 253, 212, 230, 246, 288, 53, 200, 77, 20, 41, 249, 37, 234, 57, 270, 132, 206, 178, 291, 112, 210, 83, 277, 182, 0]</t>
  </si>
  <si>
    <t>[0, 130, 2, 30, 202, 0, 57, 79, 106, 64, 89, 0, 269, 237, 207, 90, 0, 150, 3, 19, 115, 87, 0, 117, 277, 257, 0, 139, 60, 128, 28, 82, 0, 174, 176, 78, 25, 0, 276, 132, 230, 0, 147, 221, 270, 0, 127, 122, 69, 131, 0, 155, 204, 302, 0, 29, 208, 24, 250, 86, 0, 112, 93, 228, 51, 0, 162, 165, 190, 171, 0, 189, 226, 201, 0, 214, 217, 280, 0, 145, 299, 95, 279, 0, 298, 289, 159, 0, 265, 252, 74, 0, 108, 61, 218, 116, 0, 278, 312, 234, 224, 0, 260, 281, 33, 182, 0, 268, 262, 287, 0, 125, 175, 164, 56, 0, 248, 295, 249, 0, 75, 72, 285, 0, 184, 266, 258, 191, 0, 236, 22, 303, 0, 84, 4, 6, 9, 0, 7, 141, 211, 107, 0, 267, 243, 311, 143, 0, 161, 54, 53, 0, 114, 10, 215, 0, 301, 43, 310, 229, 272, 0, 264, 216, 239, 309, 219, 222, 274, 0, 18, 245, 17, 45, 67, 5, 0, 253, 290, 111, 282, 185, 256, 163, 0, 180, 149, 293, 158, 251, 297, 0, 195, 166, 177, 193, 271, 196, 42, 0, 21, 259, 179, 206, 205, 0, 148, 244, 238, 273, 247, 11, 231, 66, 136, 0, 173, 198, 284, 38, 140, 291, 20, 0, 26, 123, 160, 35, 235, 52, 0, 88, 23, 118, 296, 0, 98, 135, 94, 300, 168, 97, 58, 151, 120, 46, 80, 101, 104, 13, 0, 83, 91, 63, 37, 144, 40, 146, 77, 65, 0, 62, 68, 59, 0, 134, 12, 76, 0, 1, 105, 49, 85, 50, 0, 103, 138, 283, 0, 27, 109, 213, 0, 286, 292, 124, 0, 261, 188, 170, 0, 71, 187, 255, 0, 178, 306, 227, 0, 41, 223, 39, 0, 197, 203, 263, 0, 92, 233, 246, 0, 183, 199, 308, 0, 209, 81, 254, 0, 73, 307, 225, 0, 294, 210, 157, 0, 220, 305, 169, 0, 192, 100, 275, 181, 0, 194, 96, 8, 0, 32, 137, 126, 36, 152, 0, 200, 119, 304, 0, 242, 232, 172, 55, 0, 110, 15, 129, 0, 212, 240, 241, 0, 288, 156, 47, 0, 70, 133, 44, 142, 102, 153, 48, 34, 99, 0, 186, 167, 16, 0, 154, 14, 113, 0, 121, 31, 0]</t>
  </si>
  <si>
    <t>X_n312</t>
  </si>
  <si>
    <t>[0, 113, 16, 186, 0, 212, 194, 47, 0, 242, 240, 156, 0, 154, 32, 28, 142, 44, 102, 133, 48, 99, 0, 200, 220, 100, 0, 182, 82, 153, 34, 70, 121, 31, 0, 181, 294, 209, 129, 0, 14, 55, 167, 0, 157, 275, 172, 241, 0, 41, 254, 210, 0, 232, 119, 169, 305, 0, 81, 96, 304, 0, 261, 246, 8, 307, 0, 178, 92, 225, 0, 73, 308, 192, 0, 188, 197, 183, 0, 170, 109, 227, 0, 286, 39, 233, 0, 199, 263, 187, 0, 223, 203, 71, 0, 76, 1, 103, 0, 27, 12, 50, 283, 0, 255, 213, 138, 0, 134, 65, 49, 85, 306, 0, 105, 13, 77, 40, 146, 104, 101, 80, 46, 120, 151, 136, 0, 83, 144, 58, 37, 63, 91, 26, 235, 42, 0, 62, 123, 160, 35, 52, 0, 196, 140, 168, 97, 300, 94, 135, 98, 66, 291, 20, 148, 0, 173, 231, 247, 38, 198, 244, 180, 5, 0, 21, 149, 238, 284, 273, 193, 310, 274, 0, 145, 61, 256, 158, 11, 293, 271, 191, 0, 195, 163, 67, 205, 259, 111, 309, 219, 245, 0, 264, 222, 177, 45, 17, 0, 216, 166, 229, 179, 297, 143, 0, 215, 206, 253, 282, 185, 0, 251, 311, 258, 0, 114, 10, 272, 0, 161, 290, 243, 0, 248, 141, 239, 86, 0, 184, 303, 298, 0, 54, 43, 22, 25, 0, 267, 236, 75, 90, 0, 252, 211, 53, 285, 0, 249, 295, 72, 0, 266, 312, 132, 116, 0, 260, 164, 7, 162, 0, 93, 56, 175, 250, 0, 279, 33, 78, 0, 234, 95, 281, 0, 24, 217, 287, 0, 280, 74, 265, 0, 127, 299, 228, 221, 0, 131, 122, 69, 4, 0, 112, 270, 159, 0, 51, 165, 190, 189, 0, 278, 289, 262, 0, 204, 155, 226, 0, 18, 257, 147, 176, 0, 269, 277, 174, 0, 139, 237, 230, 0, 201, 171, 268, 0, 208, 214, 207, 0, 106, 117, 125, 0, 79, 276, 302, 0, 130, 29, 2, 202, 128, 0, 30, 115, 6, 0, 218, 224, 107, 301, 0, 57, 64, 3, 19, 150, 0, 36, 60, 108, 89, 0, 126, 137, 9, 84, 87, 0, 59, 68, 296, 0, 23, 118, 124, 0, 110, 88, 152, 0, 292, 15, 0, 288, 0]</t>
  </si>
  <si>
    <t>[0, 134, 1, 85, 49, 50, 0, 105, 13, 77, 146, 104, 101, 80, 46, 120, 151, 40, 136, 0, 52, 98, 58, 144, 37, 63, 91, 65, 0, 83, 235, 26, 123, 94, 97, 168, 300, 135, 160, 42, 0, 35, 66, 231, 140, 173, 291, 20, 148, 5, 127, 0, 76, 12, 59, 0, 143, 195, 244, 198, 247, 180, 21, 86, 0, 191, 149, 259, 11, 38, 284, 238, 0, 196, 293, 273, 193, 111, 309, 310, 229, 163, 0, 67, 256, 222, 282, 206, 219, 179, 158, 271, 0, 274, 185, 297, 177, 17, 0, 245, 251, 166, 205, 264, 0, 27, 103, 138, 0, 216, 45, 253, 141, 25, 0, 236, 215, 114, 0, 272, 10, 43, 0, 145, 53, 290, 303, 0, 258, 161, 239, 0, 311, 54, 211, 90, 0, 283, 109, 187, 0, 75, 22, 295, 87, 0, 184, 266, 7, 0, 248, 72, 243, 0, 267, 285, 249, 164, 0, 296, 68, 62, 0, 56, 175, 262, 18, 0, 125, 252, 95, 0, 71, 213, 255, 0, 265, 33, 122, 0, 287, 268, 159, 0, 107, 298, 289, 116, 0, 280, 93, 260, 299, 0, 312, 281, 78, 0, 188, 261, 286, 0, 170, 39, 223, 0, 218, 234, 74, 29, 0, 227, 306, 203, 0, 197, 246, 225, 0, 61, 214, 226, 0, 41, 92, 209, 0, 278, 171, 217, 0, 250, 279, 228, 204, 0, 162, 108, 301, 118, 0, 302, 165, 69, 4, 0, 224, 190, 270, 150, 89, 0, 201, 189, 24, 51, 0, 307, 233, 8, 241, 0, 208, 221, 176, 0, 81, 183, 263, 0, 155, 112, 147, 0, 257, 131, 277, 28, 82, 0, 199, 96, 172, 0, 192, 254, 308, 0, 132, 174, 117, 0, 178, 73, 220, 0, 305, 157, 304, 55, 0, 276, 207, 2, 0, 294, 119, 167, 0, 130, 19, 237, 230, 0, 84, 139, 115, 32, 0, 292, 210, 169, 0, 64, 202, 269, 57, 0, 79, 106, 6, 0, 194, 275, 232, 0, 23, 30, 60, 142, 48, 0, 242, 100, 240, 0, 88, 3, 137, 0, 288, 181, 186, 0, 124, 15, 129, 0, 110, 128, 9, 126, 152, 0, 200, 156, 47, 0, 212, 16, 113, 0, 14, 154, 182, 0, 34, 99, 70, 121, 31, 0, 153, 102, 36, 44, 133, 0]</t>
  </si>
  <si>
    <t>[0, 159, 140, 163, 191, 176, 29, 0, 54, 122, 295, 100, 174, 115, 0, 236, 179, 79, 76, 51, 309, 0, 246, 243, 16, 116, 121, 267, 0, 94, 256, 28, 91, 172, 197, 0, 264, 182, 302, 143, 21, 80, 0, 49, 67, 126, 34, 293, 52, 0, 178, 37, 313, 27, 193, 223, 0, 92, 123, 149, 311, 162, 151, 0, 108, 289, 202, 2, 235, 71, 0, 314, 192, 198, 217, 283, 239, 0, 167, 113, 181, 312, 127, 14, 0, 204, 170, 25, 269, 129, 185, 0, 273, 26, 304, 86, 190, 265, 0, 15, 310, 66, 107, 77, 139, 0, 254, 43, 19, 274, 216, 250, 0, 78, 207, 97, 196, 189, 203, 0, 230, 1, 233, 7, 22, 6, 0, 210, 263, 124, 46, 294, 212, 0, 70, 173, 219, 245, 150, 101, 0, 299, 255, 131, 258, 288, 277, 0, 287, 12, 157, 13, 138, 220, 0, 272, 156, 155, 154, 42, 85, 0, 166, 73, 98, 39, 305, 252, 0, 44, 48, 266, 59, 56, 234, 0, 133, 298, 112, 134, 81, 218, 0, 36, 5, 109, 221, 53, 201, 0, 33, 40, 290, 20, 241, 120, 0, 194, 259, 253, 271, 95, 280, 0, 292, 135, 63, 260, 257, 164, 0, 153, 89, 224, 84, 110, 130, 0, 90, 18, 200, 268, 125, 10, 0, 145, 158, 205, 74, 316, 61, 0, 285, 144, 160, 62, 238, 300, 0, 242, 117, 23, 306, 9, 296, 0, 281, 231, 282, 75, 237, 114, 0, 99, 301, 57, 297, 249, 262, 0, 228, 11, 286, 38, 105, 102, 0, 188, 104, 69, 184, 132, 50, 0, 279, 244, 275, 186, 291, 136, 0, 152, 4, 64, 209, 146, 68, 0, 248, 142, 199, 30, 215, 240, 0, 229, 227, 60, 106, 183, 128, 0, 93, 55, 222, 187, 111, 211, 0, 83, 148, 72, 88, 35, 278, 0, 31, 308, 261, 226, 32, 45, 0, 284, 17, 8, 175, 103, 47, 0, 65, 161, 315, 180, 307, 206, 0, 119, 232, 141, 82, 213, 171, 0, 251, 225, 214, 247, 165, 276, 0, 168, 169, 87, 208, 96, 0, 58, 147, 3, 41, 24, 118, 0, 195, 137, 303, 177, 270, 0]</t>
  </si>
  <si>
    <t>X_n316</t>
  </si>
  <si>
    <t>[0, 78, 85, 42, 155, 15, 314, 0, 154, 220, 97, 12, 192, 264, 0, 236, 304, 86, 196, 157, 167, 0, 94, 310, 66, 138, 273, 287, 0, 159, 289, 113, 107, 207, 13, 0, 92, 265, 181, 190, 189, 26, 0, 197, 91, 182, 71, 203, 108, 0, 14, 198, 235, 302, 127, 77, 0, 29, 256, 28, 149, 123, 139, 0, 176, 179, 312, 2, 202, 151, 0, 163, 143, 311, 162, 21, 309, 0, 79, 76, 191, 172, 51, 80, 0, 115, 54, 140, 122, 49, 246, 0, 243, 267, 121, 100, 174, 124, 0, 178, 52, 16, 295, 116, 193, 0, 67, 126, 34, 293, 27, 223, 0, 161, 216, 254, 170, 37, 221, 0, 204, 313, 217, 233, 274, 185, 0, 299, 129, 22, 43, 283, 269, 0, 6, 25, 7, 19, 39, 230, 0, 277, 255, 1, 131, 250, 95, 0, 271, 166, 219, 258, 150, 156, 0, 20, 288, 305, 245, 173, 101, 0, 241, 56, 266, 98, 73, 252, 0, 135, 44, 48, 59, 239, 234, 0, 280, 70, 81, 134, 112, 298, 0, 110, 133, 218, 160, 62, 84, 0, 89, 224, 153, 90, 18, 109, 0, 144, 285, 205, 74, 300, 158, 0, 53, 5, 253, 238, 231, 11, 0, 249, 200, 194, 63, 294, 263, 0, 297, 242, 23, 282, 75, 215, 0, 286, 57, 259, 268, 290, 46, 0, 38, 292, 117, 9, 199, 237, 0, 60, 30, 306, 291, 125, 130, 0, 212, 36, 201, 260, 316, 99, 0, 128, 152, 50, 301, 257, 40, 0, 83, 228, 244, 132, 184, 69, 0, 275, 4, 64, 142, 114, 240, 0, 148, 72, 104, 186, 281, 145, 0, 222, 261, 227, 35, 106, 183, 0, 55, 111, 136, 209, 88, 278, 0, 229, 68, 187, 146, 188, 226, 0, 248, 232, 180, 296, 32, 45, 0, 8, 262, 61, 279, 119, 175, 0, 102, 105, 141, 315, 307, 206, 0, 247, 165, 82, 308, 120, 164, 0, 10, 213, 103, 276, 3, 41, 0, 303, 118, 24, 147, 211, 93, 0, 270, 137, 47, 58, 214, 284, 0, 195, 177, 171, 65, 17, 210, 0, 96, 208, 225, 87, 0, 251, 272, 33, 31, 168, 169, 0]</t>
  </si>
  <si>
    <t>[0, 78, 85, 155, 15, 314, 124, 0, 42, 154, 12, 167, 273, 192, 0, 94, 108, 138, 13, 157, 220, 0, 236, 264, 139, 310, 97, 207, 0, 289, 92, 107, 86, 196, 26, 0, 151, 198, 66, 304, 181, 29, 0, 159, 197, 265, 77, 189, 203, 0, 80, 202, 127, 190, 113, 14, 0, 179, 309, 71, 235, 123, 2, 0, 176, 162, 143, 91, 182, 312, 0, 79, 256, 21, 28, 149, 311, 0, 76, 51, 172, 302, 163, 140, 0, 174, 100, 34, 295, 122, 191, 0, 246, 267, 116, 121, 115, 54, 0, 193, 49, 217, 126, 16, 243, 0, 223, 52, 67, 293, 27, 178, 0, 230, 150, 233, 313, 274, 129, 0, 204, 170, 283, 43, 7, 185, 0, 70, 250, 216, 254, 25, 37, 0, 133, 277, 131, 19, 22, 269, 0, 258, 245, 1, 219, 173, 266, 0, 44, 252, 39, 305, 6, 255, 0, 287, 263, 210, 156, 212, 36, 0, 299, 101, 288, 73, 98, 48, 0, 95, 234, 239, 56, 298, 166, 0, 5, 59, 112, 134, 81, 218, 0, 294, 46, 109, 221, 53, 201, 0, 259, 135, 271, 20, 290, 40, 0, 18, 280, 241, 63, 257, 10, 0, 200, 253, 268, 194, 260, 272, 0, 300, 153, 84, 90, 110, 316, 0, 125, 74, 249, 297, 286, 279, 0, 292, 224, 62, 160, 89, 238, 0, 242, 205, 285, 144, 282, 75, 0, 55, 38, 57, 130, 262, 33, 0, 102, 50, 158, 275, 132, 281, 0, 164, 111, 146, 227, 60, 106, 0, 152, 99, 61, 105, 168, 169, 0, 68, 240, 215, 9, 184, 301, 0, 228, 11, 117, 23, 306, 237, 0, 96, 208, 251, 284, 31, 87, 0, 229, 145, 231, 199, 30, 114, 0, 270, 195, 128, 83, 93, 225, 0, 69, 64, 136, 261, 161, 8, 0, 65, 17, 120, 3, 58, 137, 0, 82, 72, 104, 4, 222, 171, 0, 211, 175, 119, 214, 47, 177, 0, 247, 244, 248, 103, 213, 0, 232, 187, 148, 188, 180, 276, 0, 209, 291, 142, 35, 278, 206, 0, 308, 296, 186, 88, 183, 32, 0, 118, 165, 307, 45, 226, 141, 0, 147, 315, 41, 24, 303, 0]</t>
  </si>
  <si>
    <t>[0, 235, 98, 200, 52, 83, 116, 91, 289, 221, 78, 188, 0, 152, 179, 293, 94, 131, 291, 92, 74, 264, 134, 175, 0, 69, 224, 73, 132, 309, 180, 7, 165, 62, 37, 107, 0, 186, 39, 6, 220, 204, 205, 296, 292, 55, 76, 124, 0, 47, 315, 237, 304, 60, 297, 159, 29, 136, 157, 181, 0, 130, 287, 141, 46, 272, 23, 257, 117, 38, 229, 61, 0, 163, 32, 215, 286, 45, 16, 223, 87, 118, 153, 249, 0, 256, 70, 239, 162, 80, 209, 42, 261, 2, 95, 0, 170, 190, 202, 276, 53, 311, 133, 232, 20, 75, 280, 305, 0, 217, 310, 168, 240, 308, 198, 67, 41, 93, 265, 233, 0, 284, 19, 147, 253, 210, 238, 119, 321, 11, 301, 282, 0, 201, 122, 25, 255, 247, 222, 246, 300, 44, 225, 140, 0, 313, 285, 211, 102, 197, 105, 227, 151, 268, 85, 279, 22, 0, 270, 312, 166, 298, 183, 26, 158, 250, 59, 1, 97, 0, 143, 218, 149, 263, 254, 173, 138, 317, 242, 142, 101, 51, 126, 0, 195, 56, 251, 299, 114, 314, 178, 12, 145, 108, 174, 0, 192, 120, 241, 243, 277, 21, 274, 150, 155, 171, 112, 0, 57, 49, 199, 31, 185, 127, 64, 231, 193, 128, 106, 0, 103, 302, 100, 176, 154, 84, 167, 9, 206, 212, 24, 283, 266, 0, 177, 294, 203, 318, 234, 89, 135, 146, 79, 319, 252, 0, 104, 129, 28, 36, 169, 278, 13, 88, 121, 189, 34, 320, 0, 160, 50, 68, 164, 139, 8, 271, 71, 307, 262, 111, 281, 0, 244, 72, 123, 40, 86, 258, 191, 267, 96, 156, 17, 260, 0, 213, 35, 43, 182, 236, 58, 33, 113, 230, 184, 125, 0, 18, 14, 196, 54, 208, 99, 207, 214, 10, 65, 316, 0, 82, 187, 4, 219, 226, 3, 15, 63, 144, 148, 194, 0, 275, 109, 81, 27, 115, 30, 303, 248, 48, 290, 306, 269, 0, 245, 66, 228, 110, 5, 295, 77, 161, 273, 172, 0, 259, 288, 137, 216, 90, 0]</t>
  </si>
  <si>
    <t>X_n321</t>
  </si>
  <si>
    <t>[0, 244, 72, 123, 219, 260, 40, 28, 266, 36, 277, 302, 103, 0, 201, 145, 192, 104, 129, 189, 34, 320, 96, 86, 226, 4, 0, 82, 187, 169, 13, 88, 191, 267, 3, 144, 148, 5, 0, 12, 120, 171, 112, 100, 155, 274, 167, 9, 212, 24, 283, 278, 0, 176, 206, 84, 150, 21, 299, 251, 56, 178, 279, 285, 22, 0, 108, 85, 314, 114, 243, 195, 241, 154, 121, 258, 17, 15, 0, 19, 211, 140, 102, 197, 105, 246, 300, 227, 151, 268, 313, 0, 233, 265, 282, 122, 25, 67, 321, 119, 44, 225, 0, 284, 95, 147, 41, 308, 198, 238, 11, 222, 255, 0, 256, 70, 249, 217, 310, 168, 240, 93, 210, 301, 247, 253, 0, 80, 2, 261, 209, 118, 42, 223, 16, 60, 32, 188, 0, 47, 163, 239, 162, 153, 87, 304, 297, 159, 237, 78, 0, 220, 221, 91, 116, 175, 157, 315, 92, 29, 45, 286, 215, 0, 98, 200, 52, 134, 264, 131, 291, 74, 136, 181, 289, 0, 204, 179, 73, 132, 180, 309, 94, 293, 152, 83, 235, 0, 6, 205, 296, 69, 224, 7, 165, 62, 37, 107, 292, 0, 124, 76, 55, 305, 257, 117, 38, 229, 61, 39, 0, 218, 59, 166, 312, 20, 232, 46, 272, 23, 141, 287, 130, 280, 0, 18, 149, 1, 250, 298, 183, 276, 133, 75, 202, 190, 0, 186, 270, 143, 26, 263, 311, 53, 254, 158, 97, 160, 0, 245, 174, 275, 125, 50, 57, 128, 106, 230, 184, 170, 0, 109, 177, 49, 101, 142, 242, 317, 138, 173, 51, 126, 0, 216, 68, 193, 231, 64, 127, 203, 185, 31, 199, 0, 137, 81, 14, 281, 113, 319, 146, 234, 318, 294, 0, 90, 172, 273, 196, 252, 135, 8, 89, 79, 0, 288, 161, 262, 307, 71, 271, 111, 139, 164, 33, 0, 259, 27, 207, 182, 43, 35, 236, 58, 54, 0, 208, 316, 99, 213, 214, 10, 248, 303, 30, 65, 115, 0, 295, 77, 269, 306, 290, 48, 156, 63, 194, 228, 66, 0, 110, 0]</t>
  </si>
  <si>
    <t>[0, 279, 268, 151, 197, 105, 227, 300, 246, 44, 225, 140, 211, 0, 19, 233, 210, 11, 321, 119, 222, 247, 255, 122, 102, 0, 285, 85, 314, 299, 243, 251, 195, 56, 178, 120, 12, 0, 201, 282, 25, 301, 238, 198, 308, 67, 41, 240, 265, 0, 284, 95, 80, 209, 261, 217, 310, 168, 93, 253, 147, 0, 313, 22, 114, 277, 21, 274, 150, 176, 155, 241, 171, 244, 0, 70, 162, 153, 2, 42, 118, 87, 223, 16, 304, 60, 0, 163, 32, 215, 237, 29, 92, 297, 159, 45, 239, 249, 0, 256, 286, 315, 136, 74, 291, 264, 157, 181, 175, 188, 0, 289, 91, 83, 152, 179, 131, 94, 293, 134, 116, 221, 78, 0, 245, 174, 66, 228, 108, 145, 192, 103, 104, 110, 0, 47, 52, 200, 69, 73, 309, 180, 132, 224, 296, 0, 292, 204, 205, 98, 235, 220, 6, 39, 186, 0, 229, 7, 107, 165, 62, 37, 117, 38, 287, 130, 305, 76, 0, 124, 55, 61, 257, 272, 23, 141, 46, 232, 20, 75, 312, 0, 129, 266, 24, 212, 206, 9, 167, 84, 154, 100, 302, 112, 0, 280, 202, 133, 311, 276, 53, 263, 26, 190, 166, 143, 0, 82, 72, 13, 88, 191, 34, 189, 121, 278, 283, 36, 28, 0, 218, 298, 183, 254, 158, 250, 59, 1, 57, 149, 125, 0, 270, 97, 173, 138, 317, 242, 142, 101, 51, 126, 231, 128, 0, 193, 177, 64, 127, 79, 234, 318, 203, 185, 31, 199, 49, 0, 187, 4, 123, 40, 169, 86, 226, 260, 219, 5, 288, 275, 0, 160, 50, 184, 106, 294, 319, 146, 8, 139, 135, 252, 14, 0, 281, 33, 58, 111, 262, 307, 71, 271, 89, 164, 68, 0, 137, 295, 144, 15, 156, 96, 320, 267, 258, 17, 3, 148, 0, 172, 273, 161, 77, 306, 290, 303, 248, 48, 63, 194, 0, 259, 90, 269, 30, 10, 214, 35, 43, 236, 182, 99, 0, 216, 27, 115, 65, 213, 207, 316, 208, 54, 196, 113, 0, 18, 170, 230, 81, 109, 0]</t>
  </si>
  <si>
    <t>[0, 96, 227, 232, 297, 200, 259, 212, 184, 171, 318, 124, 148, 195, 237, 165, 236, 268, 0, 228, 50, 302, 141, 137, 186, 224, 304, 262, 272, 270, 213, 157, 263, 219, 0, 303, 223, 172, 174, 317, 103, 301, 128, 81, 89, 218, 102, 180, 312, 244, 55, 239, 0, 250, 311, 20, 205, 154, 211, 170, 111, 266, 296, 221, 99, 300, 166, 246, 289, 255, 0, 282, 159, 176, 169, 17, 208, 194, 108, 177, 136, 199, 269, 267, 49, 243, 185, 0, 149, 153, 210, 35, 202, 27, 283, 305, 257, 71, 122, 260, 226, 261, 281, 274, 0, 83, 324, 252, 182, 39, 310, 3, 4, 76, 189, 62, 143, 147, 2, 85, 293, 209, 319, 100, 0, 222, 284, 160, 26, 114, 29, 64, 98, 53, 80, 13, 112, 67, 105, 230, 292, 0, 8, 256, 321, 206, 168, 315, 229, 240, 234, 249, 183, 12, 307, 179, 23, 248, 0, 32, 93, 151, 51, 97, 123, 75, 54, 142, 38, 5, 77, 90, 115, 82, 133, 73, 9, 0, 16, 155, 14, 47, 91, 59, 158, 28, 135, 156, 44, 323, 264, 86, 203, 15, 95, 87, 0, 325, 41, 117, 79, 161, 69, 31, 162, 46, 65, 109, 107, 144, 11, 21, 119, 113, 0, 271, 288, 215, 152, 314, 18, 94, 316, 1, 175, 201, 196, 265, 198, 217, 251, 0, 42, 34, 241, 275, 37, 140, 19, 74, 132, 52, 25, 129, 60, 204, 68, 72, 130, 0, 247, 279, 220, 245, 214, 273, 167, 216, 290, 146, 280, 121, 24, 92, 40, 313, 0, 57, 131, 320, 6, 187, 193, 276, 22, 45, 104, 150, 84, 101, 139, 242, 43, 0, 238, 181, 191, 322, 326, 299, 106, 285, 231, 116, 118, 233, 10, 309, 277, 254, 66, 291, 0, 163, 138, 306, 207, 286, 308, 33, 173, 225, 61, 36, 258, 164, 178, 70, 110, 235, 0, 125, 48, 30, 126, 190, 197, 295, 188, 192, 120, 88, 7, 134, 145, 78, 63, 278, 0, 287, 56, 298, 127, 294, 58, 253, 0]</t>
  </si>
  <si>
    <t>X_n326</t>
  </si>
  <si>
    <t>[0, 289, 246, 166, 274, 83, 149, 137, 186, 311, 303, 154, 55, 244, 239, 224, 304, 262, 0, 20, 223, 205, 296, 211, 266, 111, 172, 312, 180, 174, 35, 153, 281, 300, 100, 302, 0, 141, 324, 210, 99, 221, 170, 102, 218, 317, 103, 301, 128, 283, 202, 315, 206, 256, 8, 0, 23, 295, 179, 168, 293, 226, 182, 260, 122, 71, 257, 305, 27, 261, 209, 321, 0, 252, 39, 3, 81, 89, 4, 2, 310, 85, 229, 240, 16, 249, 234, 12, 307, 188, 0, 319, 271, 183, 62, 143, 147, 76, 189, 14, 155, 95, 325, 288, 247, 217, 87, 251, 197, 0, 126, 88, 308, 33, 313, 220, 245, 279, 198, 15, 59, 158, 28, 91, 47, 120, 192, 0, 7, 286, 225, 173, 66, 216, 273, 41, 175, 31, 156, 135, 44, 323, 264, 203, 86, 0, 265, 214, 117, 215, 196, 167, 92, 40, 291, 207, 306, 163, 134, 145, 78, 0, 181, 110, 164, 254, 290, 94, 18, 144, 109, 65, 46, 162, 69, 314, 161, 152, 79, 0, 70, 178, 322, 326, 299, 231, 146, 316, 1, 201, 277, 61, 36, 285, 258, 138, 190, 248, 0, 238, 191, 6, 10, 24, 242, 104, 150, 84, 119, 11, 107, 21, 101, 139, 121, 280, 0, 57, 275, 106, 193, 116, 140, 45, 19, 132, 52, 113, 43, 309, 118, 233, 63, 30, 48, 0, 34, 129, 54, 75, 123, 97, 51, 5, 38, 142, 25, 74, 22, 276, 37, 187, 320, 0, 42, 241, 131, 204, 60, 68, 72, 93, 151, 82, 90, 77, 115, 133, 73, 9, 0, 284, 199, 136, 160, 80, 13, 112, 53, 26, 114, 29, 64, 130, 98, 32, 67, 235, 0, 56, 127, 105, 230, 267, 269, 177, 212, 259, 200, 208, 194, 108, 17, 169, 0, 253, 297, 124, 318, 171, 184, 176, 232, 227, 159, 49, 243, 222, 292, 0, 255, 287, 125, 272, 58, 219, 268, 237, 148, 96, 185, 0, 282, 195, 165, 236, 263, 250, 157, 213, 270, 228, 50, 278, 294, 298, 0]</t>
  </si>
  <si>
    <t>[0, 287, 230, 284, 160, 136, 269, 199, 177, 108, 194, 259, 212, 184, 171, 318, 124, 297, 0, 255, 243, 49, 267, 17, 208, 200, 169, 176, 232, 227, 159, 96, 148, 237, 195, 0, 56, 105, 13, 80, 53, 26, 114, 29, 64, 98, 32, 112, 67, 235, 127, 298, 0, 58, 253, 263, 250, 157, 270, 213, 236, 165, 268, 282, 219, 185, 222, 292, 0, 228, 186, 311, 205, 211, 111, 170, 172, 180, 312, 244, 55, 239, 224, 304, 262, 0, 303, 223, 154, 296, 266, 317, 102, 218, 89, 4, 81, 3, 128, 301, 103, 174, 99, 137, 0, 272, 141, 149, 20, 221, 210, 153, 281, 319, 324, 300, 166, 302, 50, 125, 0, 274, 83, 261, 35, 252, 202, 27, 283, 305, 257, 71, 122, 226, 206, 321, 256, 23, 0, 100, 8, 209, 293, 182, 260, 39, 310, 2, 143, 147, 76, 189, 62, 14, 240, 168, 192, 0, 197, 120, 87, 249, 183, 234, 155, 16, 85, 229, 315, 12, 307, 179, 271, 188, 246, 0, 247, 288, 86, 203, 264, 323, 31, 162, 156, 135, 44, 28, 158, 91, 47, 59, 15, 95, 0, 295, 217, 325, 198, 279, 220, 41, 117, 152, 215, 273, 214, 216, 92, 33, 0, 313, 167, 290, 1, 94, 109, 65, 46, 69, 314, 161, 79, 175, 196, 265, 245, 251, 0, 130, 93, 151, 54, 75, 123, 142, 38, 5, 97, 51, 90, 77, 115, 82, 133, 73, 9, 0, 40, 201, 316, 18, 21, 107, 144, 11, 119, 84, 101, 242, 121, 146, 280, 254, 66, 0, 42, 34, 241, 320, 131, 72, 68, 204, 60, 129, 25, 52, 113, 150, 104, 139, 24, 0, 181, 191, 6, 275, 106, 187, 37, 19, 74, 132, 45, 43, 309, 277, 10, 291, 173, 0, 238, 57, 299, 326, 322, 285, 231, 193, 276, 140, 22, 116, 118, 233, 61, 36, 258, 0, 289, 48, 30, 248, 190, 126, 63, 278, 294, 0, 78, 145, 134, 138, 88, 7, 286, 207, 308, 225, 164, 178, 306, 70, 110, 163, 0]</t>
  </si>
  <si>
    <t>[0, 298, 140, 25, 113, 304, 230, 203, 150, 61, 239, 136, 161, 311, 73, 264, 260, 181, 57, 85, 135, 165, 11, 64, 0, 271, 184, 38, 139, 312, 218, 286, 289, 330, 35, 3, 192, 325, 36, 209, 258, 112, 318, 254, 227, 155, 200, 6, 0, 102, 32, 280, 284, 202, 46, 307, 249, 267, 243, 60, 123, 154, 205, 291, 172, 266, 72, 40, 176, 50, 17, 130, 0, 104, 278, 141, 256, 100, 125, 110, 103, 259, 175, 251, 296, 68, 27, 293, 78, 148, 20, 171, 74, 58, 319, 82, 0, 223, 62, 117, 83, 189, 44, 222, 214, 115, 252, 270, 310, 193, 219, 314, 131, 54, 247, 263, 53, 262, 220, 197, 0, 195, 281, 90, 134, 187, 207, 30, 158, 329, 143, 244, 63, 86, 94, 89, 59, 169, 168, 65, 151, 142, 16, 23, 0, 28, 212, 295, 95, 97, 147, 144, 120, 204, 146, 56, 231, 14, 13, 261, 19, 1, 237, 116, 111, 10, 42, 198, 0, 300, 257, 274, 129, 303, 250, 213, 76, 183, 273, 190, 37, 179, 225, 70, 316, 156, 101, 157, 66, 306, 248, 228, 0, 210, 96, 297, 33, 51, 55, 186, 170, 327, 320, 272, 236, 98, 163, 276, 122, 153, 79, 328, 109, 145, 15, 164, 0, 285, 323, 105, 299, 49, 294, 290, 133, 81, 302, 152, 180, 238, 188, 317, 322, 301, 235, 45, 215, 246, 221, 283, 0, 92, 217, 240, 127, 47, 128, 138, 324, 194, 167, 185, 277, 5, 282, 107, 226, 234, 253, 31, 315, 114, 18, 288, 0, 308, 121, 275, 208, 43, 124, 22, 326, 108, 99, 9, 26, 178, 199, 321, 232, 93, 29, 241, 75, 87, 69, 173, 0, 126, 24, 39, 7, 287, 84, 162, 67, 4, 77, 80, 269, 132, 21, 88, 174, 137, 160, 309, 118, 48, 182, 71, 0, 41, 224, 206, 34, 229, 279, 305, 159, 2, 245, 52, 265, 211, 292, 119, 91, 201, 313, 233, 196, 106, 166, 177, 0, 255, 12, 8, 216, 191, 149, 268, 242, 0]</t>
  </si>
  <si>
    <t>X_n330</t>
  </si>
  <si>
    <t>[0, 255, 242, 268, 149, 308, 121, 326, 108, 99, 22, 124, 75, 87, 43, 275, 208, 69, 191, 216, 8, 12, 126, 0, 283, 221, 323, 49, 294, 246, 241, 93, 29, 26, 199, 232, 215, 317, 19, 1, 235, 237, 301, 322, 45, 178, 9, 0, 285, 105, 299, 290, 133, 321, 238, 188, 261, 13, 14, 146, 204, 56, 231, 116, 180, 152, 302, 81, 42, 198, 212, 0, 95, 10, 16, 142, 97, 147, 168, 144, 111, 120, 169, 89, 59, 86, 63, 244, 94, 65, 151, 298, 23, 102, 281, 0, 195, 295, 90, 134, 187, 207, 140, 30, 158, 329, 143, 150, 203, 230, 113, 25, 64, 243, 267, 46, 202, 278, 262, 0, 28, 32, 280, 284, 249, 307, 165, 11, 304, 136, 239, 61, 161, 57, 123, 60, 291, 263, 53, 104, 266, 40, 176, 0, 141, 205, 154, 271, 135, 85, 181, 260, 264, 311, 73, 35, 330, 289, 286, 227, 184, 6, 256, 219, 314, 131, 82, 0, 117, 189, 44, 248, 115, 193, 258, 325, 36, 192, 3, 112, 318, 218, 312, 139, 38, 100, 319, 54, 247, 172, 50, 0, 130, 274, 252, 270, 316, 110, 259, 175, 251, 27, 209, 254, 155, 103, 200, 125, 310, 214, 222, 83, 72, 220, 173, 0, 62, 228, 257, 129, 306, 66, 156, 101, 70, 58, 296, 68, 293, 78, 148, 20, 171, 74, 225, 157, 303, 328, 300, 0, 17, 250, 213, 79, 76, 153, 122, 183, 273, 179, 37, 190, 276, 163, 236, 98, 327, 186, 51, 96, 109, 145, 15, 0, 24, 39, 55, 240, 170, 320, 272, 324, 128, 138, 194, 167, 185, 277, 5, 282, 107, 47, 217, 92, 33, 297, 210, 0, 223, 313, 201, 91, 7, 127, 234, 226, 253, 31, 315, 114, 67, 162, 287, 84, 4, 77, 80, 269, 132, 21, 174, 0, 279, 196, 2, 288, 182, 48, 18, 118, 88, 309, 160, 137, 119, 233, 292, 211, 265, 245, 52, 106, 166, 229, 197, 0, 41, 71, 224, 206, 159, 305, 34, 164, 177, 0]</t>
  </si>
  <si>
    <t>[0, 255, 12, 8, 216, 191, 208, 275, 43, 22, 124, 99, 108, 326, 121, 308, 149, 268, 242, 0, 9, 45, 322, 301, 237, 235, 1, 19, 261, 13, 14, 231, 56, 146, 204, 120, 116, 180, 238, 188, 317, 215, 93, 0, 173, 28, 285, 323, 246, 49, 294, 290, 133, 81, 302, 321, 232, 199, 178, 26, 29, 241, 221, 283, 75, 87, 69, 0, 105, 299, 152, 142, 111, 144, 168, 169, 59, 89, 94, 86, 63, 244, 143, 329, 147, 97, 16, 10, 42, 198, 102, 0, 95, 151, 65, 30, 158, 25, 113, 230, 203, 150, 61, 239, 304, 135, 123, 165, 11, 140, 207, 187, 298, 23, 295, 0, 212, 284, 249, 64, 85, 57, 136, 161, 311, 73, 289, 330, 35, 3, 192, 36, 325, 318, 286, 264, 260, 181, 6, 0, 90, 134, 243, 271, 184, 38, 139, 312, 218, 254, 112, 258, 209, 293, 251, 259, 227, 155, 103, 200, 154, 307, 46, 0, 104, 278, 291, 141, 205, 256, 319, 316, 74, 296, 68, 148, 171, 20, 78, 27, 175, 110, 125, 100, 60, 267, 202, 0, 195, 281, 32, 280, 53, 263, 82, 54, 131, 314, 219, 310, 270, 193, 252, 115, 222, 247, 262, 266, 40, 176, 62, 0, 328, 213, 122, 163, 276, 190, 37, 58, 70, 225, 179, 273, 183, 157, 101, 156, 214, 248, 44, 83, 172, 72, 220, 0, 39, 55, 170, 324, 138, 185, 167, 194, 272, 236, 98, 320, 327, 79, 250, 153, 76, 66, 306, 303, 129, 274, 228, 0, 17, 50, 117, 189, 257, 300, 109, 96, 51, 186, 128, 277, 5, 282, 107, 47, 127, 217, 92, 33, 297, 210, 24, 0, 223, 145, 201, 91, 7, 240, 234, 226, 253, 31, 315, 114, 67, 162, 84, 287, 269, 132, 4, 77, 80, 18, 48, 0, 130, 15, 106, 233, 313, 119, 137, 174, 21, 88, 118, 309, 160, 211, 292, 265, 52, 245, 182, 288, 2, 196, 166, 0, 41, 71, 224, 206, 34, 159, 305, 279, 229, 164, 197, 177, 126, 0]</t>
  </si>
  <si>
    <t>[0, 291, 234, 131, 246, 0, 321, 318, 126, 288, 0, 110, 161, 202, 156, 100, 0, 248, 256, 71, 111, 0, 308, 117, 327, 171, 0, 121, 175, 53, 62, 0, 107, 137, 41, 0, 28, 182, 252, 0, 135, 189, 329, 0, 212, 236, 9, 0, 133, 307, 324, 0, 328, 144, 52, 0, 125, 22, 159, 0, 287, 191, 278, 0, 57, 249, 60, 0, 192, 119, 230, 136, 106, 0, 260, 153, 310, 0, 39, 88, 134, 0, 45, 245, 158, 0, 271, 13, 157, 0, 59, 185, 35, 0, 201, 70, 81, 205, 0, 258, 51, 283, 244, 0, 20, 250, 113, 31, 0, 89, 27, 152, 15, 268, 0, 6, 129, 24, 0, 168, 237, 0, 91, 301, 0, 92, 143, 74, 208, 25, 0, 326, 226, 223, 0, 95, 255, 105, 138, 0, 311, 209, 270, 69, 0, 99, 72, 0, 240, 187, 165, 154, 0, 227, 12, 302, 169, 228, 247, 221, 0, 79, 155, 0, 164, 239, 218, 0, 4, 82, 148, 0, 303, 146, 128, 0, 18, 279, 280, 40, 0, 109, 78, 19, 0, 196, 174, 68, 0, 217, 58, 29, 197, 0, 48, 84, 49, 86, 179, 180, 0, 289, 317, 0, 177, 1, 149, 277, 229, 0, 98, 61, 281, 273, 293, 0, 63, 75, 274, 194, 33, 266, 0, 73, 297, 93, 54, 316, 172, 186, 34, 233, 200, 232, 282, 0, 309, 267, 0, 204, 238, 214, 235, 150, 0, 206, 320, 151, 104, 26, 0, 11, 290, 163, 275, 147, 203, 178, 257, 0, 43, 285, 335, 132, 264, 0, 47, 304, 32, 213, 225, 65, 195, 294, 21, 0, 253, 7, 298, 160, 219, 190, 38, 322, 0, 101, 193, 262, 333, 37, 85, 215, 306, 50, 173, 0, 241, 145, 167, 0, 259, 16, 312, 0, 90, 127, 114, 332, 0, 36, 331, 319, 162, 139, 269, 118, 0, 313, 120, 141, 30, 115, 44, 216, 46, 77, 0, 323, 199, 2, 0, 251, 300, 295, 0, 261, 8, 292, 211, 3, 276, 123, 198, 66, 0, 23, 272, 243, 97, 0, 188, 80, 0, 64, 284, 0, 142, 5, 0, 67, 315, 0, 254, 130, 0, 103, 108, 231, 83, 0, 124, 220, 0, 242, 42, 0, 265, 181, 0, 96, 76, 0, 140, 210, 0, 87, 122, 0, 102, 14, 207, 0, 56, 184, 222, 0, 314, 224, 94, 0, 330, 325, 0, 55, 17, 0, 286, 183, 0, 170, 305, 0, 263, 112, 0, 10, 166, 0, 176, 296, 334, 0, 116, 299, 0]</t>
  </si>
  <si>
    <t>X_n335</t>
  </si>
  <si>
    <t>[0, 272, 139, 118, 295, 97, 21, 0, 23, 36, 47, 243, 0, 266, 192, 331, 225, 316, 186, 195, 65, 172, 294, 319, 162, 269, 0, 42, 300, 0, 25, 73, 304, 32, 213, 54, 34, 247, 233, 200, 221, 111, 0, 229, 297, 93, 228, 169, 29, 0, 33, 282, 194, 274, 75, 6, 0, 277, 232, 227, 302, 113, 230, 51, 288, 0, 149, 105, 81, 201, 0, 119, 208, 31, 12, 74, 95, 308, 0, 258, 255, 143, 125, 156, 0, 248, 256, 71, 100, 0, 202, 20, 159, 26, 0, 161, 283, 70, 0, 244, 126, 321, 154, 0, 236, 250, 291, 268, 0, 246, 318, 189, 324, 0, 131, 136, 59, 0, 24, 22, 135, 0, 110, 234, 212, 0, 287, 171, 121, 180, 0, 175, 106, 117, 62, 0, 63, 129, 185, 0, 329, 328, 35, 0, 301, 1, 138, 68, 0, 327, 52, 53, 0, 182, 174, 310, 86, 0, 60, 28, 137, 0, 252, 79, 39, 0, 260, 144, 109, 0, 107, 249, 69, 0, 45, 134, 89, 15, 0, 152, 27, 158, 0, 278, 153, 88, 40, 0, 133, 307, 11, 0, 245, 155, 271, 0, 209, 196, 82, 0, 91, 217, 241, 0, 179, 235, 98, 41, 0, 9, 57, 146, 0, 270, 148, 205, 0, 191, 78, 165, 0, 58, 49, 150, 61, 204, 0, 240, 187, 114, 0, 280, 267, 84, 214, 0, 303, 279, 18, 0, 273, 309, 48, 203, 0, 104, 147, 281, 163, 298, 0, 197, 43, 311, 206, 335, 293, 38, 173, 0, 160, 167, 275, 253, 0, 164, 239, 4, 0, 306, 215, 190, 178, 238, 151, 320, 290, 0, 127, 145, 219, 257, 292, 0, 264, 285, 7, 85, 115, 141, 0, 332, 90, 132, 37, 77, 0, 5, 80, 92, 0, 19, 193, 333, 30, 44, 216, 46, 276, 0, 122, 101, 262, 50, 123, 313, 0, 198, 3, 211, 120, 102, 0, 83, 66, 322, 8, 261, 231, 330, 0, 14, 108, 184, 0, 224, 103, 207, 0, 222, 56, 94, 0, 176, 296, 67, 0, 314, 17, 0, 325, 299, 0, 166, 10, 0, 334, 76, 254, 0, 116, 168, 0, 55, 130, 0, 96, 87, 0, 263, 112, 0, 170, 305, 0, 124, 315, 0, 183, 237, 0, 286, 210, 0, 2, 140, 0, 220, 242, 0, 72, 157, 0, 99, 142, 0, 284, 188, 0, 181, 265, 0, 251, 317, 0, 312, 199, 0, 64, 326, 0, 226, 13, 177, 0, 323, 16, 223, 0, 259, 289, 0, 128, 218, 0]</t>
  </si>
  <si>
    <t>[0, 21, 97, 295, 118, 243, 272, 0, 36, 192, 186, 195, 65, 172, 294, 319, 162, 139, 269, 0, 266, 25, 73, 93, 233, 247, 34, 54, 225, 316, 213, 32, 331, 0, 304, 221, 297, 200, 228, 229, 47, 0, 23, 300, 0, 42, 16, 0, 33, 282, 274, 232, 169, 302, 208, 0, 194, 227, 31, 113, 74, 119, 277, 6, 0, 68, 92, 177, 149, 75, 0, 258, 255, 12, 230, 250, 156, 0, 105, 51, 95, 202, 0, 205, 1, 81, 100, 0, 259, 63, 138, 289, 0, 20, 244, 70, 0, 283, 256, 175, 308, 0, 161, 143, 111, 0, 71, 126, 136, 173, 0, 246, 24, 129, 0, 121, 318, 110, 288, 0, 135, 189, 321, 0, 248, 131, 53, 0, 201, 125, 159, 164, 0, 291, 234, 106, 62, 0, 22, 171, 252, 0, 52, 182, 137, 0, 28, 174, 60, 40, 0, 212, 307, 324, 154, 0, 236, 133, 117, 0, 79, 329, 59, 0, 107, 327, 45, 0, 328, 153, 144, 0, 91, 57, 15, 0, 185, 301, 41, 0, 249, 155, 61, 203, 163, 180, 0, 191, 240, 0, 278, 310, 134, 0, 9, 287, 82, 26, 0, 158, 39, 235, 0, 279, 18, 271, 0, 187, 260, 88, 0, 148, 35, 109, 0, 245, 267, 281, 86, 0, 89, 98, 49, 0, 78, 217, 69, 0, 4, 150, 275, 214, 0, 270, 196, 179, 0, 280, 27, 48, 204, 0, 58, 84, 309, 0, 152, 160, 147, 268, 0, 29, 209, 104, 238, 253, 0, 218, 239, 19, 0, 11, 167, 273, 293, 197, 0, 165, 145, 151, 285, 0, 311, 206, 320, 178, 219, 85, 215, 0, 241, 80, 128, 0, 127, 335, 290, 7, 132, 0, 43, 193, 38, 298, 190, 30, 115, 216, 306, 141, 0, 303, 146, 13, 0, 264, 120, 257, 44, 37, 292, 46, 3, 313, 0, 5, 114, 332, 0, 90, 317, 226, 0, 157, 326, 223, 0, 142, 72, 0, 122, 103, 0, 67, 315, 0, 312, 64, 323, 0, 102, 108, 261, 83, 0, 14, 322, 101, 262, 333, 50, 211, 276, 0, 251, 284, 0, 199, 188, 0, 130, 99, 0, 254, 8, 123, 198, 66, 77, 231, 0, 265, 181, 0, 2, 220, 0, 242, 140, 0, 124, 96, 0, 325, 184, 0, 170, 210, 0, 286, 183, 0, 87, 55, 0, 237, 305, 0, 112, 263, 0, 76, 224, 296, 0, 176, 207, 222, 0, 116, 330, 166, 0, 314, 94, 17, 0, 168, 10, 0, 56, 299, 334, 0]</t>
  </si>
  <si>
    <t>[0, 68, 318, 141, 90, 161, 269, 42, 83, 0, 262, 239, 203, 335, 201, 79, 96, 0, 317, 270, 276, 315, 80, 294, 233, 177, 0, 289, 134, 300, 22, 91, 29, 120, 219, 0, 343, 191, 327, 179, 210, 217, 295, 206, 0, 31, 136, 257, 248, 319, 322, 332, 187, 0, 122, 170, 97, 109, 85, 240, 280, 196, 0, 66, 178, 199, 273, 242, 258, 215, 284, 281, 0, 182, 184, 307, 236, 303, 237, 88, 0, 268, 277, 165, 192, 46, 10, 204, 299, 341, 0, 190, 111, 263, 19, 226, 57, 107, 0, 314, 139, 64, 207, 127, 283, 334, 0, 189, 282, 153, 36, 311, 227, 193, 0, 225, 220, 38, 84, 306, 160, 229, 0, 128, 71, 252, 34, 60, 159, 154, 121, 0, 264, 54, 99, 69, 13, 89, 47, 73, 133, 0, 113, 267, 197, 92, 67, 202, 331, 0, 123, 126, 155, 166, 162, 131, 180, 0, 43, 117, 286, 316, 310, 63, 321, 249, 32, 0, 35, 40, 87, 82, 287, 232, 265, 129, 0, 30, 168, 214, 138, 256, 302, 8, 44, 0, 21, 137, 163, 3, 119, 17, 62, 100, 0, 336, 324, 33, 175, 297, 304, 301, 0, 185, 234, 224, 72, 15, 246, 41, 309, 112, 0, 12, 59, 151, 51, 49, 156, 37, 0, 50, 125, 102, 105, 86, 28, 235, 254, 0, 74, 148, 48, 53, 103, 266, 290, 0, 271, 194, 251, 326, 328, 323, 56, 274, 16, 0, 52, 186, 146, 169, 298, 221, 222, 0, 115, 104, 145, 7, 20, 167, 58, 6, 296, 0, 26, 23, 95, 253, 2, 313, 27, 45, 0, 330, 293, 255, 173, 259, 308, 245, 147, 0, 171, 5, 98, 114, 164, 108, 4, 11, 0, 24, 93, 333, 228, 338, 143, 0, 118, 247, 200, 70, 216, 329, 243, 195, 0, 1, 312, 135, 94, 18, 101, 291, 0, 77, 181, 244, 174, 278, 81, 144, 0, 158, 150, 132, 14, 285, 231, 149, 39, 0, 261, 292, 305, 198, 176, 260, 339, 76, 0, 275, 212, 340, 172, 205, 218, 211, 208, 0, 325, 241, 238, 55, 110, 337, 272, 213, 0, 152, 124, 230, 342, 288, 116, 279, 320, 0, 188, 106, 223, 183, 140, 65, 78, 75, 0, 142, 130, 209, 61, 25, 157, 9, 250, 0]</t>
  </si>
  <si>
    <t>X_n343</t>
  </si>
  <si>
    <t>[0, 26, 145, 7, 37, 156, 49, 151, 12, 0, 296, 167, 58, 253, 95, 23, 20, 104, 0, 115, 6, 2, 5, 114, 164, 313, 45, 0, 171, 11, 98, 108, 101, 291, 27, 0, 279, 305, 339, 135, 94, 18, 4, 55, 0, 241, 238, 110, 312, 260, 176, 261, 0, 157, 39, 78, 230, 288, 342, 198, 292, 0, 272, 337, 1, 152, 116, 320, 183, 223, 0, 250, 158, 118, 77, 9, 75, 325, 331, 341, 0, 76, 124, 106, 140, 65, 149, 150, 0, 195, 231, 144, 14, 81, 143, 16, 0, 112, 271, 169, 174, 278, 285, 132, 147, 0, 24, 93, 244, 329, 200, 52, 74, 0, 61, 290, 216, 243, 228, 181, 333, 0, 25, 254, 146, 298, 70, 247, 338, 330, 0, 209, 50, 328, 308, 245, 259, 255, 293, 0, 130, 148, 326, 186, 251, 221, 222, 0, 8, 30, 28, 56, 323, 274, 194, 173, 266, 0, 32, 40, 53, 235, 105, 86, 103, 0, 44, 129, 72, 15, 246, 41, 102, 125, 48, 0, 43, 336, 265, 224, 234, 304, 185, 309, 0, 123, 249, 302, 256, 287, 232, 33, 175, 301, 0, 35, 87, 63, 310, 138, 214, 297, 324, 0, 160, 73, 47, 89, 13, 286, 316, 82, 168, 0, 225, 84, 264, 69, 162, 155, 117, 0, 306, 131, 180, 54, 99, 166, 126, 321, 0, 220, 153, 139, 36, 133, 38, 226, 0, 189, 282, 64, 207, 227, 193, 314, 0, 215, 258, 334, 191, 283, 127, 273, 57, 0, 281, 284, 206, 178, 242, 311, 19, 107, 0, 217, 91, 83, 29, 120, 327, 199, 263, 0, 201, 179, 219, 22, 42, 269, 317, 203, 0, 295, 210, 300, 161, 90, 109, 289, 0, 239, 68, 270, 134, 80, 315, 276, 111, 0, 96, 343, 66, 79, 335, 262, 257, 136, 0, 122, 248, 196, 85, 294, 141, 233, 318, 0, 332, 322, 319, 280, 177, 31, 0, 299, 237, 97, 236, 184, 182, 268, 0, 267, 121, 170, 307, 240, 277, 88, 0, 187, 128, 46, 192, 165, 303, 197, 0, 67, 113, 92, 71, 10, 204, 340, 0, 205, 21, 159, 3, 60, 34, 252, 154, 0, 275, 100, 62, 17, 119, 163, 137, 172, 0, 190, 212, 211, 218, 59, 51, 202, 208, 0, 188, 213, 142, 229, 0]</t>
  </si>
  <si>
    <t>[0, 43, 123, 310, 232, 265, 129, 138, 214, 302, 0, 44, 256, 63, 33, 224, 234, 301, 30, 0, 40, 168, 287, 175, 297, 304, 72, 185, 0, 8, 336, 324, 82, 321, 316, 87, 0, 126, 117, 155, 166, 286, 13, 162, 47, 0, 35, 32, 249, 131, 89, 73, 69, 99, 54, 0, 160, 84, 264, 180, 133, 36, 64, 153, 0, 229, 306, 225, 19, 57, 107, 111, 0, 226, 38, 220, 282, 139, 207, 284, 0, 189, 227, 127, 29, 120, 311, 193, 314, 0, 281, 258, 334, 273, 283, 191, 199, 242, 0, 263, 215, 178, 327, 91, 83, 22, 219, 0, 217, 179, 42, 269, 161, 300, 210, 276, 0, 130, 309, 41, 15, 246, 102, 50, 74, 0, 48, 125, 105, 28, 235, 53, 148, 254, 16, 0, 289, 141, 318, 134, 317, 295, 206, 0, 190, 96, 343, 66, 79, 335, 201, 212, 275, 0, 270, 315, 80, 90, 109, 85, 294, 177, 0, 52, 266, 103, 86, 56, 323, 274, 271, 0, 262, 203, 68, 280, 233, 240, 236, 97, 0, 290, 194, 328, 326, 169, 298, 146, 222, 0, 303, 170, 307, 184, 277, 196, 257, 0, 330, 255, 259, 221, 186, 251, 112, 61, 0, 319, 10, 165, 192, 46, 268, 248, 239, 0, 118, 143, 329, 216, 308, 173, 24, 0, 31, 122, 136, 182, 204, 88, 322, 332, 0, 158, 77, 333, 174, 70, 245, 293, 0, 25, 93, 247, 200, 243, 278, 144, 195, 0, 299, 128, 237, 252, 34, 60, 3, 159, 0, 157, 132, 14, 81, 244, 228, 181, 147, 0, 75, 39, 65, 149, 150, 231, 285, 338, 0, 9, 78, 140, 183, 279, 116, 320, 106, 0, 197, 154, 62, 119, 17, 100, 71, 341, 0, 1, 261, 176, 342, 305, 288, 230, 223, 0, 331, 59, 163, 137, 21, 92, 121, 267, 0, 151, 51, 49, 156, 37, 7, 145, 26, 0, 110, 152, 339, 260, 198, 292, 124, 0, 11, 5, 253, 95, 23, 20, 167, 0, 142, 209, 250, 213, 272, 337, 238, 188, 0, 55, 312, 135, 94, 18, 101, 313, 0, 76, 27, 291, 4, 108, 164, 114, 98, 0, 208, 218, 325, 296, 58, 2, 6, 45, 241, 0, 340, 187, 113, 67, 205, 172, 211, 0, 202, 12, 104, 171, 115, 0]</t>
  </si>
  <si>
    <t>[0, 325, 328, 164, 264, 257, 101, 75, 200, 0, 138, 100, 253, 56, 108, 133, 177, 122, 0, 12, 7, 64, 199, 190, 158, 54, 160, 59, 0, 34, 187, 97, 291, 14, 0, 232, 348, 261, 61, 115, 345, 53, 233, 0, 29, 259, 197, 204, 242, 58, 21, 106, 334, 292, 340, 237, 0, 132, 96, 55, 290, 337, 13, 43, 0, 78, 148, 104, 111, 39, 141, 40, 123, 38, 267, 0, 336, 309, 254, 50, 249, 311, 23, 0, 25, 145, 37, 314, 341, 136, 117, 244, 19, 31, 0, 347, 318, 173, 194, 211, 162, 343, 224, 0, 241, 349, 281, 9, 87, 333, 69, 274, 218, 0, 79, 77, 331, 91, 2, 293, 74, 0, 156, 219, 143, 30, 320, 161, 276, 0, 135, 154, 149, 272, 284, 119, 280, 99, 72, 178, 95, 0, 73, 139, 142, 323, 66, 33, 195, 76, 0, 20, 308, 82, 327, 11, 68, 67, 116, 286, 0, 240, 52, 169, 282, 227, 172, 234, 317, 0, 306, 166, 163, 217, 103, 144, 15, 63, 27, 303, 0, 32, 16, 4, 121, 262, 93, 146, 0, 150, 231, 130, 297, 110, 324, 157, 212, 168, 0, 48, 248, 260, 128, 270, 326, 223, 210, 288, 18, 51, 0, 137, 339, 245, 271, 269, 221, 299, 247, 0, 8, 175, 102, 42, 193, 107, 256, 86, 151, 0, 179, 92, 307, 109, 1, 304, 70, 47, 335, 273, 0, 342, 188, 316, 124, 313, 186, 300, 126, 118, 159, 182, 295, 0, 209, 206, 205, 296, 80, 263, 41, 226, 36, 279, 0, 191, 294, 167, 165, 45, 125, 251, 0, 238, 305, 192, 171, 243, 258, 5, 208, 265, 183, 278, 0, 89, 28, 287, 298, 229, 49, 129, 220, 152, 83, 0, 120, 131, 98, 60, 266, 81, 6, 0, 3, 213, 181, 215, 88, 302, 0, 315, 344, 268, 275, 319, 310, 185, 225, 17, 0, 127, 176, 201, 180, 236, 184, 84, 10, 338, 44, 62, 0, 322, 214, 22, 203, 228, 222, 174, 26, 330, 346, 285, 0, 113, 85, 147, 71, 114, 329, 189, 230, 0, 255, 155, 216, 65, 57, 170, 90, 312, 207, 0, 94, 24, 321, 246, 252, 105, 140, 283, 0, 112, 277, 202, 196, 46, 0, 153, 289, 198, 239, 235, 332, 0, 250, 134, 301, 35, 350, 0]</t>
  </si>
  <si>
    <t>X_n350</t>
  </si>
  <si>
    <t>[0, 140, 105, 189, 114, 185, 71, 147, 85, 329, 113, 0, 182, 315, 17, 275, 245, 124, 319, 310, 225, 146, 0, 262, 93, 295, 339, 188, 344, 159, 52, 276, 0, 308, 224, 118, 269, 141, 271, 186, 268, 0, 29, 336, 318, 286, 299, 316, 126, 169, 74, 137, 0, 240, 121, 317, 82, 300, 313, 327, 227, 68, 204, 267, 0, 156, 111, 219, 30, 282, 11, 116, 293, 77, 342, 0, 78, 259, 123, 67, 221, 234, 247, 2, 0, 132, 173, 162, 91, 161, 23, 331, 0, 43, 343, 320, 143, 39, 242, 58, 21, 0, 237, 197, 40, 50, 211, 38, 249, 311, 79, 283, 0, 20, 172, 194, 104, 254, 337, 96, 0, 138, 100, 253, 13, 106, 334, 292, 101, 200, 0, 177, 133, 56, 55, 290, 340, 61, 0, 108, 75, 264, 257, 160, 59, 0, 341, 158, 54, 190, 199, 64, 164, 328, 261, 12, 0, 33, 69, 87, 142, 314, 9, 7, 37, 115, 0, 349, 345, 178, 19, 333, 99, 66, 76, 8, 0, 325, 136, 119, 272, 284, 280, 117, 72, 139, 0, 16, 179, 323, 166, 154, 324, 0, 213, 195, 18, 110, 42, 149, 244, 135, 218, 0, 150, 92, 151, 210, 193, 303, 130, 102, 157, 145, 53, 0, 31, 212, 306, 48, 297, 27, 260, 288, 307, 279, 0, 131, 209, 125, 206, 231, 251, 175, 274, 3, 0, 6, 89, 1, 248, 217, 15, 144, 103, 163, 95, 0, 97, 281, 107, 128, 63, 41, 226, 205, 256, 86, 109, 0, 122, 233, 238, 223, 45, 165, 167, 183, 191, 0, 73, 168, 304, 263, 36, 70, 171, 294, 98, 51, 0, 196, 278, 181, 296, 270, 214, 0, 120, 302, 305, 298, 220, 129, 49, 229, 80, 326, 25, 0, 332, 127, 28, 208, 5, 258, 243, 192, 4, 0, 155, 265, 287, 152, 180, 184, 236, 201, 60, 0, 46, 32, 266, 176, 47, 81, 216, 0, 241, 83, 22, 203, 84, 10, 88, 202, 0, 322, 14, 215, 228, 222, 277, 0, 187, 291, 335, 26, 174, 57, 330, 285, 0, 348, 34, 235, 346, 65, 170, 289, 0, 232, 239, 273, 338, 90, 312, 207, 24, 321, 0, 255, 250, 198, 94, 44, 134, 153, 0, 62, 301, 252, 246, 35, 230, 0, 347, 148, 309, 350, 112, 0]</t>
  </si>
  <si>
    <t>[0, 240, 137, 339, 17, 147, 245, 124, 319, 310, 185, 71, 225, 85, 0, 74, 82, 2, 204, 58, 242, 141, 271, 300, 169, 315, 0, 267, 318, 161, 11, 282, 68, 67, 39, 21, 0, 276, 293, 311, 219, 227, 269, 316, 0, 121, 93, 182, 159, 344, 313, 186, 327, 211, 29, 0, 308, 295, 52, 317, 286, 299, 221, 118, 268, 188, 0, 259, 23, 343, 38, 111, 40, 123, 30, 116, 247, 0, 234, 320, 172, 143, 162, 331, 132, 0, 336, 96, 43, 194, 197, 106, 334, 292, 101, 0, 78, 148, 104, 50, 249, 91, 77, 0, 79, 173, 309, 13, 337, 55, 0, 177, 133, 56, 237, 340, 290, 254, 100, 0, 156, 224, 126, 275, 262, 20, 0, 59, 54, 160, 257, 264, 253, 108, 348, 0, 347, 138, 342, 146, 114, 329, 113, 283, 0, 200, 325, 328, 75, 164, 61, 261, 115, 25, 0, 122, 145, 7, 64, 199, 190, 158, 144, 103, 119, 142, 0, 31, 9, 333, 136, 117, 272, 99, 212, 0, 281, 87, 19, 244, 284, 280, 341, 314, 345, 0, 226, 229, 220, 49, 15, 41, 163, 149, 154, 135, 157, 0, 76, 195, 33, 66, 323, 72, 139, 37, 349, 0, 110, 193, 248, 260, 27, 166, 73, 0, 92, 288, 45, 223, 107, 130, 324, 150, 322, 0, 306, 297, 42, 303, 128, 217, 63, 263, 270, 206, 102, 238, 0, 208, 243, 70, 36, 304, 296, 256, 86, 18, 0, 131, 125, 109, 151, 48, 168, 179, 0, 89, 279, 231, 167, 165, 305, 1, 210, 307, 175, 51, 0, 350, 230, 189, 35, 112, 153, 0, 69, 205, 258, 171, 5, 326, 80, 298, 129, 184, 180, 28, 183, 191, 0, 289, 235, 44, 252, 246, 105, 140, 301, 0, 209, 294, 265, 287, 152, 192, 251, 178, 274, 95, 0, 255, 62, 94, 207, 90, 312, 24, 321, 134, 0, 335, 81, 266, 201, 236, 84, 10, 174, 228, 22, 57, 0, 34, 291, 97, 187, 232, 0, 332, 16, 233, 53, 214, 4, 0, 250, 277, 202, 196, 46, 0, 198, 239, 32, 3, 241, 14, 0, 273, 338, 170, 330, 26, 222, 203, 47, 0, 213, 302, 216, 127, 215, 65, 346, 285, 0, 218, 120, 278, 181, 60, 176, 83, 88, 0, 12, 8, 98, 6, 155, 0]</t>
  </si>
  <si>
    <t>[0, 21, 152, 105, 338, 132, 125, 75, 83, 8, 14, 68, 43, 140, 163, 158, 0, 119, 50, 52, 82, 117, 146, 27, 44, 171, 232, 30, 307, 164, 88, 29, 59, 0, 141, 110, 112, 131, 84, 153, 40, 67, 39, 90, 160, 0, 277, 127, 159, 312, 111, 46, 150, 15, 261, 32, 17, 0, 13, 63, 7, 37, 151, 166, 1, 74, 325, 170, 85, 126, 64, 340, 0, 328, 357, 53, 142, 147, 118, 251, 229, 78, 253, 0, 120, 9, 134, 192, 335, 114, 273, 327, 333, 264, 322, 0, 130, 317, 239, 190, 319, 233, 358, 184, 207, 306, 210, 54, 217, 223, 95, 0, 26, 293, 34, 341, 72, 234, 276, 98, 219, 24, 102, 323, 0, 244, 69, 256, 285, 200, 71, 271, 254, 138, 208, 257, 280, 66, 0, 149, 89, 250, 136, 270, 290, 265, 206, 263, 238, 350, 0, 106, 10, 28, 115, 196, 100, 155, 278, 220, 197, 107, 193, 0, 36, 266, 321, 329, 336, 301, 228, 180, 279, 70, 269, 0, 241, 215, 326, 284, 135, 55, 76, 143, 337, 330, 332, 56, 348, 0, 351, 191, 62, 213, 291, 94, 176, 124, 128, 116, 20, 101, 346, 245, 221, 0, 3, 345, 42, 222, 57, 92, 4, 211, 283, 0, 262, 240, 343, 320, 103, 61, 334, 311, 80, 97, 227, 186, 315, 31, 231, 0, 282, 294, 237, 299, 33, 272, 38, 292, 81, 274, 11, 0, 305, 354, 201, 145, 356, 202, 121, 182, 104, 236, 16, 353, 0, 93, 18, 181, 308, 349, 287, 342, 188, 225, 187, 199, 49, 0, 247, 310, 122, 218, 77, 58, 296, 168, 12, 45, 161, 96, 108, 0, 243, 224, 295, 298, 216, 129, 331, 41, 214, 185, 259, 0, 288, 297, 300, 352, 195, 169, 248, 139, 123, 65, 23, 281, 6, 0, 19, 314, 167, 148, 22, 113, 226, 309, 2, 267, 242, 179, 355, 0, 73, 260, 258, 212, 268, 313, 91, 255, 324, 144, 157, 25, 51, 252, 0, 172, 178, 47, 109, 194, 339, 35, 204, 99, 137, 79, 165, 0, 175, 235, 173, 246, 230, 189, 209, 344, 289, 249, 0, 87, 303, 302, 5, 275, 198, 156, 48, 60, 203, 0, 177, 133, 316, 205, 304, 318, 183, 286, 347, 86, 174, 162, 154, 0]</t>
  </si>
  <si>
    <t>X_n358</t>
  </si>
  <si>
    <t>[0, 79, 49, 137, 245, 199, 204, 35, 221, 99, 339, 194, 18, 109, 172, 0, 165, 47, 187, 283, 211, 4, 349, 308, 188, 225, 181, 93, 106, 0, 42, 95, 222, 107, 191, 197, 278, 57, 346, 342, 0, 345, 59, 193, 220, 100, 94, 176, 124, 128, 116, 20, 101, 92, 287, 0, 3, 328, 253, 115, 207, 333, 291, 213, 62, 196, 155, 178, 0, 357, 120, 130, 223, 184, 322, 192, 327, 264, 306, 210, 217, 28, 0, 119, 127, 159, 29, 142, 53, 78, 147, 335, 273, 233, 358, 54, 0, 50, 141, 110, 21, 88, 152, 30, 232, 114, 319, 190, 134, 317, 239, 0, 351, 10, 9, 171, 44, 118, 251, 229, 52, 0, 46, 111, 105, 8, 75, 125, 132, 338, 27, 307, 164, 117, 82, 312, 0, 146, 112, 131, 84, 83, 14, 68, 153, 126, 64, 15, 0, 66, 17, 280, 340, 150, 13, 85, 170, 26, 341, 323, 265, 290, 16, 0, 261, 160, 158, 163, 40, 43, 140, 67, 34, 293, 257, 244, 0, 145, 348, 241, 69, 234, 39, 90, 74, 325, 63, 72, 136, 270, 0, 277, 250, 7, 1, 166, 151, 37, 276, 102, 70, 263, 0, 259, 179, 262, 201, 206, 36, 56, 356, 269, 104, 288, 0, 260, 309, 200, 254, 98, 219, 24, 208, 321, 202, 121, 231, 182, 216, 295, 305, 32, 0, 149, 89, 354, 138, 256, 228, 266, 332, 240, 350, 355, 353, 0, 185, 297, 300, 337, 279, 180, 271, 71, 285, 129, 298, 238, 0, 214, 352, 282, 330, 343, 143, 135, 284, 326, 301, 336, 329, 224, 0, 236, 331, 215, 76, 55, 80, 311, 31, 41, 0, 235, 81, 77, 97, 272, 227, 334, 61, 103, 320, 267, 268, 258, 243, 0, 173, 195, 247, 294, 315, 186, 237, 33, 292, 38, 218, 58, 122, 0, 189, 242, 212, 91, 11, 274, 310, 299, 296, 168, 0, 281, 167, 12, 113, 226, 169, 248, 313, 246, 230, 0, 275, 198, 255, 2, 23, 139, 65, 123, 45, 161, 96, 22, 314, 51, 0, 175, 289, 252, 156, 344, 209, 25, 157, 324, 144, 148, 19, 108, 0, 177, 73, 249, 302, 5, 48, 6, 60, 318, 183, 286, 347, 162, 0, 133, 87, 303, 203, 304, 86, 174, 205, 316, 154, 0]</t>
  </si>
  <si>
    <t>[0, 47, 3, 109, 18, 339, 99, 221, 137, 49, 79, 165, 0, 194, 35, 204, 199, 245, 187, 225, 283, 211, 188, 308, 222, 59, 0, 95, 287, 92, 346, 20, 124, 176, 128, 116, 101, 4, 342, 349, 181, 0, 178, 93, 345, 351, 42, 10, 277, 149, 0, 193, 107, 191, 197, 220, 57, 278, 155, 100, 196, 28, 119, 106, 0, 115, 210, 322, 327, 335, 114, 333, 264, 207, 94, 291, 213, 62, 0, 253, 130, 223, 217, 54, 306, 184, 358, 233, 319, 273, 190, 317, 29, 66, 0, 17, 357, 78, 147, 251, 30, 171, 232, 192, 134, 9, 239, 120, 0, 127, 159, 88, 117, 307, 164, 118, 229, 142, 53, 328, 0, 52, 21, 82, 146, 27, 44, 338, 132, 125, 75, 105, 152, 110, 32, 0, 64, 40, 140, 43, 68, 14, 8, 83, 84, 131, 112, 141, 0, 243, 350, 305, 261, 150, 46, 111, 312, 50, 15, 0, 126, 85, 170, 160, 153, 158, 163, 67, 90, 39, 151, 166, 7, 0, 143, 135, 200, 71, 271, 37, 98, 1, 74, 325, 63, 34, 293, 26, 13, 340, 0, 136, 257, 72, 341, 276, 254, 284, 76, 215, 145, 0, 354, 280, 244, 102, 234, 219, 285, 138, 208, 241, 70, 263, 0, 270, 290, 323, 69, 24, 256, 228, 311, 326, 55, 80, 97, 0, 89, 250, 180, 301, 336, 329, 321, 56, 348, 265, 201, 262, 0, 298, 36, 332, 266, 337, 279, 103, 334, 272, 38, 292, 77, 58, 168, 0, 300, 31, 186, 227, 61, 320, 343, 330, 240, 269, 206, 238, 16, 224, 0, 216, 121, 202, 356, 282, 315, 237, 294, 299, 33, 218, 226, 281, 0, 331, 182, 231, 352, 81, 310, 274, 11, 247, 104, 0, 175, 179, 214, 268, 313, 129, 295, 236, 259, 355, 0, 288, 185, 297, 41, 267, 195, 169, 122, 113, 12, 45, 65, 309, 0, 303, 73, 242, 258, 212, 173, 246, 230, 249, 0, 260, 91, 2, 248, 123, 296, 161, 96, 139, 23, 167, 314, 0, 353, 198, 235, 25, 157, 144, 324, 255, 148, 22, 51, 344, 156, 252, 0, 154, 205, 304, 203, 172, 87, 316, 133, 177, 0, 302, 289, 5, 275, 189, 209, 19, 108, 6, 48, 60, 0, 162, 86, 286, 183, 318, 347, 174, 0]</t>
  </si>
  <si>
    <t>[0, 355, 295, 86, 199, 303, 194, 8, 256, 259, 286, 126, 166, 3, 119, 345, 165, 322, 41, 0, 320, 347, 192, 261, 244, 349, 269, 12, 146, 142, 161, 299, 105, 205, 282, 203, 182, 211, 88, 90, 124, 222, 232, 0, 186, 95, 321, 162, 249, 67, 285, 333, 37, 32, 120, 196, 250, 338, 15, 228, 96, 110, 99, 289, 297, 46, 107, 0, 254, 129, 294, 150, 156, 312, 354, 288, 307, 293, 111, 240, 113, 50, 198, 262, 87, 216, 336, 208, 210, 47, 138, 346, 28, 0, 212, 130, 30, 63, 153, 363, 45, 24, 22, 350, 277, 40, 237, 82, 356, 0, 66, 241, 172, 5, 178, 340, 329, 200, 151, 366, 268, 339, 305, 221, 245, 291, 235, 202, 73, 148, 258, 76, 0, 188, 225, 133, 323, 75, 4, 357, 20, 114, 361, 175, 206, 193, 185, 0, 169, 60, 85, 343, 266, 38, 125, 327, 164, 316, 315, 117, 143, 54, 108, 36, 29, 122, 335, 112, 136, 191, 309, 257, 273, 23, 58, 173, 0, 230, 334, 56, 272, 177, 179, 227, 360, 43, 127, 93, 48, 270, 290, 337, 275, 224, 62, 213, 21, 251, 35, 236, 330, 98, 106, 318, 168, 131, 313, 0, 281, 132, 246, 104, 181, 70, 265, 25, 57, 147, 39, 317, 264, 123, 149, 215, 276, 59, 328, 344, 253, 260, 118, 1, 239, 195, 167, 231, 267, 0, 78, 247, 310, 171, 135, 14, 94, 69, 284, 263, 332, 34, 65, 134, 176, 53, 308, 184, 201, 140, 283, 152, 154, 139, 27, 0, 49, 279, 304, 115, 319, 301, 116, 238, 359, 51, 325, 16, 55, 306, 229, 89, 102, 365, 341, 74, 278, 358, 204, 0, 292, 10, 243, 180, 141, 13, 302, 109, 155, 220, 324, 197, 314, 100, 0, 19, 92, 137, 11, 44, 72, 77, 31, 71, 187, 174, 68, 128, 234, 217, 296, 255, 233, 0, 157, 91, 348, 7, 364, 342, 352, 6, 209, 274, 97, 280, 33, 252, 81, 242, 170, 159, 163, 0, 362, 353, 207, 298, 42, 326, 300, 144, 103, 52, 145, 17, 26, 311, 84, 183, 64, 331, 248, 158, 80, 0, 190, 226, 160, 351, 189, 271, 101, 79, 2, 83, 121, 18, 218, 0, 61, 214, 219, 223, 9, 287, 0]</t>
  </si>
  <si>
    <t>X_n366</t>
  </si>
  <si>
    <t>[0, 163, 218, 61, 214, 223, 242, 190, 9, 159, 80, 233, 100, 255, 362, 353, 324, 128, 174, 197, 68, 314, 27, 313, 346, 0, 267, 281, 92, 187, 71, 77, 2, 207, 83, 18, 296, 217, 0, 204, 137, 31, 234, 121, 248, 158, 226, 160, 170, 219, 81, 351, 252, 33, 280, 97, 274, 209, 183, 79, 331, 326, 42, 298, 220, 157, 72, 44, 11, 243, 358, 78, 230, 0, 231, 139, 292, 10, 167, 154, 195, 279, 91, 348, 300, 7, 144, 52, 145, 352, 26, 84, 64, 101, 271, 189, 0, 19, 364, 103, 311, 17, 342, 155, 109, 180, 278, 49, 247, 131, 0, 334, 246, 104, 310, 152, 115, 74, 341, 365, 89, 306, 229, 302, 13, 141, 6, 0, 304, 283, 140, 171, 70, 239, 135, 14, 359, 176, 102, 55, 134, 65, 34, 290, 337, 275, 270, 236, 272, 56, 173, 0, 132, 319, 238, 51, 325, 16, 53, 69, 284, 263, 332, 344, 328, 59, 48, 127, 93, 253, 260, 39, 181, 168, 58, 0, 23, 35, 360, 43, 213, 62, 224, 276, 215, 149, 179, 123, 264, 317, 1, 94, 308, 116, 301, 184, 201, 0, 177, 265, 25, 57, 118, 147, 227, 251, 21, 330, 98, 106, 318, 273, 29, 36, 108, 54, 122, 143, 202, 235, 291, 245, 221, 305, 339, 316, 257, 0, 356, 188, 66, 40, 225, 133, 323, 206, 343, 266, 38, 175, 258, 75, 172, 200, 329, 366, 268, 357, 73, 148, 114, 125, 327, 361, 164, 315, 117, 335, 112, 136, 191, 309, 85, 193, 60, 185, 169, 0, 76, 237, 277, 350, 4, 20, 146, 269, 349, 45, 241, 82, 0, 212, 153, 363, 22, 24, 178, 151, 340, 99, 110, 142, 161, 299, 96, 289, 297, 30, 0, 47, 5, 12, 228, 63, 130, 198, 210, 0, 107, 294, 208, 87, 262, 50, 196, 250, 338, 15, 244, 105, 120, 32, 261, 113, 111, 293, 216, 336, 0, 138, 150, 312, 156, 46, 307, 240, 249, 37, 333, 285, 211, 205, 282, 203, 182, 222, 88, 67, 162, 192, 3, 288, 95, 232, 345, 86, 0, 287, 254, 186, 320, 41, 355, 295, 322, 165, 119, 256, 199, 303, 194, 90, 124, 8, 259, 286, 126, 166, 321, 354, 347, 129, 28, 0]</t>
  </si>
  <si>
    <t>[0, 131, 132, 168, 104, 181, 177, 265, 25, 35, 21, 251, 360, 43, 213, 62, 224, 275, 337, 290, 127, 48, 93, 276, 215, 123, 179, 147, 39, 135, 171, 70, 310, 0, 173, 58, 23, 273, 318, 106, 98, 330, 236, 149, 59, 328, 344, 253, 260, 94, 118, 317, 264, 227, 57, 239, 184, 115, 201, 152, 283, 246, 195, 334, 78, 27, 0, 257, 136, 112, 335, 122, 29, 54, 108, 36, 235, 291, 245, 221, 305, 339, 12, 73, 202, 143, 117, 315, 327, 175, 188, 0, 281, 247, 56, 272, 14, 1, 308, 301, 140, 154, 167, 292, 267, 0, 277, 38, 361, 125, 114, 357, 268, 20, 148, 316, 164, 266, 206, 343, 191, 309, 85, 193, 133, 60, 185, 169, 346, 0, 230, 139, 358, 279, 304, 319, 116, 238, 359, 69, 284, 263, 332, 270, 34, 65, 16, 53, 325, 51, 278, 137, 92, 128, 204, 0, 314, 174, 71, 180, 141, 13, 302, 229, 55, 306, 134, 176, 102, 89, 365, 341, 74, 243, 49, 231, 313, 28, 0, 356, 76, 237, 40, 225, 323, 258, 75, 4, 151, 200, 366, 329, 269, 142, 146, 299, 161, 110, 340, 99, 178, 172, 350, 241, 66, 138, 0, 82, 45, 363, 22, 5, 349, 96, 289, 228, 338, 250, 297, 153, 30, 0, 100, 324, 31, 77, 44, 11, 10, 187, 197, 68, 19, 0, 210, 130, 196, 105, 244, 15, 24, 63, 212, 47, 254, 0, 129, 198, 262, 240, 50, 261, 32, 120, 205, 282, 203, 182, 211, 285, 333, 90, 124, 222, 194, 303, 256, 119, 166, 126, 88, 37, 249, 162, 354, 336, 307, 87, 46, 208, 294, 150, 107, 0, 163, 158, 64, 342, 17, 352, 155, 109, 364, 298, 220, 91, 157, 72, 234, 217, 353, 255, 233, 287, 0, 80, 121, 326, 42, 300, 144, 7, 348, 2, 207, 296, 362, 0, 214, 219, 223, 81, 351, 189, 271, 101, 183, 26, 209, 252, 33, 280, 97, 274, 6, 311, 84, 145, 52, 103, 331, 83, 248, 79, 160, 242, 226, 190, 0, 186, 347, 312, 156, 216, 293, 111, 113, 67, 8, 259, 192, 288, 3, 321, 95, 320, 0, 218, 18, 170, 9, 159, 61, 0, 41, 322, 232, 165, 345, 286, 199, 86, 295, 355, 0]</t>
  </si>
  <si>
    <t>[0, 289, 251, 114, 106, 0, 252, 86, 241, 313, 0, 369, 101, 74, 282, 0, 52, 175, 78, 156, 0, 200, 341, 148, 29, 0, 50, 117, 257, 334, 0, 220, 177, 274, 143, 0, 225, 219, 70, 353, 0, 12, 91, 206, 297, 0, 130, 84, 1, 11, 0, 155, 351, 48, 181, 0, 366, 329, 203, 47, 0, 218, 267, 59, 141, 0, 68, 128, 307, 4, 0, 216, 364, 61, 339, 0, 308, 281, 25, 123, 0, 138, 205, 373, 328, 0, 229, 276, 326, 85, 0, 81, 337, 34, 354, 0, 310, 258, 261, 372, 0, 237, 192, 306, 283, 0, 71, 362, 46, 168, 0, 370, 142, 356, 196, 0, 51, 279, 311, 14, 0, 228, 171, 65, 19, 0, 66, 125, 145, 104, 0, 9, 13, 277, 187, 0, 245, 195, 273, 96, 0, 144, 214, 186, 259, 0, 95, 28, 163, 126, 0, 336, 77, 360, 321, 0, 363, 136, 327, 149, 0, 75, 92, 335, 40, 0, 134, 248, 94, 238, 0, 33, 292, 124, 243, 0, 112, 207, 263, 127, 0, 288, 87, 49, 298, 0, 365, 315, 182, 115, 0, 244, 83, 375, 116, 0, 291, 215, 247, 45, 0, 202, 343, 103, 67, 0, 302, 324, 301, 210, 0, 176, 172, 62, 355, 0, 271, 345, 64, 323, 0, 344, 204, 233, 346, 0, 44, 224, 15, 208, 0, 253, 236, 98, 254, 0, 296, 158, 266, 319, 0, 165, 316, 260, 322, 0, 268, 185, 139, 262, 0, 140, 7, 3, 173, 0, 357, 42, 119, 110, 0, 41, 197, 73, 359, 0, 232, 374, 190, 32, 0, 191, 174, 162, 272, 0, 88, 333, 18, 129, 0, 8, 234, 56, 249, 0, 120, 21, 37, 100, 0, 226, 221, 193, 287, 0, 16, 151, 305, 256, 0, 17, 338, 133, 270, 0, 312, 293, 137, 10, 0, 304, 54, 132, 309, 0, 223, 97, 184, 188, 0, 80, 330, 201, 209, 0, 246, 26, 255, 43, 0, 303, 135, 169, 153, 0, 160, 278, 57, 58, 0, 23, 109, 90, 231, 0, 180, 332, 284, 2, 0, 240, 111, 118, 55, 0, 371, 299, 230, 152, 0, 318, 76, 300, 30, 0, 24, 5, 320, 108, 0, 150, 82, 154, 314, 0, 213, 242, 358, 39, 0, 131, 352, 107, 290, 0, 179, 60, 121, 79, 0, 367, 6, 194, 189, 0, 295, 269, 31, 146, 0, 105, 227, 199, 294, 0, 348, 53, 265, 113, 0, 164, 280, 217, 167, 0, 20, 38, 340, 235, 0, 285, 350, 286, 99, 0, 212, 183, 69, 27, 0, 368, 35, 147, 122, 0, 22, 36, 342, 178, 0, 347, 325, 349, 222, 0, 157, 166, 361, 198, 0, 63, 161, 239, 331, 0, 159, 264, 250, 317, 0, 93, 211, 170, 102, 0, 89, 72, 275, 0]</t>
  </si>
  <si>
    <t>X_n375</t>
  </si>
  <si>
    <t>[0, 2, 284, 319, 272, 0, 265, 194, 5, 108, 0, 113, 189, 6, 53, 0, 345, 266, 320, 312, 0, 153, 10, 169, 302, 0, 293, 67, 56, 137, 0, 135, 8, 158, 332, 0, 303, 234, 322, 249, 0, 162, 324, 210, 260, 0, 202, 301, 103, 208, 0, 316, 15, 116, 343, 0, 244, 292, 375, 224, 0, 238, 83, 248, 33, 0, 165, 75, 336, 92, 0, 44, 144, 277, 310, 0, 335, 94, 243, 134, 0, 95, 77, 360, 124, 0, 259, 126, 163, 195, 0, 19, 13, 96, 228, 0, 273, 186, 214, 28, 0, 297, 339, 321, 187, 0, 216, 206, 91, 171, 0, 12, 282, 61, 245, 0, 364, 74, 313, 65, 0, 9, 261, 258, 362, 0, 101, 106, 114, 369, 0, 289, 200, 219, 141, 0, 251, 241, 334, 225, 0, 252, 29, 78, 156, 0, 70, 52, 50, 267, 0, 117, 148, 175, 86, 0, 341, 130, 84, 257, 0, 177, 1, 48, 11, 0, 203, 220, 366, 218, 0, 181, 306, 155, 68, 0, 47, 143, 128, 326, 0, 274, 237, 192, 351, 0, 281, 142, 356, 196, 0, 276, 205, 283, 145, 0, 308, 104, 363, 328, 0, 233, 125, 136, 327, 0, 149, 373, 370, 25, 0, 307, 66, 247, 215, 0, 172, 291, 4, 138, 0, 98, 355, 176, 81, 0, 236, 268, 45, 62, 0, 262, 204, 344, 34, 0, 140, 7, 185, 182, 0, 253, 315, 119, 71, 0, 139, 32, 190, 100, 0, 223, 173, 73, 298, 0, 246, 374, 305, 41, 0, 256, 37, 16, 151, 0, 359, 88, 338, 90, 0, 197, 232, 333, 3, 0, 26, 21, 152, 231, 0, 254, 346, 365, 110, 0, 120, 193, 287, 133, 0, 17, 226, 97, 358, 0, 240, 221, 184, 230, 0, 209, 129, 270, 242, 0, 330, 109, 43, 39, 0, 58, 80, 49, 288, 0, 57, 18, 255, 199, 0, 160, 115, 337, 85, 0, 290, 188, 294, 30, 0, 278, 201, 118, 227, 0, 269, 318, 23, 107, 0, 42, 111, 299, 371, 0, 79, 357, 352, 55, 0, 121, 76, 300, 167, 0, 36, 342, 217, 147, 0, 60, 235, 122, 340, 0, 179, 361, 35, 178, 0, 239, 105, 280, 31, 0, 368, 331, 198, 250, 0, 164, 131, 146, 161, 0, 264, 166, 213, 38, 0, 20, 295, 317, 275, 0, 150, 314, 93, 211, 0, 72, 22, 170, 89, 0, 154, 63, 349, 102, 0, 347, 222, 82, 159, 0, 325, 285, 212, 157, 0, 24, 350, 183, 27, 0, 69, 286, 367, 0, 323, 180, 348, 99, 0, 296, 271, 191, 0, 64, 372, 40, 174, 0, 112, 127, 0, 51, 279, 14, 207, 0, 311, 263, 304, 0, 353, 59, 329, 229, 0, 132, 46, 123, 87, 0, 54, 354, 168, 309, 0]</t>
  </si>
  <si>
    <t>[0, 265, 189, 113, 99, 0, 53, 6, 332, 180, 0, 194, 108, 5, 272, 0, 303, 320, 319, 162, 0, 2, 153, 249, 10, 0, 284, 67, 56, 169, 0, 293, 135, 8, 312, 0, 158, 266, 302, 174, 0, 137, 322, 103, 316, 0, 324, 15, 210, 208, 0, 224, 116, 260, 234, 0, 271, 40, 44, 165, 0, 202, 343, 375, 301, 0, 336, 248, 83, 244, 0, 33, 134, 243, 126, 0, 144, 77, 94, 292, 0, 124, 321, 28, 92, 0, 335, 75, 95, 187, 0, 214, 360, 163, 238, 0, 259, 186, 339, 273, 0, 13, 245, 96, 277, 0, 195, 61, 313, 114, 0, 19, 65, 171, 228, 0, 106, 91, 282, 12, 0, 206, 297, 364, 261, 0, 289, 156, 251, 74, 0, 101, 241, 78, 86, 0, 52, 29, 175, 148, 0, 252, 341, 84, 1, 0, 117, 11, 130, 200, 0, 369, 257, 48, 306, 0, 296, 345, 51, 14, 0, 50, 219, 216, 70, 0, 353, 258, 9, 279, 0, 334, 351, 181, 356, 0, 225, 329, 25, 47, 0, 220, 192, 145, 196, 0, 366, 177, 237, 104, 0, 112, 372, 311, 191, 0, 310, 218, 267, 141, 0, 59, 203, 68, 281, 0, 71, 362, 354, 132, 0, 274, 155, 142, 283, 0, 123, 143, 328, 327, 0, 308, 128, 136, 370, 0, 337, 205, 125, 363, 0, 229, 66, 373, 247, 0, 46, 326, 276, 85, 0, 288, 34, 4, 315, 0, 138, 307, 215, 45, 0, 365, 149, 291, 176, 0, 81, 172, 268, 185, 0, 182, 355, 62, 233, 0, 344, 204, 139, 32, 0, 115, 49, 87, 207, 0, 298, 119, 346, 254, 0, 7, 98, 236, 223, 0, 173, 262, 190, 374, 0, 140, 100, 151, 16, 0, 253, 305, 37, 88, 0, 197, 232, 333, 21, 0, 256, 3, 287, 97, 0, 330, 73, 110, 42, 0, 41, 270, 90, 152, 0, 209, 338, 133, 231, 0, 304, 54, 263, 64, 0, 246, 193, 358, 230, 0, 160, 201, 359, 309, 0, 58, 57, 278, 168, 0, 80, 129, 184, 43, 0, 242, 255, 18, 226, 0, 213, 17, 120, 199, 0, 318, 371, 23, 178, 0, 323, 127, 348, 286, 0, 131, 60, 357, 164, 0, 240, 109, 221, 39, 0, 31, 314, 154, 150, 0, 121, 290, 118, 167, 0, 179, 26, 188, 352, 0, 146, 79, 269, 20, 0, 183, 69, 350, 82, 0, 111, 300, 227, 294, 0, 367, 295, 38, 212, 0, 105, 107, 76, 299, 0, 27, 24, 325, 347, 0, 340, 55, 30, 217, 0, 285, 63, 349, 157, 0, 89, 72, 22, 222, 0, 361, 235, 147, 122, 0, 102, 159, 170, 93, 0, 166, 198, 342, 35, 0, 211, 317, 275, 0, 36, 239, 280, 331, 0, 264, 250, 161, 368, 0]</t>
  </si>
  <si>
    <t>[0, 268, 347, 211, 159, 303, 359, 173, 0, 12, 349, 32, 93, 287, 338, 121, 0, 55, 306, 221, 56, 329, 353, 0, 304, 311, 166, 186, 20, 176, 45, 0, 301, 286, 307, 169, 116, 225, 0, 199, 210, 129, 33, 103, 135, 290, 0, 336, 151, 125, 213, 249, 61, 24, 0, 245, 341, 238, 355, 91, 239, 205, 0, 85, 255, 266, 250, 1, 357, 253, 0, 29, 165, 228, 89, 44, 98, 345, 66, 0, 47, 140, 83, 260, 310, 291, 272, 235, 0, 117, 34, 161, 174, 92, 218, 194, 343, 0, 118, 113, 296, 155, 297, 190, 325, 0, 90, 339, 281, 376, 119, 54, 308, 133, 0, 201, 216, 302, 39, 356, 172, 104, 226, 0, 21, 342, 230, 57, 114, 179, 164, 28, 0, 183, 87, 73, 81, 217, 147, 241, 0, 170, 112, 124, 206, 351, 5, 53, 0, 324, 300, 227, 100, 40, 168, 191, 149, 0, 60, 237, 288, 337, 10, 16, 279, 327, 0, 373, 86, 64, 252, 293, 188, 278, 0, 371, 352, 207, 148, 59, 22, 0, 285, 219, 9, 212, 196, 379, 195, 0, 299, 144, 70, 181, 294, 35, 108, 0, 340, 277, 284, 48, 115, 258, 25, 0, 101, 240, 88, 158, 295, 75, 123, 0, 320, 360, 182, 72, 202, 328, 71, 0, 82, 334, 380, 14, 65, 63, 177, 0, 232, 378, 106, 185, 31, 375, 0, 316, 107, 262, 275, 192, 145, 246, 0, 364, 163, 15, 11, 358, 122, 243, 78, 233, 0, 152, 369, 109, 271, 2, 377, 150, 319, 0, 127, 313, 215, 132, 36, 256, 317, 41, 0, 322, 3, 309, 331, 84, 333, 318, 0, 247, 231, 175, 171, 370, 315, 157, 0, 198, 224, 7, 366, 305, 30, 289, 0, 111, 142, 74, 263, 80, 350, 146, 0, 141, 332, 365, 381, 265, 264, 276, 323, 0, 372, 229, 68, 180, 214, 162, 137, 363, 0, 270, 298, 292, 178, 222, 105, 167, 0, 49, 131, 23, 193, 330, 126, 335, 0, 19, 97, 46, 261, 251, 37, 79, 69, 0, 67, 248, 50, 136, 244, 77, 0, 344, 26, 51, 134, 110, 223, 0, 153, 52, 208, 76, 154, 13, 321, 0, 242, 58, 209, 17, 259, 139, 43, 0, 102, 128, 156, 314, 120, 374, 27, 361, 0, 95, 282, 6, 200, 234, 42, 273, 0, 38, 348, 382, 18, 187, 96, 367, 0, 368, 197, 138, 204, 4, 94, 189, 0, 362, 99, 8, 267, 312, 220, 62, 0, 269, 236, 283, 354, 326, 254, 280, 0, 160, 203, 184, 274, 257, 130, 143, 383, 0, 346, 0]</t>
  </si>
  <si>
    <t>X_n383</t>
  </si>
  <si>
    <t>[0, 38, 87, 73, 217, 147, 59, 343, 0, 183, 241, 81, 353, 329, 161, 117, 194, 0, 336, 211, 56, 92, 174, 34, 218, 0, 234, 55, 121, 159, 347, 221, 173, 24, 0, 359, 306, 303, 268, 225, 249, 66, 0, 125, 286, 345, 307, 213, 301, 0, 91, 205, 199, 304, 32, 287, 338, 0, 151, 61, 12, 349, 116, 239, 95, 0, 169, 210, 176, 20, 93, 166, 311, 0, 45, 186, 129, 103, 33, 85, 165, 0, 255, 1, 357, 250, 253, 89, 228, 0, 355, 266, 290, 135, 272, 339, 90, 98, 0, 21, 118, 113, 310, 296, 281, 342, 170, 0, 112, 201, 325, 190, 83, 291, 235, 0, 28, 230, 119, 140, 260, 155, 133, 47, 0, 341, 238, 44, 124, 206, 200, 0, 299, 168, 164, 308, 376, 54, 297, 226, 0, 144, 285, 114, 39, 227, 57, 179, 0, 5, 373, 279, 302, 356, 100, 172, 104, 0, 327, 191, 324, 300, 40, 216, 16, 25, 0, 35, 86, 10, 278, 288, 237, 60, 0, 333, 64, 219, 70, 195, 294, 84, 0, 149, 337, 188, 9, 181, 101, 364, 0, 108, 246, 232, 145, 313, 247, 3, 0, 351, 293, 252, 340, 212, 379, 127, 0, 318, 196, 284, 277, 258, 71, 0, 316, 240, 75, 295, 123, 48, 115, 0, 138, 378, 106, 360, 72, 158, 132, 198, 0, 231, 163, 31, 328, 202, 320, 88, 0, 312, 224, 192, 275, 262, 182, 0, 94, 248, 372, 309, 331, 67, 0, 321, 375, 185, 11, 358, 78, 122, 107, 0, 322, 15, 243, 36, 256, 317, 4, 0, 326, 220, 305, 233, 370, 215, 175, 361, 0, 153, 102, 315, 157, 7, 171, 289, 0, 41, 68, 366, 180, 214, 162, 363, 254, 0, 137, 136, 50, 30, 229, 204, 189, 0, 62, 13, 154, 244, 208, 69, 280, 0, 267, 354, 76, 77, 27, 374, 52, 0, 257, 156, 120, 314, 37, 97, 51, 0, 26, 19, 126, 197, 96, 18, 53, 0, 283, 8, 187, 6, 282, 382, 99, 0, 344, 261, 79, 128, 251, 193, 335, 0, 368, 274, 49, 105, 46, 330, 381, 265, 0, 130, 222, 23, 131, 298, 134, 0, 184, 141, 292, 178, 332, 365, 264, 80, 0, 203, 270, 276, 263, 150, 377, 350, 0, 236, 167, 110, 323, 74, 2, 271, 0, 369, 111, 142, 146, 109, 319, 14, 63, 0, 269, 152, 334, 380, 65, 82, 177, 0, 207, 352, 43, 223, 139, 259, 371, 0, 148, 242, 58, 209, 17, 143, 383, 0, 42, 29, 245, 348, 367, 362, 0, 22, 160, 273, 346, 0]</t>
  </si>
  <si>
    <t>[0, 207, 148, 59, 343, 183, 194, 143, 0, 241, 147, 217, 81, 73, 87, 353, 161, 0, 218, 92, 329, 174, 34, 117, 24, 336, 0, 221, 56, 159, 347, 268, 359, 173, 0, 61, 55, 306, 12, 225, 249, 29, 0, 303, 121, 211, 338, 287, 93, 32, 0, 349, 304, 311, 166, 186, 20, 176, 0, 85, 210, 45, 199, 205, 116, 169, 0, 42, 125, 286, 307, 213, 301, 0, 255, 253, 266, 135, 1, 103, 33, 129, 0, 239, 290, 250, 357, 310, 113, 228, 0, 91, 355, 165, 89, 44, 238, 53, 0, 235, 272, 291, 296, 260, 83, 140, 118, 0, 98, 325, 119, 190, 155, 297, 133, 47, 0, 230, 376, 39, 54, 308, 226, 281, 339, 0, 90, 227, 100, 356, 104, 201, 342, 0, 5, 206, 124, 112, 170, 21, 341, 0, 164, 300, 40, 237, 216, 302, 172, 57, 0, 28, 179, 114, 324, 60, 288, 337, 0, 191, 10, 278, 293, 279, 373, 327, 0, 351, 168, 16, 188, 252, 64, 86, 144, 0, 70, 379, 212, 277, 123, 284, 9, 0, 195, 258, 340, 196, 219, 181, 0, 285, 115, 75, 295, 202, 72, 294, 0, 35, 101, 48, 158, 262, 182, 107, 0, 364, 232, 360, 320, 88, 240, 25, 0, 299, 108, 316, 71, 378, 106, 145, 0, 224, 163, 215, 358, 78, 36, 233, 370, 0, 333, 275, 328, 122, 11, 375, 313, 246, 0, 198, 331, 84, 149, 318, 345, 66, 0, 127, 185, 132, 243, 256, 315, 171, 0, 247, 231, 192, 31, 15, 157, 366, 0, 259, 49, 369, 380, 65, 63, 82, 0, 4, 41, 180, 317, 7, 175, 309, 0, 22, 19, 270, 111, 109, 14, 177, 0, 43, 334, 319, 146, 323, 110, 209, 0, 152, 141, 298, 142, 74, 271, 377, 150, 0, 126, 178, 276, 263, 80, 350, 2, 0, 335, 97, 105, 131, 265, 264, 365, 332, 0, 220, 69, 222, 330, 23, 381, 292, 0, 254, 52, 261, 79, 314, 251, 193, 0, 62, 138, 67, 3, 322, 6, 0, 280, 153, 128, 156, 374, 37, 46, 0, 361, 372, 248, 154, 204, 102, 326, 0, 368, 96, 354, 187, 18, 200, 245, 0, 257, 189, 312, 94, 267, 8, 0, 283, 197, 321, 289, 305, 214, 162, 137, 0, 38, 151, 234, 282, 382, 348, 95, 0, 160, 273, 362, 367, 99, 236, 274, 0, 13, 244, 136, 50, 68, 30, 363, 0, 203, 184, 208, 76, 229, 77, 27, 120, 0, 346, 269, 130, 26, 51, 344, 167, 0, 371, 242, 383, 134, 139, 223, 0, 58, 17, 352, 0]</t>
  </si>
  <si>
    <t>[0, 172, 178, 25, 14, 52, 17, 115, 37, 156, 36, 0, 100, 50, 150, 83, 7, 97, 114, 117, 82, 111, 0, 63, 249, 89, 6, 57, 26, 195, 59, 194, 218, 0, 143, 124, 94, 79, 176, 95, 38, 342, 92, 240, 0, 237, 280, 317, 175, 48, 102, 140, 72, 295, 81, 0, 290, 246, 116, 167, 24, 142, 383, 368, 308, 209, 0, 326, 339, 362, 121, 371, 225, 255, 18, 223, 0, 54, 109, 288, 211, 390, 243, 357, 364, 372, 123, 0, 343, 236, 363, 286, 228, 353, 337, 221, 389, 252, 0, 198, 283, 66, 135, 356, 377, 348, 365, 235, 324, 0, 206, 347, 274, 251, 227, 266, 70, 86, 212, 0, 272, 80, 374, 233, 201, 13, 289, 370, 380, 0, 204, 373, 333, 265, 263, 260, 262, 287, 276, 270, 0, 229, 241, 232, 391, 354, 258, 388, 261, 367, 259, 216, 0, 165, 153, 222, 307, 321, 328, 277, 325, 275, 242, 0, 335, 200, 210, 314, 302, 205, 318, 282, 379, 0, 360, 352, 189, 159, 168, 75, 107, 182, 15, 35, 0, 375, 292, 278, 215, 340, 245, 392, 350, 296, 313, 299, 329, 0, 385, 134, 239, 376, 382, 148, 303, 160, 279, 306, 0, 284, 155, 300, 346, 76, 55, 294, 250, 322, 345, 0, 224, 315, 226, 257, 268, 319, 188, 45, 273, 304, 316, 336, 0, 21, 253, 310, 386, 132, 122, 113, 341, 361, 101, 149, 0, 88, 366, 93, 51, 327, 151, 217, 247, 269, 256, 0, 381, 285, 131, 87, 230, 47, 293, 202, 254, 297, 0, 301, 281, 234, 378, 332, 231, 199, 56, 213, 27, 0, 312, 219, 267, 351, 387, 298, 197, 331, 12, 311, 0, 207, 338, 271, 320, 208, 186, 120, 125, 203, 248, 0, 166, 190, 183, 106, 144, 11, 119, 118, 77, 0, 191, 44, 173, 41, 99, 31, 112, 163, 64, 30, 0, 355, 384, 90, 146, 139, 164, 96, 359, 291, 330, 0, 309, 73, 49, 126, 71, 58, 129, 84, 1, 137, 65, 0, 358, 193, 187, 133, 10, 161, 42, 5, 98, 108, 53, 157, 0, 305, 264, 9, 61, 105, 78, 29, 184, 4, 154, 0, 369, 20, 19, 145, 68, 127, 179, 162, 174, 69, 130, 2, 0, 169, 141, 46, 104, 67, 136, 3, 180, 74, 0, 238, 170, 138, 91, 103, 344, 185, 214, 171, 0, 34, 192, 60, 147, 181, 22, 33, 43, 39, 85, 0, 244, 349, 16, 23, 110, 62, 196, 40, 28, 32, 0, 334, 220, 152, 177, 128, 323, 8, 158, 0]</t>
  </si>
  <si>
    <t>X_n392</t>
  </si>
  <si>
    <t>[0, 220, 118, 191, 59, 195, 111, 352, 218, 91, 103, 0, 185, 138, 166, 190, 156, 107, 144, 77, 193, 0, 171, 37, 82, 168, 75, 159, 35, 15, 194, 358, 0, 170, 11, 173, 163, 99, 41, 106, 182, 183, 238, 0, 158, 34, 192, 60, 147, 187, 64, 112, 44, 119, 0, 8, 85, 39, 43, 98, 5, 42, 31, 161, 10, 30, 0, 244, 169, 323, 349, 33, 196, 157, 53, 108, 133, 0, 334, 264, 154, 369, 152, 16, 28, 40, 62, 22, 181, 0, 355, 141, 69, 130, 3, 180, 74, 23, 110, 32, 0, 46, 177, 128, 136, 162, 84, 4, 20, 19, 0, 248, 203, 309, 9, 184, 1, 129, 174, 179, 67, 68, 0, 305, 207, 271, 125, 384, 49, 137, 58, 127, 104, 78, 0, 338, 320, 312, 219, 359, 96, 164, 71, 139, 146, 90, 0, 12, 381, 230, 87, 351, 387, 267, 291, 330, 186, 0, 120, 208, 197, 298, 131, 293, 202, 285, 331, 311, 0, 256, 254, 269, 247, 47, 51, 361, 93, 101, 306, 0, 21, 315, 386, 341, 113, 122, 151, 327, 217, 126, 105, 73, 0, 297, 160, 132, 226, 268, 319, 350, 188, 45, 316, 336, 0, 375, 134, 304, 273, 245, 205, 318, 257, 148, 242, 279, 0, 299, 239, 313, 302, 392, 296, 382, 303, 224, 366, 0, 216, 335, 292, 278, 321, 282, 314, 340, 376, 310, 0, 149, 253, 200, 275, 379, 215, 259, 328, 367, 80, 0, 88, 307, 277, 210, 333, 265, 233, 261, 153, 0, 165, 222, 391, 325, 258, 388, 373, 263, 201, 241, 270, 0, 385, 329, 232, 354, 374, 348, 289, 229, 266, 272, 70, 0, 346, 276, 204, 13, 260, 365, 377, 389, 86, 0, 209, 252, 206, 324, 370, 262, 287, 356, 135, 123, 0, 76, 380, 235, 353, 228, 251, 343, 54, 308, 0, 300, 274, 66, 283, 337, 109, 368, 290, 223, 0, 212, 221, 357, 363, 371, 286, 227, 347, 55, 0, 240, 288, 372, 236, 225, 326, 175, 48, 280, 0, 155, 211, 198, 364, 243, 121, 317, 92, 102, 140, 0, 231, 378, 234, 390, 255, 362, 339, 383, 18, 322, 0, 345, 142, 24, 167, 116, 246, 176, 38, 342, 143, 63, 249, 0, 360, 83, 52, 25, 14, 94, 79, 95, 124, 237, 250, 0, 344, 295, 72, 100, 172, 178, 150, 7, 17, 115, 36, 0, 214, 27, 213, 56, 199, 332, 284, 281, 294, 301, 81, 0, 89, 26, 6, 50, 97, 114, 117, 57, 189, 0, 2, 145, 29, 65, 61, 0]</t>
  </si>
  <si>
    <t>[0, 311, 271, 331, 267, 387, 87, 359, 291, 186, 208, 0, 219, 298, 131, 230, 47, 293, 202, 285, 254, 381, 12, 0, 101, 93, 247, 269, 197, 351, 312, 90, 330, 120, 0, 132, 45, 188, 319, 268, 151, 327, 217, 51, 341, 149, 0, 378, 256, 361, 113, 122, 386, 160, 88, 76, 0, 315, 226, 257, 350, 318, 205, 245, 302, 392, 296, 273, 304, 148, 0, 366, 224, 303, 316, 382, 282, 325, 215, 313, 21, 0, 253, 279, 336, 376, 340, 314, 210, 367, 277, 275, 0, 310, 242, 134, 239, 292, 278, 379, 328, 321, 299, 0, 335, 307, 200, 259, 261, 373, 333, 265, 388, 354, 0, 297, 306, 232, 391, 258, 263, 233, 374, 289, 153, 0, 385, 216, 222, 241, 262, 13, 260, 201, 348, 365, 356, 0, 337, 135, 377, 80, 287, 204, 370, 380, 229, 329, 0, 375, 276, 227, 251, 235, 353, 228, 66, 274, 0, 231, 338, 320, 146, 139, 164, 96, 71, 384, 125, 355, 0, 283, 363, 371, 286, 347, 324, 270, 165, 346, 0, 305, 248, 203, 207, 234, 300, 55, 155, 332, 0, 252, 86, 70, 272, 206, 266, 364, 225, 121, 243, 0, 362, 288, 211, 372, 236, 357, 198, 221, 389, 212, 0, 54, 109, 326, 18, 167, 255, 390, 343, 123, 209, 0, 176, 116, 24, 142, 339, 383, 368, 290, 308, 240, 0, 281, 294, 223, 48, 317, 342, 246, 38, 95, 79, 94, 0, 81, 301, 72, 345, 140, 102, 322, 250, 284, 199, 56, 0, 175, 280, 143, 92, 124, 14, 25, 52, 17, 115, 0, 111, 37, 114, 7, 83, 150, 178, 172, 100, 352, 0, 249, 89, 6, 50, 97, 156, 36, 117, 57, 82, 0, 20, 137, 1, 84, 129, 58, 65, 105, 126, 49, 73, 0, 218, 195, 26, 189, 159, 168, 107, 75, 35, 91, 0, 323, 4, 184, 9, 61, 309, 154, 264, 334, 213, 0, 141, 19, 145, 104, 174, 162, 179, 127, 78, 29, 369, 0, 190, 183, 15, 182, 106, 144, 11, 118, 191, 0, 152, 177, 2, 68, 67, 136, 69, 130, 3, 180, 74, 0, 166, 77, 119, 44, 173, 41, 99, 112, 31, 161, 0, 16, 40, 62, 110, 23, 128, 46, 169, 220, 0, 192, 157, 108, 98, 5, 42, 163, 64, 30, 10, 187, 0, 185, 171, 27, 214, 295, 237, 63, 360, 344, 103, 194, 238, 0, 158, 8, 244, 349, 32, 28, 196, 53, 33, 39, 85, 0, 34, 60, 43, 181, 22, 133, 147, 193, 358, 0, 170, 59, 138, 0]</t>
  </si>
  <si>
    <t>[0, 212, 35, 278, 303, 242, 119, 245, 142, 170, 189, 238, 216, 0, 25, 134, 352, 52, 201, 224, 124, 82, 10, 162, 45, 0, 133, 283, 26, 246, 285, 9, 354, 95, 330, 51, 37, 0, 269, 364, 168, 40, 126, 388, 24, 2, 337, 213, 0, 393, 96, 363, 72, 54, 399, 374, 84, 112, 105, 205, 259, 0, 107, 381, 256, 228, 263, 98, 90, 167, 171, 166, 0, 240, 191, 282, 17, 391, 173, 125, 328, 325, 367, 400, 0, 347, 7, 351, 318, 32, 195, 23, 311, 341, 48, 120, 0, 29, 46, 99, 386, 346, 123, 309, 321, 155, 139, 0, 230, 71, 192, 287, 182, 44, 271, 251, 389, 0, 161, 129, 197, 164, 186, 185, 38, 244, 91, 227, 0, 382, 359, 127, 92, 291, 174, 184, 58, 53, 264, 0, 356, 157, 307, 326, 281, 231, 193, 331, 265, 203, 324, 299, 0, 395, 159, 268, 348, 87, 5, 350, 394, 77, 290, 0, 247, 117, 279, 329, 241, 288, 85, 151, 57, 339, 106, 357, 315, 0, 361, 344, 376, 365, 12, 261, 219, 368, 6, 132, 101, 0, 392, 260, 11, 353, 16, 28, 200, 317, 387, 314, 258, 19, 206, 47, 286, 300, 370, 385, 296, 63, 366, 289, 122, 141, 378, 196, 266, 253, 298, 273, 149, 0, 312, 42, 249, 220, 66, 67, 113, 70, 135, 0, 39, 270, 233, 74, 369, 262, 152, 8, 275, 118, 154, 3, 0, 332, 89, 380, 336, 272, 218, 100, 302, 115, 371, 0, 239, 130, 93, 362, 343, 226, 372, 248, 36, 180, 153, 355, 158, 131, 160, 250, 179, 333, 109, 204, 208, 342, 396, 310, 181, 177, 0, 59, 210, 335, 373, 252, 111, 293, 345, 15, 222, 0, 292, 13, 121, 79, 397, 76, 234, 211, 202, 147, 0, 209, 50, 144, 150, 136, 128, 194, 172, 235, 83, 22, 60, 0, 110, 41, 14, 94, 114, 375, 34, 221, 214, 176, 198, 169, 68, 0, 78, 20, 81, 21, 306, 18, 31, 27, 73, 384, 308, 243, 163, 64, 140, 236, 146, 0, 30, 277, 254, 338, 207, 104, 390, 294, 276, 69, 313, 187, 4, 55, 148, 75, 223, 61, 86, 305, 257, 319, 383, 377, 340, 80, 255, 232, 88, 0, 108, 225, 138, 274, 137, 116, 165, 62, 199, 97, 320, 284, 49, 183, 280, 297, 322, 398, 229, 102, 215, 156, 33, 0, 143, 217, 301, 327, 360, 237, 349, 56, 190, 43, 103, 1, 188, 175, 65, 379, 323, 358, 295, 145, 267, 304, 316, 334, 178, 0]</t>
  </si>
  <si>
    <t>X_n400</t>
  </si>
  <si>
    <t>[0, 177, 149, 273, 130, 338, 239, 30, 377, 277, 254, 207, 390, 69, 294, 305, 75, 223, 61, 86, 257, 104, 383, 319, 340, 80, 255, 232, 88, 0, 93, 343, 362, 276, 187, 313, 148, 370, 286, 47, 258, 314, 19, 206, 300, 355, 153, 158, 385, 160, 372, 226, 342, 141, 310, 298, 181, 0, 259, 253, 247, 289, 366, 353, 28, 200, 317, 387, 296, 16, 63, 109, 333, 131, 36, 180, 55, 4, 248, 250, 179, 204, 208, 122, 396, 378, 196, 266, 0, 117, 279, 329, 11, 241, 288, 85, 151, 57, 339, 84, 106, 205, 238, 0, 357, 54, 399, 112, 105, 374, 245, 242, 119, 142, 364, 400, 0, 25, 189, 170, 52, 224, 352, 134, 72, 8, 172, 139, 0, 264, 154, 395, 51, 330, 24, 278, 201, 363, 35, 162, 233, 45, 0, 269, 96, 337, 10, 2, 26, 283, 7, 393, 203, 157, 0, 3, 128, 191, 341, 90, 246, 124, 82, 240, 212, 0, 392, 213, 299, 37, 29, 168, 303, 388, 98, 107, 282, 167, 150, 0, 324, 262, 58, 331, 230, 321, 318, 161, 171, 133, 315, 0, 307, 48, 129, 71, 367, 95, 351, 53, 152, 74, 0, 216, 260, 155, 184, 381, 227, 382, 159, 135, 34, 221, 176, 0, 369, 354, 9, 285, 40, 126, 311, 265, 275, 361, 0, 120, 397, 76, 309, 263, 228, 256, 291, 376, 312, 64, 198, 0, 194, 114, 344, 290, 197, 350, 17, 23, 32, 356, 0, 202, 195, 287, 192, 164, 91, 359, 118, 375, 101, 0, 235, 14, 371, 365, 193, 174, 123, 346, 325, 147, 0, 42, 389, 186, 328, 125, 173, 391, 386, 136, 234, 0, 13, 166, 270, 347, 46, 99, 251, 332, 214, 78, 243, 110, 83, 0, 56, 185, 44, 182, 271, 127, 249, 94, 41, 121, 39, 0, 144, 60, 22, 79, 12, 326, 281, 231, 27, 20, 308, 163, 108, 175, 0, 62, 89, 219, 261, 77, 220, 59, 384, 140, 169, 211, 292, 0, 209, 50, 68, 70, 92, 87, 368, 81, 284, 0, 316, 49, 225, 336, 6, 38, 244, 5, 348, 268, 15, 222, 0, 113, 67, 394, 132, 66, 272, 293, 100, 306, 0, 380, 115, 302, 218, 345, 111, 252, 373, 335, 18, 0, 146, 236, 297, 322, 183, 280, 21, 31, 210, 73, 137, 274, 138, 116, 165, 65, 199, 379, 320, 97, 323, 237, 103, 267, 0, 143, 217, 304, 301, 43, 190, 1, 188, 349, 358, 295, 360, 398, 229, 145, 327, 215, 102, 156, 33, 334, 178, 0]</t>
  </si>
  <si>
    <t>[0, 88, 232, 255, 377, 340, 80, 61, 223, 86, 305, 75, 286, 47, 258, 314, 19, 206, 300, 355, 370, 153, 180, 148, 319, 30, 0, 239, 277, 254, 383, 104, 257, 294, 390, 276, 69, 313, 187, 55, 158, 385, 131, 36, 248, 4, 372, 226, 362, 207, 338, 130, 181, 149, 177, 0, 273, 298, 93, 343, 141, 396, 342, 122, 208, 204, 179, 250, 160, 333, 109, 296, 387, 317, 200, 28, 353, 16, 63, 366, 196, 253, 292, 0, 310, 266, 378, 289, 279, 329, 11, 241, 288, 85, 151, 57, 339, 105, 203, 0, 247, 117, 25, 106, 84, 112, 374, 245, 242, 119, 96, 262, 45, 0, 259, 189, 269, 399, 170, 224, 124, 352, 8, 324, 0, 357, 162, 54, 142, 52, 201, 303, 246, 364, 363, 264, 0, 128, 171, 168, 283, 24, 337, 134, 72, 35, 166, 0, 228, 287, 328, 40, 285, 9, 354, 82, 10, 205, 216, 0, 212, 330, 388, 263, 126, 95, 26, 278, 2, 238, 260, 0, 233, 152, 351, 282, 107, 90, 98, 51, 393, 133, 392, 0, 369, 375, 395, 230, 341, 321, 318, 191, 167, 29, 315, 0, 154, 309, 195, 325, 125, 17, 256, 381, 240, 7, 213, 0, 347, 53, 367, 46, 391, 173, 44, 23, 32, 129, 157, 0, 161, 155, 71, 123, 251, 389, 227, 58, 34, 400, 0, 48, 346, 386, 99, 182, 38, 186, 164, 311, 382, 139, 0, 265, 184, 197, 192, 271, 291, 331, 159, 114, 0, 270, 299, 37, 359, 91, 174, 231, 185, 244, 92, 376, 198, 0, 120, 193, 127, 281, 87, 5, 350, 6, 70, 290, 312, 0, 39, 344, 12, 220, 268, 219, 348, 394, 336, 218, 236, 0, 121, 356, 135, 42, 249, 368, 67, 66, 100, 252, 0, 74, 76, 275, 332, 365, 326, 77, 132, 293, 111, 190, 0, 209, 13, 307, 397, 136, 234, 211, 202, 22, 60, 0, 144, 221, 371, 115, 345, 302, 272, 261, 118, 150, 0, 79, 194, 222, 15, 89, 113, 380, 373, 210, 14, 361, 0, 147, 3, 172, 59, 18, 31, 335, 27, 73, 21, 214, 235, 83, 0, 68, 140, 64, 101, 110, 243, 384, 20, 78, 81, 306, 94, 41, 176, 169, 50, 0, 146, 156, 102, 297, 322, 284, 62, 65, 165, 116, 137, 274, 138, 225, 49, 183, 280, 108, 308, 163, 0, 33, 267, 229, 398, 323, 97, 320, 379, 199, 175, 188, 1, 43, 349, 358, 295, 215, 334, 178, 0, 316, 304, 301, 327, 145, 360, 237, 56, 103, 217, 143, 0]</t>
  </si>
  <si>
    <t>[0, 195, 198, 180, 310, 22, 368, 68, 125, 40, 336, 172, 226, 170, 111, 95, 110, 277, 376, 290, 347, 263, 396, 204, 144, 270, 218, 208, 82, 122, 0, 399, 216, 44, 231, 37, 266, 401, 296, 182, 5, 107, 344, 59, 397, 97, 271, 90, 241, 262, 299, 348, 73, 162, 360, 169, 183, 104, 0, 275, 215, 242, 58, 154, 13, 323, 146, 327, 272, 9, 227, 207, 167, 47, 142, 329, 28, 305, 371, 0, 382, 72, 132, 210, 340, 265, 308, 375, 78, 161, 98, 115, 302, 316, 7, 27, 325, 11, 88, 32, 168, 0, 237, 69, 311, 387, 366, 153, 365, 184, 140, 273, 235, 217, 219, 409, 76, 381, 143, 45, 394, 269, 50, 145, 404, 2, 255, 380, 137, 309, 274, 398, 0, 280, 113, 213, 119, 392, 34, 236, 406, 324, 99, 77, 254, 130, 230, 356, 306, 203, 55, 256, 197, 393, 283, 181, 51, 278, 361, 116, 14, 199, 315, 0, 102, 80, 205, 85, 53, 189, 38, 297, 192, 402, 152, 200, 251, 66, 20, 71, 36, 151, 131, 61, 391, 261, 221, 86, 238, 109, 0, 279, 245, 212, 407, 377, 26, 330, 252, 121, 224, 294, 338, 312, 171, 10, 175, 0, 337, 395, 134, 87, 372, 349, 318, 292, 83, 304, 1, 6, 93, 0, 42, 211, 136, 128, 319, 247, 81, 281, 249, 17, 129, 352, 400, 244, 229, 253, 351, 160, 293, 248, 246, 259, 135, 243, 0, 326, 105, 341, 49, 228, 117, 233, 31, 112, 286, 173, 155, 150, 331, 43, 123, 264, 220, 282, 19, 303, 390, 369, 63, 126, 355, 0, 33, 194, 317, 186, 386, 288, 108, 225, 187, 333, 164, 196, 141, 178, 350, 101, 18, 307, 222, 57, 65, 240, 346, 29, 389, 30, 234, 410, 0, 133, 388, 96, 223, 64, 54, 25, 74, 15, 188, 163, 298, 84, 284, 190, 353, 92, 62, 0, 287, 384, 313, 301, 383, 268, 374, 159, 232, 201, 56, 185, 214, 148, 193, 206, 166, 403, 3, 149, 379, 334, 52, 100, 335, 320, 103, 0, 250, 328, 285, 114, 373, 157, 35, 16, 8, 267, 91, 39, 0, 176, 191, 359, 147, 23, 291, 209, 289, 260, 75, 174, 158, 378, 321, 21, 94, 179, 357, 300, 364, 0, 60, 124, 139, 138, 239, 354, 24, 363, 343, 358, 89, 48, 46, 367, 106, 120, 258, 276, 314, 295, 202, 257, 0, 12, 4, 0, 67, 118, 405, 385, 362, 165, 370, 79, 70, 322, 177, 342, 408, 339, 332, 156, 127, 41, 345, 0]</t>
  </si>
  <si>
    <t>X_n410</t>
  </si>
  <si>
    <t>[0, 88, 325, 246, 115, 98, 161, 78, 375, 308, 210, 132, 72, 348, 299, 262, 340, 110, 265, 344, 95, 376, 397, 296, 329, 37, 310, 177, 342, 408, 41, 156, 339, 332, 118, 405, 385, 106, 354, 234, 134, 243, 0, 237, 398, 124, 257, 239, 4, 279, 372, 259, 87, 11, 355, 32, 168, 0, 410, 337, 326, 126, 349, 395, 135, 241, 59, 277, 5, 336, 125, 47, 204, 180, 371, 69, 275, 311, 280, 85, 205, 102, 0, 183, 60, 169, 382, 73, 162, 122, 360, 347, 271, 290, 97, 107, 111, 170, 40, 172, 68, 28, 401, 22, 396, 270, 218, 109, 238, 80, 0, 33, 314, 176, 258, 276, 345, 127, 362, 363, 358, 79, 86, 272, 9, 207, 167, 227, 231, 44, 216, 305, 399, 198, 266, 142, 368, 144, 263, 182, 226, 90, 82, 208, 195, 0, 221, 261, 274, 387, 366, 153, 365, 184, 140, 58, 273, 137, 154, 13, 323, 146, 242, 327, 215, 0, 235, 217, 34, 2, 406, 392, 14, 309, 199, 53, 104, 315, 0, 219, 404, 391, 370, 165, 343, 147, 23, 285, 21, 328, 267, 357, 67, 0, 202, 48, 359, 94, 27, 91, 52, 334, 353, 301, 313, 373, 321, 291, 114, 384, 287, 179, 89, 250, 46, 12, 120, 0, 139, 93, 194, 364, 295, 103, 138, 0, 113, 131, 151, 36, 278, 51, 181, 251, 192, 297, 402, 152, 200, 283, 393, 306, 203, 256, 197, 50, 269, 394, 55, 145, 45, 143, 381, 76, 356, 230, 130, 361, 99, 77, 254, 409, 324, 236, 255, 380, 119, 116, 213, 0, 61, 71, 20, 66, 189, 38, 70, 322, 209, 289, 260, 75, 174, 158, 378, 0, 300, 320, 92, 317, 388, 117, 186, 96, 225, 190, 84, 16, 35, 157, 268, 383, 379, 284, 100, 335, 191, 367, 0, 49, 228, 108, 149, 374, 403, 159, 232, 201, 56, 185, 214, 166, 188, 163, 298, 3, 64, 223, 150, 330, 0, 341, 10, 233, 57, 187, 350, 74, 193, 148, 8, 206, 54, 288, 386, 0, 112, 196, 101, 15, 25, 178, 333, 0, 175, 42, 29, 31, 286, 240, 307, 18, 141, 164, 222, 331, 346, 6, 105, 133, 0, 253, 247, 249, 282, 220, 264, 123, 43, 155, 65, 281, 173, 81, 136, 1, 211, 389, 30, 0, 318, 294, 352, 129, 19, 303, 128, 7, 0, 293, 316, 292, 160, 121, 351, 304, 319, 17, 400, 244, 171, 312, 338, 229, 224, 83, 252, 377, 407, 212, 245, 248, 0, 63, 369, 302, 26, 390, 24, 62, 39, 0]</t>
  </si>
  <si>
    <t>[0, 257, 279, 318, 302, 115, 349, 372, 246, 325, 98, 161, 78, 375, 308, 210, 132, 72, 262, 340, 110, 265, 59, 344, 95, 111, 170, 336, 40, 125, 68, 226, 107, 376, 277, 90, 241, 299, 348, 382, 88, 0, 168, 32, 243, 135, 395, 134, 11, 87, 259, 63, 369, 24, 103, 126, 234, 355, 410, 60, 183, 0, 33, 124, 326, 337, 169, 73, 162, 122, 360, 347, 271, 290, 97, 397, 5, 172, 296, 182, 204, 263, 82, 195, 102, 0, 80, 237, 85, 238, 399, 305, 216, 227, 207, 167, 44, 231, 37, 22, 28, 47, 329, 142, 401, 368, 266, 310, 180, 198, 218, 270, 144, 396, 208, 371, 109, 0, 9, 272, 215, 327, 242, 58, 146, 13, 154, 153, 221, 86, 177, 342, 408, 0, 69, 275, 311, 387, 366, 365, 184, 140, 273, 235, 323, 217, 219, 409, 76, 381, 143, 45, 394, 269, 50, 197, 145, 356, 404, 406, 236, 2, 34, 255, 392, 116, 274, 280, 398, 0, 53, 391, 61, 131, 361, 278, 181, 283, 393, 256, 55, 203, 306, 230, 130, 77, 254, 324, 99, 380, 137, 119, 213, 14, 309, 199, 261, 0, 104, 83, 171, 352, 19, 249, 17, 129, 244, 294, 212, 390, 93, 0, 139, 248, 245, 312, 252, 121, 351, 136, 400, 247, 282, 220, 307, 18, 164, 264, 123, 43, 57, 281, 319, 117, 49, 30, 239, 138, 0, 293, 160, 304, 173, 346, 240, 65, 155, 331, 222, 141, 178, 350, 74, 101, 15, 193, 148, 214, 206, 149, 64, 150, 288, 334, 94, 39, 0, 316, 10, 233, 386, 96, 313, 3, 223, 108, 81, 112, 286, 31, 303, 229, 338, 330, 377, 407, 0, 315, 205, 113, 71, 151, 36, 51, 251, 192, 200, 152, 402, 297, 66, 20, 189, 38, 70, 322, 79, 339, 156, 276, 314, 202, 295, 354, 62, 364, 194, 0, 224, 228, 186, 225, 298, 54, 333, 25, 8, 232, 383, 114, 105, 0, 287, 84, 403, 187, 196, 163, 188, 166, 185, 56, 289, 209, 75, 260, 201, 159, 374, 16, 157, 285, 358, 89, 362, 332, 127, 345, 0, 176, 367, 48, 335, 92, 29, 1, 26, 341, 300, 133, 0, 292, 27, 267, 328, 384, 301, 353, 190, 379, 284, 373, 321, 378, 268, 35, 174, 158, 291, 23, 21, 147, 370, 165, 118, 0, 41, 191, 359, 357, 179, 52, 7, 253, 42, 6, 389, 175, 106, 258, 0, 120, 405, 12, 4, 0, 67, 385, 46, 250, 363, 343, 100, 91, 317, 388, 128, 211, 320, 0]</t>
  </si>
  <si>
    <t>[0, 114, 97, 159, 15, 0, 74, 128, 62, 68, 182, 0, 69, 135, 0, 105, 160, 55, 152, 40, 0, 184, 96, 0, 87, 192, 147, 0, 172, 155, 138, 0, 48, 252, 0, 11, 209, 0, 24, 305, 1, 0, 85, 58, 8, 151, 0, 171, 132, 0, 83, 89, 54, 0, 102, 140, 193, 0, 183, 47, 0, 167, 129, 197, 94, 162, 53, 0, 45, 168, 323, 356, 0, 179, 344, 0, 43, 185, 229, 76, 0, 117, 21, 93, 0, 84, 275, 0, 417, 287, 0, 175, 190, 116, 0, 148, 27, 5, 169, 0, 163, 32, 0, 9, 16, 0, 38, 109, 125, 0, 176, 346, 318, 381, 272, 0, 368, 19, 397, 0, 82, 49, 7, 0, 112, 115, 0, 238, 357, 0, 41, 156, 100, 0, 311, 278, 0, 44, 157, 144, 0, 349, 389, 293, 267, 0, 63, 312, 0, 412, 103, 199, 0, 75, 108, 81, 0, 239, 300, 215, 372, 0, 270, 78, 0, 343, 303, 0, 337, 382, 224, 342, 0, 198, 358, 333, 295, 0, 340, 222, 251, 0, 164, 161, 0, 242, 210, 223, 0, 248, 262, 388, 308, 0, 20, 153, 0, 17, 4, 119, 0, 298, 370, 327, 0, 6, 120, 341, 219, 0, 377, 202, 281, 0, 61, 186, 13, 0, 42, 66, 141, 65, 201, 0, 362, 279, 33, 258, 0, 174, 257, 264, 394, 0, 166, 165, 107, 0, 313, 217, 405, 0, 347, 408, 324, 0, 296, 320, 259, 246, 111, 0, 3, 401, 0, 410, 354, 366, 285, 0, 309, 415, 307, 181, 0, 196, 118, 92, 0, 150, 178, 265, 31, 0, 361, 18, 416, 0, 226, 386, 299, 0, 245, 266, 51, 0, 52, 149, 0, 399, 391, 328, 0, 404, 310, 359, 188, 0, 79, 194, 133, 0, 325, 398, 235, 0, 211, 329, 0, 352, 396, 247, 243, 0, 348, 10, 240, 25, 225, 70, 0, 383, 319, 331, 0, 221, 332, 395, 271, 0, 301, 304, 407, 0, 351, 374, 36, 106, 0, 146, 12, 134, 0, 338, 177, 373, 101, 360, 400, 0, 110, 231, 322, 276, 288, 249, 71, 0, 204, 39, 99, 393, 213, 0, 218, 98, 0, 409, 403, 214, 233, 0, 57, 283, 253, 375, 0, 321, 302, 418, 0, 294, 232, 268, 0, 369, 220, 314, 0, 80, 406, 260, 330, 0, 230, 64, 316, 315, 0, 227, 413, 263, 0, 387, 336, 402, 0, 254, 274, 0, 317, 419, 228, 0, 30, 289, 297, 212, 0, 244, 385, 0, 355, 364, 0, 256, 216, 127, 380, 0, 95, 291, 205, 187, 0, 26, 411, 250, 269, 277, 0, 334, 350, 0, 379, 130, 124, 137, 67, 131, 0, 126, 390, 326, 0, 142, 306, 122, 0, 255, 353, 236, 261, 0, 180, 34, 0, 206, 237, 363, 0, 384, 200, 365, 292, 0, 378, 35, 0, 189, 37, 143, 0, 282, 284, 0, 280, 335, 170, 241, 77, 0, 203, 371, 0, 2, 414, 0, 14, 50, 0, 191, 29, 0, 60, 139, 367, 0, 113, 72, 154, 86, 0, 195, 234, 0, 290, 392, 0, 59, 376, 345, 0, 28, 208, 0, 22, 273, 339, 0, 23, 56, 0, 88, 91, 0, 207, 286, 0, 173, 73, 0, 158, 104, 0, 90, 46, 0, 121, 145, 136, 0, 123, 0]</t>
  </si>
  <si>
    <t>X_n419</t>
  </si>
  <si>
    <t>[0, 241, 170, 72, 60, 0, 142, 206, 6, 0, 154, 286, 139, 0, 120, 200, 282, 367, 0, 280, 2, 88, 0, 292, 306, 326, 0, 414, 122, 256, 0, 113, 335, 380, 0, 363, 236, 365, 0, 207, 250, 269, 261, 237, 0, 369, 400, 316, 277, 127, 353, 0, 390, 411, 30, 0, 26, 255, 297, 64, 315, 0, 204, 194, 25, 360, 216, 0, 101, 220, 212, 253, 0, 283, 213, 373, 177, 10, 0, 384, 274, 0, 284, 314, 70, 0, 393, 225, 240, 42, 0, 52, 12, 39, 0, 254, 230, 0, 146, 289, 66, 0, 134, 338, 99, 133, 0, 126, 375, 51, 266, 0, 65, 79, 118, 0, 119, 149, 245, 0, 166, 4, 75, 169, 0, 141, 165, 265, 0, 100, 13, 196, 0, 17, 108, 16, 0, 156, 164, 0, 32, 186, 348, 0, 38, 161, 0, 9, 7, 49, 0, 109, 81, 125, 53, 0, 148, 41, 112, 0, 163, 90, 0, 82, 93, 167, 0, 27, 21, 0, 117, 115, 162, 85, 0, 94, 8, 193, 40, 0, 138, 197, 58, 74, 0, 89, 116, 5, 0, 172, 129, 140, 151, 182, 0, 155, 97, 0, 190, 62, 68, 0, 114, 159, 15, 184, 0, 128, 135, 160, 152, 0, 105, 55, 69, 0, 192, 11, 175, 0, 87, 209, 0, 96, 48, 0, 183, 83, 0, 45, 171, 0, 132, 168, 229, 0, 1, 252, 0, 272, 287, 24, 0, 185, 76, 311, 0, 417, 275, 0, 176, 346, 312, 0, 47, 356, 318, 0, 19, 179, 0, 198, 293, 349, 389, 323, 0, 278, 381, 305, 0, 267, 333, 270, 0, 358, 215, 300, 0, 222, 111, 309, 0, 33, 258, 397, 0, 372, 259, 181, 361, 352, 0, 327, 246, 264, 362, 0, 78, 202, 219, 0, 251, 370, 394, 0, 257, 359, 210, 0, 98, 188, 368, 0, 337, 285, 221, 0, 341, 243, 407, 262, 0, 224, 340, 44, 0, 310, 71, 36, 386, 0, 239, 106, 235, 324, 0, 281, 308, 174, 0, 320, 325, 398, 0, 382, 357, 102, 0, 247, 249, 396, 0, 279, 307, 412, 0, 296, 18, 331, 0, 299, 388, 248, 0, 404, 288, 406, 332, 0, 366, 276, 232, 268, 322, 0, 217, 415, 374, 0, 383, 80, 242, 0, 351, 379, 14, 67, 131, 0, 218, 355, 110, 0, 416, 260, 187, 124, 137, 295, 0, 226, 319, 317, 418, 0, 399, 63, 199, 0, 329, 211, 0, 3, 313, 173, 0, 403, 214, 298, 0, 227, 304, 223, 0, 395, 231, 130, 34, 0, 410, 401, 22, 0, 402, 302, 347, 0, 385, 244, 0, 336, 354, 391, 0, 409, 35, 180, 0, 334, 103, 0, 342, 408, 328, 0, 238, 195, 0, 294, 419, 37, 0, 344, 144, 0, 405, 228, 205, 291, 0, 364, 413, 321, 301, 0, 271, 387, 203, 143, 0, 343, 303, 0, 208, 378, 330, 377, 0, 263, 189, 350, 0, 345, 273, 0, 392, 234, 0, 376, 84, 43, 157, 0, 233, 95, 56, 86, 0, 28, 371, 0, 23, 123, 77, 0, 290, 50, 0, 145, 29, 339, 0, 121, 91, 0, 136, 191, 0, 57, 178, 107, 0, 31, 150, 46, 104, 0, 158, 61, 92, 0, 153, 20, 0, 73, 59, 147, 0, 201, 54, 0]</t>
  </si>
  <si>
    <t>[0, 53, 108, 4, 13, 100, 0, 38, 161, 0, 148, 125, 41, 49, 0, 156, 81, 0, 16, 75, 166, 0, 27, 93, 167, 0, 32, 164, 0, 9, 7, 109, 182, 0, 117, 21, 94, 172, 0, 82, 162, 8, 0, 112, 115, 0, 169, 17, 186, 0, 85, 58, 129, 197, 0, 114, 155, 102, 0, 193, 151, 68, 74, 0, 175, 116, 5, 0, 54, 163, 201, 0, 140, 62, 40, 0, 97, 159, 128, 15, 0, 190, 89, 83, 0, 65, 141, 119, 66, 0, 138, 153, 0, 165, 42, 118, 265, 0, 152, 69, 105, 44, 0, 11, 135, 0, 96, 192, 323, 0, 196, 79, 92, 0, 55, 160, 168, 0, 184, 171, 0, 87, 209, 0, 104, 20, 147, 0, 348, 245, 133, 150, 0, 178, 52, 0, 107, 149, 31, 0, 132, 287, 0, 61, 158, 0, 266, 240, 194, 10, 0, 204, 338, 99, 25, 51, 0, 90, 46, 0, 177, 225, 146, 134, 0, 24, 48, 0, 1, 305, 84, 0, 191, 29, 0, 12, 373, 101, 39, 57, 0, 252, 179, 0, 183, 47, 0, 70, 360, 316, 64, 400, 314, 0, 45, 185, 43, 0, 275, 417, 0, 76, 229, 356, 349, 0, 126, 283, 253, 375, 0, 397, 318, 19, 0, 393, 315, 277, 269, 127, 250, 0, 256, 220, 289, 0, 213, 230, 212, 0, 369, 274, 30, 0, 278, 389, 381, 368, 0, 142, 411, 297, 216, 0, 311, 308, 233, 0, 63, 346, 176, 0, 254, 353, 261, 365, 0, 272, 293, 258, 0, 390, 236, 0, 121, 145, 136, 0, 367, 255, 363, 0, 326, 237, 380, 0, 306, 384, 0, 122, 292, 200, 335, 26, 0, 280, 284, 154, 0, 206, 282, 170, 0, 412, 238, 0, 273, 123, 0, 344, 144, 0, 2, 6, 0, 342, 72, 113, 241, 0, 414, 139, 0, 300, 215, 358, 0, 357, 408, 0, 267, 239, 246, 188, 71, 0, 337, 340, 270, 0, 103, 312, 0, 327, 33, 0, 259, 181, 222, 382, 0, 78, 333, 0, 91, 60, 0, 242, 111, 0, 120, 286, 88, 0, 331, 18, 0, 324, 202, 251, 0, 223, 243, 307, 0, 86, 207, 371, 143, 0, 174, 309, 130, 35, 295, 0, 343, 345, 0, 124, 14, 67, 131, 0, 224, 279, 359, 395, 352, 0, 195, 392, 0, 299, 325, 0, 410, 313, 281, 0, 334, 290, 0, 341, 106, 354, 0, 332, 268, 288, 36, 362, 0, 399, 285, 370, 0, 217, 398, 0, 210, 394, 219, 0, 244, 248, 173, 0, 198, 388, 372, 98, 0, 401, 3, 0, 361, 396, 416, 0, 214, 385, 0, 211, 329, 0, 364, 264, 391, 0, 386, 218, 328, 0, 262, 247, 406, 0, 347, 407, 310, 366, 0, 232, 249, 374, 0, 157, 199, 73, 0, 377, 221, 257, 298, 0, 227, 402, 0, 77, 339, 50, 95, 0, 23, 56, 0, 350, 208, 0, 189, 203, 137, 0, 351, 304, 355, 263, 0, 228, 260, 37, 0, 234, 303, 0, 320, 317, 34, 0, 378, 180, 330, 110, 0, 28, 59, 22, 0, 413, 403, 336, 0, 291, 205, 302, 0, 271, 231, 379, 276, 322, 319, 405, 0, 383, 418, 419, 294, 0, 409, 387, 80, 376, 0, 301, 321, 187, 235, 404, 415, 0, 296, 226, 0]</t>
  </si>
  <si>
    <t>[0, 147, 208, 424, 346, 86, 152, 203, 0, 256, 414, 409, 46, 30, 43, 272, 0, 52, 263, 22, 299, 279, 119, 301, 215, 0, 250, 314, 348, 342, 204, 370, 143, 274, 0, 19, 109, 420, 68, 111, 304, 0, 391, 278, 115, 179, 91, 366, 427, 0, 271, 358, 168, 93, 298, 393, 0, 148, 226, 384, 254, 141, 98, 123, 0, 97, 392, 64, 26, 309, 49, 347, 0, 192, 264, 149, 153, 419, 400, 38, 0, 345, 187, 339, 191, 80, 197, 0, 189, 188, 1, 78, 249, 163, 144, 0, 166, 82, 251, 282, 247, 142, 280, 0, 350, 319, 423, 60, 383, 2, 145, 0, 182, 246, 100, 28, 237, 273, 0, 103, 79, 401, 343, 169, 225, 10, 0, 320, 120, 167, 380, 368, 417, 0, 207, 205, 306, 200, 37, 146, 0, 114, 334, 219, 410, 428, 128, 317, 0, 173, 395, 255, 422, 155, 61, 0, 136, 222, 371, 265, 126, 69, 76, 240, 0, 161, 116, 89, 248, 367, 396, 176, 0, 121, 117, 283, 402, 39, 67, 125, 337, 0, 235, 385, 107, 9, 35, 411, 4, 0, 138, 16, 165, 270, 227, 266, 277, 0, 287, 113, 332, 291, 127, 186, 133, 0, 77, 315, 349, 184, 387, 85, 305, 0, 267, 23, 154, 151, 313, 388, 0, 190, 379, 335, 41, 333, 404, 0, 183, 211, 377, 386, 96, 407, 229, 0, 354, 269, 216, 357, 239, 220, 228, 0, 223, 58, 36, 177, 104, 261, 72, 0, 302, 27, 297, 416, 292, 180, 275, 0, 48, 59, 135, 217, 6, 312, 0, 406, 174, 32, 47, 181, 17, 356, 0, 289, 230, 352, 29, 353, 231, 11, 0, 325, 355, 405, 389, 75, 159, 336, 0, 373, 359, 224, 101, 24, 421, 238, 0, 425, 108, 303, 323, 365, 316, 0, 221, 209, 131, 12, 331, 51, 257, 0, 70, 157, 25, 218, 300, 65, 0, 281, 202, 415, 194, 150, 54, 0, 376, 13, 201, 214, 338, 344, 327, 233, 0, 132, 375, 7, 129, 71, 185, 55, 0, 286, 62, 3, 288, 130, 95, 0, 92, 341, 328, 172, 206, 44, 21, 0, 276, 285, 102, 243, 259, 50, 372, 0, 74, 397, 361, 398, 262, 213, 382, 0, 310, 245, 258, 290, 322, 118, 330, 324, 0, 308, 362, 31, 244, 178, 198, 15, 0, 374, 8, 40, 112, 139, 340, 122, 0, 73, 83, 390, 156, 413, 381, 34, 0, 20, 87, 293, 369, 329, 110, 232, 0, 56, 394, 105, 351, 294, 140, 0, 378, 260, 106, 18, 63, 311, 268, 0, 307, 81, 57, 94, 199, 426, 5, 0, 45, 408, 171, 164, 196, 14, 158, 0, 236, 137, 412, 42, 364, 253, 0, 33, 284, 234, 90, 252, 326, 0, 88, 66, 363, 124, 210, 296, 53, 0, 170, 195, 241, 403, 321, 360, 84, 0, 418, 193, 242, 175, 0, 99, 134, 295, 318, 160, 212, 399, 162, 0]</t>
  </si>
  <si>
    <t>X_n428</t>
  </si>
  <si>
    <t>[0, 161, 404, 357, 239, 333, 133, 220, 0, 395, 287, 216, 47, 181, 32, 108, 0, 422, 240, 69, 76, 266, 277, 186, 335, 0, 379, 176, 227, 396, 248, 165, 136, 0, 197, 255, 128, 126, 367, 41, 113, 0, 80, 222, 89, 270, 127, 291, 332, 0, 155, 16, 265, 428, 417, 191, 0, 339, 280, 263, 219, 410, 371, 116, 0, 166, 82, 251, 22, 247, 142, 167, 0, 147, 203, 282, 334, 380, 120, 317, 0, 420, 414, 424, 86, 43, 272, 299, 0, 208, 409, 30, 301, 346, 152, 368, 0, 109, 46, 119, 279, 215, 250, 256, 0, 68, 274, 314, 278, 179, 111, 9, 0, 366, 168, 204, 342, 143, 348, 391, 52, 0, 304, 91, 271, 358, 370, 115, 400, 0, 393, 93, 254, 298, 97, 103, 207, 0, 188, 123, 384, 141, 98, 144, 246, 0, 182, 2, 309, 392, 226, 148, 189, 0, 64, 49, 347, 225, 1, 350, 153, 0, 28, 306, 67, 60, 169, 26, 163, 0, 121, 100, 319, 249, 78, 427, 107, 0, 205, 79, 145, 383, 423, 77, 0, 237, 37, 337, 401, 343, 10, 0, 292, 72, 23, 117, 39, 125, 200, 0, 411, 146, 305, 349, 184, 402, 283, 0, 297, 373, 151, 387, 313, 183, 267, 0, 35, 388, 85, 386, 211, 59, 27, 0, 229, 135, 230, 315, 154, 96, 377, 0, 4, 223, 407, 104, 177, 352, 416, 0, 286, 359, 224, 325, 48, 192, 38, 0, 238, 421, 11, 312, 36, 58, 261, 0, 302, 221, 355, 353, 29, 6, 289, 0, 65, 62, 389, 405, 75, 231, 217, 0, 20, 331, 12, 159, 336, 70, 0, 284, 51, 131, 24, 101, 157, 0, 74, 25, 209, 3, 102, 276, 0, 132, 375, 300, 288, 243, 397, 81, 0, 42, 218, 129, 259, 185, 234, 124, 0, 53, 210, 257, 50, 262, 285, 71, 7, 0, 363, 130, 213, 369, 329, 296, 195, 0, 66, 293, 398, 55, 95, 33, 0, 364, 87, 372, 110, 94, 57, 170, 0, 253, 232, 361, 426, 199, 14, 399, 0, 99, 241, 5, 326, 158, 382, 90, 307, 0, 162, 212, 84, 403, 252, 196, 63, 0, 140, 295, 134, 360, 321, 273, 0, 88, 160, 18, 260, 164, 171, 318, 412, 0, 374, 294, 268, 106, 408, 45, 180, 0, 56, 340, 105, 351, 378, 311, 275, 0, 73, 83, 394, 156, 413, 381, 390, 0, 242, 310, 112, 34, 139, 244, 245, 0, 308, 40, 258, 290, 322, 178, 122, 0, 175, 8, 362, 31, 198, 15, 0, 21, 324, 330, 118, 327, 54, 344, 0, 172, 44, 206, 233, 338, 150, 193, 0, 354, 201, 194, 214, 341, 328, 92, 0, 418, 303, 365, 202, 415, 13, 376, 0, 425, 406, 356, 17, 323, 316, 281, 0, 174, 228, 269, 190, 138, 0, 61, 114, 320, 173, 0, 345, 187, 19, 419, 149, 0, 236, 235, 264, 385, 137, 0]</t>
  </si>
  <si>
    <t>[0, 354, 174, 32, 181, 323, 365, 316, 0, 281, 356, 303, 108, 17, 47, 269, 0, 190, 220, 228, 202, 194, 150, 0, 216, 239, 335, 176, 379, 357, 404, 0, 161, 287, 291, 227, 186, 133, 333, 0, 41, 277, 396, 332, 240, 155, 138, 0, 197, 395, 255, 422, 136, 61, 0, 113, 127, 266, 76, 367, 248, 116, 0, 425, 406, 415, 13, 376, 193, 418, 0, 16, 165, 270, 126, 417, 114, 0, 222, 89, 265, 69, 428, 219, 410, 0, 80, 334, 22, 263, 282, 128, 371, 317, 0, 339, 280, 368, 380, 120, 191, 38, 0, 52, 167, 142, 247, 251, 82, 400, 0, 166, 299, 272, 43, 279, 86, 152, 203, 0, 147, 208, 424, 215, 301, 30, 250, 0, 409, 346, 46, 119, 314, 143, 274, 391, 0, 173, 320, 187, 345, 242, 175, 0, 256, 414, 420, 109, 19, 264, 0, 68, 278, 348, 342, 204, 168, 370, 304, 0, 179, 115, 271, 93, 384, 141, 0, 148, 226, 309, 254, 358, 91, 0, 111, 393, 298, 98, 49, 2, 347, 0, 144, 423, 169, 26, 64, 392, 123, 97, 0, 366, 78, 249, 60, 383, 163, 1, 0, 189, 188, 319, 10, 225, 67, 0, 350, 145, 401, 343, 39, 306, 103, 0, 182, 79, 125, 337, 205, 207, 0, 100, 349, 184, 402, 283, 37, 246, 0, 149, 419, 153, 427, 273, 275, 0, 28, 200, 117, 85, 387, 315, 104, 0, 121, 305, 313, 151, 154, 177, 377, 0, 237, 146, 388, 386, 96, 261, 35, 0, 9, 77, 23, 407, 58, 36, 0, 72, 183, 211, 312, 29, 353, 352, 0, 223, 229, 217, 230, 6, 267, 411, 0, 27, 289, 355, 75, 389, 12, 0, 292, 59, 11, 325, 48, 416, 0, 92, 341, 344, 54, 338, 214, 201, 0, 373, 62, 51, 405, 159, 231, 135, 0, 21, 44, 206, 172, 328, 233, 0, 70, 65, 157, 224, 221, 359, 302, 0, 238, 421, 336, 24, 101, 297, 385, 0, 374, 324, 178, 322, 330, 118, 327, 0, 25, 218, 131, 331, 288, 259, 0, 209, 102, 398, 7, 375, 276, 0, 140, 310, 362, 31, 198, 15, 308, 0, 73, 8, 122, 245, 244, 290, 258, 0, 56, 40, 112, 34, 381, 139, 340, 0, 45, 294, 83, 394, 156, 413, 390, 0, 268, 378, 351, 105, 260, 18, 171, 0, 295, 160, 63, 164, 106, 408, 311, 0, 321, 326, 196, 360, 318, 134, 99, 0, 20, 300, 129, 243, 213, 262, 50, 0, 162, 403, 158, 14, 426, 252, 0, 84, 212, 5, 199, 369, 3, 185, 0, 55, 130, 285, 329, 257, 361, 241, 399, 0, 236, 235, 253, 66, 363, 53, 170, 0, 42, 364, 33, 210, 296, 195, 88, 0, 90, 382, 94, 110, 293, 71, 372, 232, 0, 180, 107, 192, 137, 412, 0, 307, 124, 284, 286, 74, 4, 0, 234, 57, 87, 95, 397, 81, 132, 0]</t>
  </si>
  <si>
    <t>[0, 170, 183, 150, 205, 219, 142, 163, 53, 306, 107, 12, 48, 0, 141, 208, 374, 322, 304, 419, 336, 369, 273, 282, 284, 332, 0, 151, 199, 39, 232, 35, 51, 100, 27, 54, 164, 186, 128, 0, 224, 188, 405, 168, 64, 123, 214, 52, 95, 234, 320, 269, 0, 120, 114, 279, 328, 198, 272, 37, 10, 301, 379, 117, 103, 0, 182, 316, 213, 300, 357, 363, 356, 368, 424, 417, 30, 216, 0, 256, 399, 364, 290, 190, 125, 394, 63, 74, 354, 209, 171, 0, 11, 378, 16, 112, 13, 310, 222, 178, 259, 106, 99, 96, 0, 179, 78, 77, 265, 313, 174, 291, 160, 292, 382, 192, 235, 0, 180, 85, 314, 148, 20, 111, 68, 69, 277, 167, 194, 0, 45, 94, 212, 46, 49, 247, 40, 201, 203, 50, 36, 38, 0, 156, 415, 317, 18, 262, 119, 29, 158, 87, 102, 127, 76, 0, 427, 398, 373, 258, 185, 104, 70, 191, 129, 261, 307, 436, 0, 175, 4, 34, 67, 230, 21, 244, 181, 84, 132, 165, 124, 0, 276, 226, 33, 82, 147, 143, 60, 294, 318, 23, 93, 14, 0, 358, 359, 365, 429, 55, 288, 298, 278, 263, 355, 9, 254, 0, 414, 217, 236, 59, 136, 187, 362, 32, 305, 238, 295, 231, 0, 401, 73, 157, 135, 177, 152, 255, 327, 389, 19, 24, 28, 0, 105, 434, 311, 8, 2, 169, 3, 411, 348, 260, 26, 326, 0, 370, 133, 425, 349, 223, 386, 267, 410, 72, 335, 92, 275, 0, 430, 248, 330, 343, 340, 302, 408, 240, 108, 331, 361, 58, 0, 155, 42, 239, 218, 57, 145, 200, 139, 392, 299, 400, 97, 0, 426, 367, 134, 397, 390, 184, 395, 220, 287, 387, 161, 207, 0, 41, 71, 228, 162, 435, 281, 375, 296, 347, 211, 438, 404, 0, 406, 346, 166, 43, 206, 418, 122, 366, 384, 407, 416, 385, 0, 31, 5, 1, 140, 196, 274, 116, 113, 90, 109, 371, 62, 0, 353, 377, 245, 110, 409, 421, 250, 345, 312, 381, 237, 270, 0, 333, 176, 131, 6, 75, 56, 22, 210, 88, 173, 118, 91, 0, 149, 202, 308, 121, 325, 249, 393, 280, 241, 360, 342, 268, 0, 195, 227, 221, 242, 303, 225, 388, 83, 412, 403, 17, 89, 0, 422, 115, 380, 433, 372, 264, 352, 315, 86, 66, 293, 339, 0, 204, 79, 189, 61, 130, 80, 344, 197, 7, 154, 431, 144, 0, 172, 324, 229, 337, 391, 423, 396, 432, 413, 321, 233, 44, 0, 243, 289, 329, 319, 252, 101, 402, 428, 126, 297, 351, 420, 0, 323, 246, 257, 253, 266, 338, 309, 285, 193, 215, 153, 15, 0, 437, 383, 138, 376, 271, 47, 286, 350, 341, 159, 98, 137, 0, 81, 146, 25, 334, 65, 251, 283, 0]</t>
  </si>
  <si>
    <t>X_n438</t>
  </si>
  <si>
    <t>[0, 314, 111, 69, 128, 186, 277, 247, 87, 29, 158, 191, 104, 0, 20, 68, 127, 119, 129, 60, 278, 355, 317, 415, 36, 156, 0, 53, 170, 183, 150, 142, 199, 164, 54, 45, 76, 102, 70, 0, 124, 96, 163, 151, 282, 232, 51, 27, 94, 212, 40, 201, 0, 48, 148, 261, 203, 46, 49, 141, 208, 374, 39, 219, 205, 0, 100, 322, 304, 419, 369, 224, 284, 269, 120, 399, 99, 78, 0, 182, 273, 188, 35, 336, 405, 272, 64, 114, 316, 106, 77, 0, 306, 332, 320, 234, 168, 95, 52, 198, 328, 279, 265, 216, 0, 256, 213, 300, 214, 123, 10, 37, 363, 290, 30, 259, 235, 0, 401, 190, 125, 394, 379, 301, 357, 356, 368, 424, 417, 364, 0, 313, 174, 160, 178, 310, 171, 13, 103, 74, 292, 192, 165, 0, 175, 132, 21, 378, 63, 117, 354, 209, 11, 222, 291, 382, 0, 333, 207, 28, 430, 4, 84, 181, 230, 67, 16, 112, 244, 0, 58, 343, 389, 255, 152, 177, 34, 135, 157, 73, 24, 0, 179, 248, 19, 330, 108, 340, 327, 302, 408, 240, 361, 161, 0, 146, 204, 31, 387, 287, 390, 62, 113, 371, 184, 220, 331, 0, 25, 56, 75, 196, 116, 274, 90, 109, 395, 397, 134, 5, 0, 81, 426, 367, 1, 140, 22, 210, 88, 80, 6, 334, 437, 0, 144, 65, 7, 197, 344, 91, 118, 173, 130, 131, 79, 176, 0, 44, 246, 98, 286, 15, 159, 154, 61, 189, 431, 137, 251, 0, 283, 323, 138, 350, 376, 383, 243, 321, 233, 422, 180, 0, 149, 353, 115, 324, 229, 289, 47, 193, 215, 153, 341, 0, 414, 326, 202, 195, 227, 380, 268, 413, 432, 253, 257, 0, 271, 351, 396, 420, 249, 325, 121, 237, 308, 172, 0, 270, 406, 221, 377, 433, 391, 423, 329, 338, 0, 266, 309, 319, 337, 342, 360, 393, 41, 155, 0, 275, 404, 280, 242, 372, 252, 101, 402, 428, 285, 0, 92, 71, 381, 241, 264, 86, 225, 403, 89, 66, 297, 0, 26, 260, 228, 303, 352, 315, 17, 293, 339, 126, 0, 346, 312, 438, 385, 345, 122, 366, 384, 388, 110, 245, 0, 217, 162, 166, 206, 145, 418, 416, 407, 412, 83, 409, 0, 236, 335, 200, 139, 57, 296, 43, 347, 211, 421, 250, 0, 435, 375, 392, 299, 223, 349, 267, 386, 97, 218, 281, 239, 0, 348, 411, 72, 42, 400, 410, 425, 370, 3, 105, 59, 231, 0, 169, 2, 8, 133, 311, 434, 32, 82, 362, 187, 136, 358, 0, 295, 359, 238, 305, 147, 143, 294, 263, 429, 365, 9, 254, 0, 427, 55, 288, 318, 185, 23, 93, 33, 298, 276, 398, 194, 0, 38, 50, 226, 373, 436, 18, 307, 14, 258, 262, 167, 85, 0, 107, 12, 0]</t>
  </si>
  <si>
    <t>[0, 156, 429, 263, 185, 143, 147, 82, 32, 238, 136, 358, 295, 0, 427, 415, 317, 298, 55, 288, 305, 362, 187, 359, 365, 9, 0, 231, 254, 355, 33, 318, 294, 60, 104, 191, 70, 276, 398, 0, 194, 36, 50, 373, 436, 14, 129, 258, 93, 23, 278, 226, 0, 18, 307, 262, 261, 119, 29, 158, 87, 102, 127, 76, 38, 0, 85, 69, 45, 94, 212, 46, 49, 247, 40, 201, 203, 167, 0, 314, 111, 186, 164, 51, 100, 141, 208, 27, 54, 277, 68, 0, 107, 306, 148, 20, 128, 39, 35, 374, 322, 304, 336, 232, 0, 53, 199, 151, 142, 219, 205, 163, 170, 183, 256, 179, 81, 0, 48, 12, 236, 59, 105, 2, 434, 311, 8, 370, 169, 26, 0, 284, 320, 234, 95, 168, 405, 419, 369, 188, 224, 282, 150, 0, 217, 260, 348, 411, 3, 133, 425, 223, 349, 410, 72, 92, 0, 332, 269, 273, 52, 272, 64, 123, 214, 198, 328, 213, 316, 0, 414, 275, 335, 267, 386, 299, 400, 97, 42, 71, 155, 326, 0, 182, 120, 114, 279, 424, 300, 357, 37, 10, 301, 379, 363, 0, 106, 364, 259, 417, 368, 290, 125, 394, 103, 117, 63, 13, 0, 399, 30, 190, 356, 171, 354, 74, 209, 11, 222, 174, 313, 0, 149, 406, 228, 346, 162, 57, 139, 200, 392, 218, 239, 41, 0, 202, 308, 270, 404, 435, 281, 375, 296, 43, 347, 211, 195, 0, 96, 78, 216, 178, 310, 291, 160, 292, 382, 265, 77, 99, 0, 422, 324, 249, 312, 438, 385, 345, 166, 381, 237, 325, 172, 0, 124, 235, 192, 244, 21, 378, 112, 16, 67, 230, 181, 132, 0, 221, 418, 407, 366, 122, 145, 206, 250, 280, 393, 121, 353, 0, 175, 157, 327, 255, 302, 408, 152, 177, 135, 34, 84, 4, 0, 229, 412, 403, 384, 416, 421, 409, 245, 360, 342, 227, 380, 0, 377, 242, 241, 110, 388, 83, 17, 89, 293, 337, 433, 268, 0, 233, 115, 303, 225, 86, 315, 352, 264, 372, 391, 243, 246, 0, 165, 73, 24, 248, 330, 343, 389, 340, 108, 331, 430, 28, 0, 401, 58, 161, 361, 19, 240, 220, 395, 184, 287, 134, 31, 0, 207, 387, 397, 390, 62, 109, 113, 116, 274, 90, 426, 5, 0, 323, 413, 432, 402, 428, 339, 66, 126, 297, 423, 396, 420, 0, 44, 321, 383, 351, 329, 319, 309, 266, 289, 253, 257, 138, 0, 251, 98, 350, 47, 215, 193, 285, 101, 252, 338, 271, 376, 0, 137, 65, 154, 91, 118, 153, 15, 159, 341, 286, 283, 437, 0, 144, 431, 197, 7, 344, 173, 88, 210, 22, 56, 75, 196, 0, 333, 176, 367, 1, 371, 140, 6, 131, 80, 130, 61, 189, 0, 180, 204, 79, 334, 25, 146, 0]</t>
  </si>
  <si>
    <t>[0, 111, 207, 392, 393, 123, 189, 221, 313, 178, 366, 132, 242, 321, 225, 394, 88, 150, 293, 316, 154, 382, 0, 259, 283, 210, 137, 239, 204, 43, 94, 66, 298, 56, 324, 149, 36, 229, 351, 31, 309, 0, 25, 8, 303, 402, 148, 52, 214, 92, 380, 109, 129, 287, 371, 190, 35, 215, 0, 337, 315, 112, 400, 364, 144, 415, 136, 102, 54, 226, 175, 116, 0, 262, 118, 375, 340, 403, 50, 122, 59, 417, 206, 230, 205, 247, 0, 145, 80, 383, 318, 117, 223, 446, 404, 141, 95, 439, 427, 86, 311, 312, 353, 14, 0, 418, 79, 183, 292, 317, 62, 302, 91, 258, 354, 390, 428, 306, 134, 193, 0, 99, 53, 120, 139, 325, 395, 327, 128, 58, 227, 326, 410, 90, 437, 100, 385, 0, 285, 277, 78, 20, 426, 67, 157, 329, 438, 218, 194, 431, 135, 220, 169, 181, 0, 300, 45, 272, 250, 396, 28, 260, 424, 355, 26, 143, 232, 286, 217, 0, 323, 156, 209, 373, 251, 22, 333, 158, 61, 166, 41, 47, 0, 46, 167, 44, 19, 196, 269, 18, 138, 270, 115, 104, 34, 374, 367, 0, 341, 121, 174, 235, 162, 64, 377, 146, 401, 307, 433, 97, 407, 254, 7, 75, 147, 172, 76, 0, 202, 216, 48, 290, 274, 334, 73, 110, 369, 281, 38, 11, 358, 68, 126, 246, 10, 0, 352, 69, 42, 114, 314, 330, 33, 445, 3, 173, 289, 164, 279, 264, 168, 346, 342, 359, 127, 408, 0, 441, 72, 248, 387, 234, 379, 295, 23, 280, 322, 448, 297, 131, 347, 153, 0, 163, 320, 253, 349, 261, 291, 24, 443, 420, 339, 213, 199, 13, 197, 0, 350, 282, 421, 98, 65, 161, 182, 89, 51, 185, 310, 271, 416, 12, 343, 294, 101, 0, 389, 384, 336, 106, 305, 361, 398, 49, 240, 212, 6, 440, 275, 74, 344, 0, 245, 219, 365, 444, 133, 405, 208, 391, 159, 15, 124, 399, 0, 130, 195, 81, 113, 71, 37, 5, 177, 191, 328, 338, 237, 39, 249, 224, 85, 0, 77, 434, 423, 108, 432, 356, 29, 406, 105, 386, 180, 17, 425, 241, 0, 107, 140, 409, 276, 244, 16, 222, 304, 165, 184, 243, 414, 372, 388, 160, 82, 0, 267, 192, 142, 442, 119, 436, 422, 370, 435, 70, 308, 170, 348, 381, 288, 0, 84, 360, 378, 413, 32, 57, 188, 211, 412, 273, 4, 87, 319, 257, 397, 40, 21, 0, 266, 238, 256, 83, 186, 268, 376, 284, 103, 335, 63, 368, 152, 0, 430, 171, 255, 203, 429, 357, 265, 419, 233, 155, 201, 231, 30, 301, 228, 96, 362, 0, 187, 200, 278, 447, 363, 263, 2, 332, 60, 55, 236, 299, 411, 0, 27, 9, 1, 198, 296, 93, 125, 176, 252, 345, 331, 151, 179, 0]</t>
  </si>
  <si>
    <t>X_n448</t>
  </si>
  <si>
    <t>[0, 179, 176, 288, 381, 335, 268, 348, 308, 70, 435, 101, 376, 284, 103, 63, 368, 345, 331, 0, 294, 370, 422, 343, 416, 436, 161, 170, 192, 186, 256, 152, 0, 267, 421, 442, 119, 65, 182, 12, 271, 359, 127, 342, 346, 168, 264, 401, 279, 164, 185, 98, 207, 382, 0, 89, 51, 310, 408, 173, 162, 377, 146, 64, 445, 3, 174, 42, 69, 341, 46, 142, 0, 352, 181, 121, 314, 330, 33, 289, 307, 433, 97, 407, 235, 167, 285, 166, 367, 41, 76, 0, 114, 254, 269, 19, 7, 44, 75, 147, 172, 158, 209, 193, 156, 61, 0, 25, 303, 392, 364, 52, 144, 373, 115, 270, 138, 18, 196, 104, 34, 277, 374, 47, 0, 112, 400, 418, 333, 431, 218, 438, 157, 194, 22, 169, 78, 148, 136, 402, 175, 0, 205, 102, 259, 206, 415, 393, 20, 91, 258, 329, 134, 135, 220, 251, 79, 0, 145, 353, 226, 54, 417, 123, 183, 306, 390, 354, 302, 67, 428, 426, 0, 323, 230, 80, 154, 189, 317, 132, 242, 88, 394, 321, 366, 178, 62, 292, 8, 315, 0, 124, 50, 312, 309, 380, 43, 225, 150, 137, 293, 313, 316, 221, 300, 247, 0, 350, 111, 282, 337, 122, 403, 385, 311, 86, 283, 210, 239, 204, 66, 56, 324, 351, 379, 0, 375, 272, 100, 53, 383, 404, 325, 371, 149, 298, 94, 229, 109, 31, 92, 214, 59, 0, 118, 72, 437, 90, 410, 427, 117, 129, 287, 190, 223, 250, 45, 248, 0, 10, 133, 347, 28, 139, 358, 35, 36, 318, 141, 95, 439, 365, 219, 399, 0, 108, 340, 246, 396, 446, 215, 58, 260, 126, 232, 131, 217, 0, 99, 262, 286, 120, 326, 128, 395, 327, 227, 424, 355, 26, 143, 244, 208, 0, 116, 444, 68, 281, 369, 110, 38, 11, 48, 387, 216, 74, 276, 202, 153, 391, 356, 423, 0, 245, 432, 15, 349, 234, 295, 23, 290, 274, 334, 73, 420, 212, 275, 163, 140, 0, 434, 441, 159, 29, 405, 409, 130, 360, 406, 386, 17, 344, 0, 83, 77, 280, 322, 448, 253, 297, 320, 81, 195, 107, 255, 171, 430, 0, 105, 197, 261, 291, 24, 443, 339, 213, 398, 361, 49, 199, 328, 0, 425, 224, 13, 6, 240, 305, 106, 336, 384, 37, 389, 5, 160, 0, 203, 113, 440, 71, 177, 191, 165, 184, 414, 243, 304, 32, 222, 338, 0, 241, 180, 419, 249, 39, 237, 16, 57, 188, 372, 388, 413, 211, 378, 0, 200, 85, 447, 429, 357, 265, 233, 155, 319, 412, 273, 4, 87, 257, 397, 201, 231, 40, 82, 0, 21, 60, 55, 332, 2, 263, 363, 301, 30, 96, 228, 362, 278, 84, 236, 299, 14, 266, 0, 27, 411, 9, 198, 1, 187, 296, 93, 125, 238, 252, 151, 0]</t>
  </si>
  <si>
    <t>[0, 345, 381, 368, 63, 335, 103, 284, 268, 192, 186, 267, 256, 288, 152, 0, 376, 70, 435, 294, 101, 343, 370, 422, 436, 161, 170, 142, 282, 111, 0, 348, 308, 182, 12, 416, 271, 359, 342, 346, 168, 264, 146, 279, 164, 127, 310, 89, 119, 382, 0, 421, 442, 65, 42, 51, 185, 408, 162, 289, 64, 377, 401, 307, 97, 3, 207, 0, 83, 352, 181, 167, 44, 19, 269, 18, 138, 433, 407, 254, 235, 174, 330, 33, 445, 173, 114, 314, 69, 98, 0, 344, 25, 193, 34, 22, 135, 329, 438, 218, 270, 115, 196, 104, 7, 75, 147, 121, 172, 341, 0, 367, 166, 61, 46, 374, 112, 54, 145, 441, 245, 0, 175, 169, 251, 134, 426, 67, 354, 91, 258, 157, 194, 431, 220, 333, 285, 0, 41, 158, 277, 79, 373, 20, 183, 123, 364, 156, 350, 0, 418, 209, 78, 306, 428, 390, 62, 302, 366, 178, 189, 393, 144, 415, 400, 0, 154, 221, 150, 88, 66, 298, 56, 149, 324, 94, 43, 394, 225, 321, 242, 132, 313, 317, 292, 392, 303, 0, 116, 337, 47, 315, 76, 8, 205, 230, 417, 226, 59, 99, 0, 402, 136, 148, 52, 316, 210, 293, 137, 239, 380, 204, 109, 229, 351, 31, 214, 283, 206, 353, 0, 102, 259, 80, 309, 318, 92, 129, 36, 287, 371, 190, 325, 139, 404, 383, 311, 45, 403, 14, 0, 312, 53, 86, 117, 215, 35, 395, 223, 446, 141, 95, 100, 385, 0, 72, 122, 437, 410, 427, 439, 120, 58, 128, 358, 227, 68, 326, 248, 10, 0, 50, 272, 90, 250, 28, 355, 260, 424, 327, 369, 110, 281, 38, 23, 202, 0, 247, 300, 396, 26, 48, 11, 73, 334, 274, 290, 443, 143, 208, 0, 81, 448, 261, 280, 379, 295, 234, 387, 216, 126, 246, 232, 131, 340, 133, 15, 0, 13, 212, 199, 213, 339, 420, 24, 291, 322, 349, 347, 153, 286, 375, 219, 0, 217, 276, 275, 297, 6, 106, 305, 361, 398, 49, 240, 253, 74, 405, 29, 0, 108, 399, 124, 159, 391, 195, 163, 244, 444, 118, 262, 323, 0, 171, 107, 197, 320, 440, 389, 71, 37, 384, 336, 184, 414, 188, 328, 338, 0, 356, 365, 140, 409, 113, 5, 177, 191, 165, 243, 372, 388, 16, 378, 85, 0, 425, 386, 432, 406, 130, 249, 39, 237, 222, 304, 57, 32, 211, 160, 231, 0, 238, 266, 77, 434, 423, 255, 360, 224, 419, 203, 105, 17, 180, 241, 430, 0, 187, 200, 429, 265, 233, 155, 413, 412, 273, 4, 87, 319, 257, 397, 40, 301, 0, 27, 296, 93, 125, 176, 252, 331, 151, 179, 0, 21, 228, 96, 30, 201, 357, 447, 84, 198, 411, 0, 9, 1, 299, 236, 332, 278, 362, 363, 263, 82, 2, 60, 55, 0]</t>
  </si>
  <si>
    <t>[0, 58, 174, 72, 361, 189, 177, 342, 424, 246, 115, 93, 24, 151, 282, 238, 0, 8, 270, 123, 414, 441, 431, 109, 350, 306, 250, 286, 223, 53, 182, 102, 448, 0, 16, 272, 333, 387, 453, 144, 97, 75, 337, 108, 420, 359, 410, 242, 255, 0, 166, 59, 36, 195, 78, 362, 399, 456, 40, 67, 373, 458, 179, 0, 416, 349, 113, 139, 1, 176, 407, 240, 69, 418, 135, 265, 208, 439, 0, 18, 146, 31, 164, 213, 343, 370, 63, 287, 73, 218, 323, 125, 35, 444, 0, 60, 409, 112, 427, 17, 85, 344, 318, 124, 376, 267, 358, 211, 77, 0, 281, 132, 81, 288, 383, 302, 203, 446, 295, 450, 204, 150, 447, 401, 207, 0, 10, 92, 197, 70, 388, 178, 101, 21, 12, 330, 360, 226, 440, 79, 0, 280, 405, 309, 3, 363, 107, 111, 117, 194, 161, 269, 345, 32, 96, 445, 87, 91, 0, 136, 278, 331, 225, 320, 140, 52, 301, 303, 98, 443, 100, 169, 233, 0, 256, 99, 365, 41, 134, 326, 432, 261, 385, 43, 217, 118, 191, 171, 366, 51, 257, 0, 327, 316, 298, 315, 209, 253, 82, 377, 149, 290, 94, 210, 159, 389, 411, 55, 425, 34, 371, 0, 231, 400, 222, 37, 391, 90, 27, 219, 285, 268, 49, 311, 423, 289, 0, 297, 273, 28, 2, 335, 279, 62, 437, 22, 163, 20, 57, 239, 188, 264, 398, 47, 0, 44, 455, 38, 308, 11, 357, 254, 199, 321, 128, 451, 412, 66, 142, 30, 0, 390, 143, 236, 147, 137, 292, 338, 152, 322, 248, 235, 157, 328, 364, 413, 71, 0, 347, 402, 214, 293, 190, 341, 172, 395, 48, 232, 162, 220, 417, 283, 180, 325, 0, 39, 244, 397, 216, 64, 435, 403, 122, 68, 332, 394, 324, 133, 348, 305, 168, 0, 247, 138, 276, 106, 258, 404, 14, 105, 452, 228, 415, 215, 224, 367, 356, 184, 277, 110, 434, 15, 33, 19, 227, 291, 205, 120, 426, 419, 351, 245, 26, 165, 0, 42, 300, 5, 340, 206, 126, 422, 129, 86, 193, 198, 202, 6, 167, 9, 0, 386, 181, 80, 249, 192, 173, 158, 141, 352, 45, 296, 7, 355, 408, 50, 0, 375, 121, 384, 104, 266, 201, 170, 156, 284, 368, 430, 433, 442, 334, 0, 381, 234, 312, 4, 294, 186, 183, 74, 114, 353, 103, 127, 229, 252, 454, 46, 54, 379, 145, 230, 185, 95, 429, 221, 259, 354, 317, 155, 310, 262, 56, 374, 421, 299, 130, 13, 148, 372, 275, 0, 304, 243, 154, 436, 428, 76, 200, 263, 196, 212, 89, 274, 382, 396, 0, 329, 380, 88, 393, 23, 187, 336, 457, 175, 378, 438, 61, 29, 25, 449, 307, 346, 314, 160, 271, 406, 313, 369, 339, 319, 237, 119, 241, 84, 83, 131, 65, 0, 116, 251, 392, 153, 260, 0]</t>
  </si>
  <si>
    <t>X_n458</t>
  </si>
  <si>
    <t>[0, 238, 345, 32, 282, 96, 151, 361, 270, 24, 342, 177, 182, 189, 16, 174, 58, 0, 444, 373, 67, 456, 410, 424, 246, 115, 93, 414, 242, 40, 102, 72, 8, 0, 448, 255, 166, 416, 359, 123, 441, 431, 109, 350, 306, 144, 164, 60, 281, 0, 179, 458, 18, 146, 31, 35, 132, 302, 383, 288, 92, 10, 445, 207, 0, 440, 98, 70, 349, 323, 75, 97, 250, 337, 108, 223, 387, 272, 81, 77, 0, 325, 169, 278, 331, 225, 140, 52, 197, 388, 203, 211, 343, 213, 87, 0, 136, 320, 257, 226, 301, 330, 12, 358, 78, 453, 286, 53, 420, 333, 0, 327, 298, 41, 401, 360, 59, 113, 399, 69, 176, 447, 303, 315, 19, 0, 143, 316, 443, 134, 209, 326, 82, 376, 101, 90, 451, 297, 142, 417, 26, 99, 0, 280, 79, 30, 236, 220, 289, 1, 446, 49, 423, 37, 214, 14, 38, 180, 0, 100, 412, 268, 139, 240, 85, 21, 285, 27, 279, 162, 404, 88, 271, 369, 83, 198, 371, 256, 0, 390, 125, 267, 195, 362, 407, 135, 51, 253, 2, 28, 402, 106, 183, 233, 0, 381, 276, 312, 165, 283, 245, 347, 232, 273, 311, 149, 295, 418, 344, 427, 124, 370, 36, 0, 91, 63, 287, 73, 218, 265, 208, 318, 290, 432, 357, 308, 137, 455, 44, 365, 0, 47, 260, 251, 307, 187, 103, 190, 335, 439, 450, 17, 112, 409, 150, 178, 366, 66, 147, 4, 234, 329, 0, 116, 380, 405, 393, 160, 186, 351, 419, 426, 292, 391, 254, 219, 159, 191, 118, 217, 204, 171, 94, 377, 0, 400, 23, 258, 127, 120, 110, 57, 20, 43, 385, 261, 210, 437, 199, 321, 128, 11, 338, 227, 0, 336, 294, 229, 291, 395, 413, 157, 328, 239, 163, 62, 22, 248, 152, 322, 341, 293, 0, 138, 65, 34, 392, 264, 25, 175, 54, 379, 184, 277, 434, 364, 235, 15, 33, 172, 48, 415, 71, 353, 114, 74, 457, 346, 314, 313, 406, 0, 222, 153, 449, 29, 188, 378, 411, 105, 454, 46, 252, 452, 205, 228, 224, 215, 367, 356, 389, 230, 185, 145, 429, 95, 259, 354, 317, 221, 155, 310, 262, 438, 61, 55, 237, 304, 0, 398, 131, 339, 319, 425, 119, 275, 436, 241, 84, 243, 396, 375, 42, 386, 0, 382, 309, 274, 196, 372, 200, 421, 374, 56, 76, 428, 154, 0, 247, 442, 433, 104, 212, 13, 299, 148, 263, 121, 0, 384, 0, 50, 334, 355, 181, 3, 80, 266, 201, 130, 89, 0, 9, 408, 86, 249, 368, 363, 430, 45, 296, 7, 0, 352, 141, 192, 173, 158, 284, 206, 156, 340, 170, 300, 0, 231, 168, 202, 39, 422, 403, 216, 397, 5, 126, 129, 193, 0, 167, 332, 68, 122, 244, 435, 64, 107, 111, 117, 394, 133, 6, 0, 348, 324, 194, 305, 161, 269, 0]</t>
  </si>
  <si>
    <t>[0, 233, 400, 247, 231, 168, 348, 6, 324, 117, 111, 194, 305, 161, 269, 345, 32, 238, 91, 0, 282, 96, 151, 270, 24, 93, 115, 246, 441, 424, 414, 342, 177, 182, 174, 44, 0, 58, 8, 361, 123, 431, 109, 350, 306, 250, 97, 337, 144, 286, 242, 40, 365, 0, 16, 359, 333, 399, 453, 176, 240, 69, 75, 108, 223, 53, 410, 189, 0, 179, 458, 102, 67, 456, 272, 420, 387, 362, 113, 78, 343, 358, 18, 180, 0, 255, 72, 373, 349, 139, 1, 407, 287, 63, 195, 59, 213, 416, 302, 281, 99, 0, 448, 146, 166, 164, 211, 267, 370, 376, 124, 318, 85, 418, 135, 450, 0, 77, 444, 81, 31, 36, 323, 344, 73, 218, 265, 208, 17, 203, 134, 207, 0, 405, 351, 204, 439, 295, 427, 112, 409, 150, 125, 446, 70, 197, 35, 132, 10, 0, 167, 133, 394, 332, 122, 107, 435, 64, 216, 397, 206, 198, 9, 386, 304, 138, 0, 327, 331, 440, 288, 60, 383, 12, 101, 178, 191, 118, 217, 43, 98, 419, 127, 0, 4, 205, 157, 57, 20, 385, 261, 210, 94, 21, 388, 330, 301, 92, 320, 443, 316, 0, 65, 42, 50, 408, 202, 39, 68, 403, 244, 422, 129, 355, 396, 375, 34, 325, 0, 225, 41, 140, 257, 52, 226, 360, 447, 366, 290, 171, 159, 149, 377, 303, 289, 165, 0, 256, 260, 398, 181, 80, 300, 156, 340, 5, 126, 158, 352, 86, 193, 45, 296, 7, 334, 0, 445, 136, 298, 401, 49, 82, 51, 335, 321, 253, 297, 100, 312, 0, 87, 280, 79, 278, 30, 402, 28, 432, 27, 90, 357, 322, 227, 220, 23, 222, 0, 169, 315, 285, 219, 62, 163, 239, 328, 364, 338, 273, 417, 147, 245, 26, 38, 0, 382, 442, 3, 249, 192, 141, 173, 284, 368, 363, 104, 121, 243, 131, 339, 47, 0, 116, 369, 83, 319, 275, 299, 421, 201, 170, 266, 430, 89, 384, 433, 309, 274, 0, 390, 209, 326, 268, 199, 279, 437, 22, 254, 311, 37, 308, 347, 236, 294, 455, 0, 371, 392, 153, 380, 393, 283, 106, 137, 214, 66, 412, 451, 391, 128, 2, 423, 143, 276, 381, 329, 0, 88, 234, 258, 426, 162, 293, 190, 48, 172, 15, 434, 413, 235, 248, 152, 11, 292, 142, 0, 103, 120, 404, 336, 160, 406, 251, 313, 264, 25, 425, 119, 200, 372, 148, 130, 13, 263, 196, 212, 154, 84, 0, 271, 314, 346, 449, 411, 29, 61, 55, 237, 241, 436, 428, 76, 56, 374, 354, 259, 317, 262, 438, 188, 310, 155, 221, 429, 95, 356, 184, 277, 110, 33, 232, 0, 187, 183, 457, 175, 307, 378, 105, 454, 46, 54, 379, 145, 185, 389, 230, 415, 367, 215, 224, 19, 395, 341, 291, 229, 228, 252, 452, 71, 353, 114, 14, 74, 186, 0]</t>
  </si>
  <si>
    <t>[0, 320, 55, 238, 76, 0, 154, 153, 314, 0, 191, 203, 105, 0, 57, 157, 335, 0, 291, 217, 362, 0, 380, 147, 248, 26, 0, 243, 326, 332, 0, 131, 467, 360, 0, 346, 264, 454, 0, 220, 132, 86, 0, 323, 80, 274, 0, 343, 106, 377, 441, 0, 459, 3, 17, 0, 289, 91, 160, 129, 0, 333, 447, 116, 388, 0, 437, 265, 417, 0, 99, 275, 348, 92, 0, 232, 448, 342, 113, 0, 445, 187, 144, 0, 287, 449, 155, 0, 223, 213, 245, 0, 199, 308, 176, 0, 414, 156, 214, 0, 148, 390, 35, 0, 28, 134, 118, 0, 234, 268, 201, 0, 77, 397, 376, 0, 207, 54, 186, 0, 357, 111, 48, 0, 225, 356, 336, 83, 0, 209, 354, 42, 0, 98, 107, 177, 0, 189, 20, 379, 0, 337, 180, 383, 329, 0, 435, 292, 418, 0, 269, 416, 241, 0, 139, 251, 1, 0, 110, 135, 133, 0, 224, 4, 33, 0, 128, 252, 67, 0, 65, 281, 394, 0, 304, 242, 25, 0, 101, 295, 358, 114, 0, 185, 14, 349, 0, 117, 183, 375, 0, 330, 338, 468, 0, 13, 60, 69, 0, 21, 88, 255, 344, 0, 138, 444, 49, 0, 261, 378, 19, 0, 231, 431, 206, 0, 258, 305, 190, 254, 0, 422, 421, 370, 0, 267, 303, 193, 0, 184, 246, 300, 0, 6, 159, 43, 0, 167, 82, 310, 0, 230, 96, 152, 10, 0, 432, 361, 23, 0, 122, 173, 130, 0, 15, 244, 236, 0, 103, 412, 266, 0, 136, 5, 9, 0, 68, 374, 194, 0, 121, 63, 182, 0, 45, 385, 181, 0, 210, 175, 368, 0, 72, 78, 211, 93, 0, 398, 253, 290, 0, 73, 381, 318, 0, 39, 285, 102, 0, 239, 408, 438, 0, 31, 221, 149, 0, 188, 51, 457, 0, 44, 301, 81, 280, 0, 334, 430, 97, 0, 22, 436, 61, 0, 341, 219, 197, 270, 0, 140, 123, 227, 386, 0, 237, 29, 263, 0, 307, 293, 109, 0, 40, 365, 443, 0, 299, 53, 366, 0, 395, 391, 321, 0, 278, 163, 401, 0, 442, 196, 439, 0, 322, 452, 222, 0, 95, 120, 297, 387, 0, 298, 286, 392, 0, 112, 198, 372, 0, 56, 127, 373, 0, 257, 409, 11, 325, 0, 382, 420, 324, 0, 229, 405, 331, 0, 389, 79, 151, 367, 0, 453, 262, 355, 0, 465, 62, 70, 426, 0, 353, 66, 169, 0, 30, 64, 256, 0, 126, 215, 371, 0, 425, 161, 345, 0, 352, 59, 424, 100, 0, 260, 87, 393, 7, 0, 428, 18, 250, 0, 423, 115, 458, 0, 125, 259, 228, 0, 178, 364, 406, 0, 288, 216, 172, 0, 440, 168, 455, 0, 249, 463, 94, 0, 16, 37, 273, 0, 462, 8, 319, 0, 146, 296, 279, 0, 427, 158, 413, 0, 272, 89, 179, 0, 2, 271, 466, 0, 402, 446, 282, 0, 165, 460, 404, 0, 71, 411, 124, 0, 90, 34, 170, 0, 456, 166, 419, 0, 84, 164, 339, 240, 0, 313, 327, 27, 284, 0, 340, 464, 312, 0, 200, 150, 218, 0, 369, 407, 461, 0, 384, 276, 451, 0, 52, 74, 450, 0, 36, 12, 171, 0, 195, 347, 142, 0, 205, 162, 294, 0, 434, 38, 283, 0, 137, 233, 32, 0, 119, 302, 328, 0, 396, 41, 429, 0, 145, 24, 235, 0, 75, 400, 415, 0, 212, 433, 403, 0, 226, 202, 317, 0, 58, 192, 247, 0, 141, 46, 363, 0, 309, 410, 315, 0, 359, 399, 85, 0, 104, 350, 47, 0, 143, 174, 208, 0, 108, 311, 0, 277, 306, 316, 0, 351, 204, 50, 0]</t>
  </si>
  <si>
    <t>X_n468</t>
  </si>
  <si>
    <t>[0, 424, 463, 124, 0, 31, 64, 288, 0, 56, 94, 466, 0, 450, 283, 392, 0, 367, 8, 271, 0, 352, 66, 30, 0, 127, 256, 100, 0, 411, 222, 319, 0, 79, 322, 389, 0, 318, 237, 216, 0, 301, 263, 151, 0, 218, 169, 286, 0, 373, 93, 452, 0, 81, 29, 221, 0, 39, 211, 280, 0, 44, 149, 9, 102, 0, 136, 182, 121, 0, 45, 285, 78, 0, 103, 230, 266, 0, 412, 82, 184, 0, 370, 5, 385, 0, 181, 432, 303, 0, 381, 63, 231, 0, 72, 10, 23, 152, 0, 167, 258, 361, 0, 73, 295, 244, 0, 193, 305, 246, 96, 0, 378, 261, 267, 0, 236, 1, 269, 0, 300, 251, 139, 0, 14, 33, 421, 0, 114, 422, 224, 0, 358, 183, 190, 310, 0, 207, 375, 117, 0, 54, 129, 349, 0, 185, 379, 4, 0, 186, 189, 416, 0, 91, 160, 153, 0, 20, 76, 289, 0, 57, 238, 314, 0, 191, 320, 3, 0, 55, 157, 217, 105, 0, 220, 291, 459, 0, 346, 203, 154, 0, 206, 19, 42, 0, 213, 467, 360, 0, 243, 362, 335, 0, 17, 332, 264, 0, 326, 388, 118, 248, 0, 241, 245, 155, 0, 343, 454, 147, 26, 0, 380, 92, 176, 336, 0, 333, 447, 275, 116, 0, 134, 418, 99, 0, 148, 437, 414, 0, 435, 83, 348, 0, 28, 21, 308, 0, 265, 199, 383, 25, 0, 131, 225, 292, 88, 0, 337, 329, 242, 0, 356, 304, 111, 0, 338, 290, 180, 468, 0, 197, 219, 253, 60, 0, 386, 408, 330, 0, 438, 341, 69, 0, 239, 13, 128, 0, 334, 123, 53, 11, 0, 97, 324, 398, 0, 140, 366, 255, 297, 0, 307, 107, 177, 0, 387, 401, 120, 0, 257, 227, 252, 0, 109, 293, 278, 0, 436, 368, 106, 0, 234, 441, 374, 0, 420, 163, 430, 0, 95, 409, 299, 325, 0, 405, 344, 331, 0, 270, 62, 259, 0, 126, 465, 70, 273, 0, 67, 194, 175, 0, 161, 158, 179, 0, 428, 18, 65, 0, 115, 215, 229, 0, 453, 382, 22, 0, 61, 355, 87, 404, 0, 281, 357, 35, 0, 423, 394, 390, 0, 48, 98, 268, 0, 262, 89, 393, 0, 313, 146, 168, 0, 250, 345, 210, 80, 0, 68, 377, 417, 0, 164, 260, 460, 0, 384, 426, 228, 0, 464, 125, 37, 0, 427, 425, 312, 0, 456, 455, 240, 0, 165, 296, 279, 0, 166, 371, 276, 0, 347, 7, 16, 0, 458, 440, 32, 0, 294, 272, 413, 302, 0, 142, 339, 328, 0, 451, 461, 84, 0, 12, 407, 429, 0, 171, 233, 363, 0, 399, 340, 195, 284, 0, 137, 119, 41, 0, 130, 34, 327, 419, 0, 27, 170, 282, 402, 0, 316, 208, 85, 0, 174, 359, 306, 0, 396, 46, 204, 351, 0, 162, 277, 108, 0, 141, 143, 50, 0, 58, 205, 311, 0, 104, 36, 47, 0, 90, 406, 369, 0, 350, 410, 315, 0, 309, 434, 403, 247, 0, 145, 75, 226, 0, 2, 317, 202, 0, 192, 212, 415, 0, 200, 150, 433, 0, 24, 52, 446, 0, 400, 74, 235, 0, 353, 59, 38, 0, 395, 365, 372, 0, 249, 364, 457, 0, 462, 71, 0, 198, 321, 40, 0, 442, 444, 122, 0, 43, 439, 298, 0, 391, 173, 0, 196, 159, 15, 0, 172, 138, 449, 0, 112, 49, 0, 113, 274, 133, 0, 6, 135, 51, 0, 443, 397, 101, 0, 376, 323, 448, 0, 342, 287, 178, 0, 187, 144, 254, 0, 431, 209, 445, 0, 232, 110, 188, 0, 201, 214, 132, 0, 156, 223, 77, 0, 354, 86, 0]</t>
  </si>
  <si>
    <t>[0, 450, 283, 74, 0, 218, 411, 352, 0, 271, 64, 367, 124, 0, 466, 100, 79, 0, 424, 463, 288, 0, 319, 373, 56, 0, 127, 151, 216, 0, 389, 169, 38, 0, 30, 44, 66, 0, 8, 94, 222, 0, 31, 280, 256, 0, 235, 59, 400, 0, 39, 452, 263, 0, 72, 301, 29, 93, 0, 81, 237, 45, 0, 102, 221, 322, 0, 103, 149, 211, 0, 381, 182, 318, 0, 136, 285, 9, 0, 78, 181, 5, 0, 266, 286, 392, 0, 73, 412, 167, 0, 385, 361, 246, 0, 432, 10, 184, 0, 370, 96, 152, 23, 0, 230, 82, 267, 0, 193, 300, 305, 0, 63, 236, 121, 0, 303, 421, 33, 0, 258, 190, 379, 0, 117, 183, 375, 0, 422, 349, 20, 0, 298, 198, 196, 0, 310, 114, 295, 0, 261, 1, 19, 0, 358, 185, 4, 0, 378, 251, 139, 0, 224, 14, 54, 0, 244, 431, 15, 0, 231, 241, 42, 0, 186, 129, 189, 0, 91, 160, 314, 154, 0, 207, 57, 153, 0, 238, 335, 264, 0, 76, 55, 203, 0, 269, 416, 245, 0, 320, 157, 248, 217, 0, 332, 118, 388, 447, 0, 362, 454, 147, 0, 353, 372, 172, 0, 439, 206, 159, 0, 289, 105, 116, 0, 17, 3, 360, 0, 291, 26, 380, 176, 0, 43, 101, 6, 0, 346, 326, 418, 0, 213, 467, 86, 0, 191, 92, 134, 336, 0, 112, 442, 376, 49, 0, 243, 459, 132, 0, 209, 354, 397, 0, 220, 83, 308, 0, 265, 437, 131, 0, 77, 223, 155, 0, 333, 275, 383, 356, 0, 417, 148, 390, 0, 377, 348, 292, 0, 99, 21, 242, 0, 343, 199, 435, 225, 0, 444, 187, 287, 0, 106, 28, 25, 180, 0, 304, 329, 88, 0, 80, 449, 323, 0, 214, 35, 156, 0, 111, 468, 60, 0, 357, 98, 67, 0, 13, 69, 290, 219, 0, 268, 234, 110, 0, 441, 330, 398, 0, 107, 338, 253, 120, 0, 252, 337, 128, 0, 48, 177, 374, 0, 430, 366, 341, 0, 394, 140, 53, 0, 438, 297, 255, 197, 0, 334, 401, 239, 0, 299, 11, 324, 123, 0, 61, 408, 68, 0, 293, 163, 227, 0, 257, 409, 331, 0, 386, 387, 344, 70, 0, 97, 420, 194, 0, 453, 405, 62, 0, 307, 161, 273, 0, 436, 175, 210, 0, 325, 278, 95, 22, 0, 465, 262, 259, 0, 455, 87, 158, 0, 65, 414, 274, 0, 365, 144, 448, 0, 229, 393, 460, 0, 51, 188, 135, 0, 165, 281, 457, 0, 270, 368, 423, 0, 215, 355, 179, 0, 445, 391, 254, 443, 0, 113, 138, 321, 0, 342, 232, 201, 282, 0, 109, 382, 425, 0, 345, 18, 115, 0, 313, 428, 126, 0, 458, 37, 89, 0, 164, 426, 312, 0, 250, 296, 240, 0, 249, 40, 395, 0, 406, 133, 122, 0, 456, 166, 170, 0, 419, 371, 7, 404, 0, 446, 130, 173, 0, 146, 228, 279, 0, 178, 364, 462, 0, 27, 464, 233, 0, 12, 327, 402, 284, 0, 34, 427, 440, 0, 260, 168, 413, 0, 90, 369, 36, 0, 340, 84, 16, 32, 0, 347, 407, 429, 0, 71, 2, 24, 0, 272, 125, 276, 302, 0, 200, 150, 433, 0, 52, 403, 415, 0, 162, 119, 41, 0, 195, 142, 339, 0, 384, 461, 328, 0, 212, 317, 247, 0, 137, 451, 208, 0, 75, 434, 226, 0, 294, 399, 363, 0, 396, 205, 202, 0, 309, 410, 192, 0, 58, 145, 315, 0, 104, 350, 47, 0, 141, 46, 143, 0, 311, 50, 0, 108, 306, 351, 0, 171, 85, 316, 0, 174, 359, 204, 0, 277, 0]</t>
  </si>
  <si>
    <t>[0, 247, 317, 245, 322, 445, 384, 0, 76, 438, 93, 381, 388, 206, 272, 0, 376, 353, 3, 154, 222, 383, 281, 28, 0, 90, 473, 213, 284, 370, 30, 465, 0, 125, 422, 325, 178, 158, 168, 280, 0, 476, 356, 300, 418, 416, 282, 352, 0, 250, 155, 342, 159, 262, 45, 89, 0, 47, 466, 149, 146, 63, 239, 437, 0, 436, 26, 148, 264, 42, 126, 0, 64, 312, 361, 405, 199, 214, 232, 0, 372, 293, 242, 397, 254, 241, 223, 0, 35, 194, 143, 6, 134, 151, 432, 0, 324, 142, 354, 106, 54, 14, 249, 0, 150, 273, 200, 360, 446, 294, 79, 0, 195, 373, 204, 271, 227, 4, 22, 0, 164, 40, 84, 141, 464, 99, 25, 0, 288, 248, 236, 426, 257, 59, 455, 0, 117, 313, 463, 46, 441, 415, 210, 255, 0, 304, 230, 36, 179, 177, 181, 0, 94, 53, 289, 176, 329, 219, 184, 0, 305, 44, 107, 391, 434, 443, 396, 0, 393, 207, 20, 48, 75, 31, 0, 85, 65, 62, 451, 163, 15, 0, 88, 189, 10, 453, 166, 374, 0, 29, 97, 479, 276, 268, 315, 18, 0, 81, 24, 244, 216, 364, 472, 348, 0, 136, 440, 124, 43, 338, 77, 0, 220, 156, 183, 261, 78, 123, 96, 0, 37, 87, 171, 308, 145, 21, 0, 433, 258, 337, 55, 458, 421, 0, 246, 419, 193, 235, 390, 265, 363, 0, 439, 371, 362, 95, 287, 461, 454, 0, 460, 401, 306, 263, 69, 228, 153, 0, 251, 74, 389, 139, 332, 412, 240, 0, 103, 411, 83, 68, 71, 459, 417, 0, 57, 456, 52, 350, 379, 382, 91, 0, 359, 170, 162, 404, 346, 256, 202, 0, 100, 449, 343, 50, 375, 160, 269, 0, 225, 13, 7, 259, 357, 224, 444, 0, 469, 5, 408, 111, 122, 274, 0, 310, 385, 137, 351, 167, 86, 423, 0, 144, 318, 16, 157, 231, 132, 307, 0, 253, 378, 60, 116, 11, 70, 448, 0, 457, 447, 105, 187, 218, 427, 413, 0, 165, 23, 471, 237, 66, 131, 0, 121, 474, 435, 395, 1, 33, 334, 0, 309, 429, 119, 344, 277, 73, 0, 114, 366, 212, 58, 430, 477, 0, 267, 38, 215, 217, 303, 409, 72, 0, 32, 402, 291, 135, 172, 104, 0, 197, 278, 326, 174, 298, 292, 399, 0, 314, 34, 190, 188, 17, 462, 102, 0, 39, 330, 299, 61, 182, 467, 127, 0, 112, 328, 406, 295, 173, 101, 319, 0, 340, 321, 229, 392, 109, 2, 152, 0, 327, 110, 191, 140, 275, 211, 0, 115, 478, 27, 420, 196, 234, 252, 0, 450, 394, 98, 185, 400, 301, 387, 243, 0, 133, 425, 9, 283, 320, 442, 226, 0, 51, 285, 198, 286, 147, 339, 367, 0, 349, 358, 180, 316, 120, 19, 0, 201, 336, 297, 233, 128, 208, 0, 424, 365, 311, 169, 380, 186, 12, 0, 92, 118, 403, 386, 130, 8, 0, 452, 41, 49, 302, 56, 475, 398, 0, 335, 468, 270, 296, 129, 470, 414, 0, 175, 368, 260, 331, 341, 345, 113, 0, 161, 428, 410, 205, 290, 192, 0, 333, 347, 67, 323, 279, 377, 369, 0, 221, 355, 138, 407, 266, 80, 0, 431, 209, 108, 82, 203, 238, 0]</t>
  </si>
  <si>
    <t>X_n479</t>
  </si>
  <si>
    <t>[0, 238, 335, 296, 470, 414, 369, 221, 0, 80, 355, 266, 138, 368, 407, 452, 129, 0, 424, 92, 118, 113, 260, 175, 333, 0, 270, 398, 341, 347, 67, 279, 0, 349, 133, 201, 12, 323, 269, 377, 0, 375, 50, 343, 41, 475, 449, 8, 0, 403, 186, 380, 56, 49, 345, 160, 0, 327, 365, 297, 302, 130, 331, 0, 336, 169, 208, 128, 367, 386, 0, 358, 311, 233, 339, 19, 115, 0, 340, 450, 320, 9, 147, 316, 198, 180, 0, 127, 400, 283, 286, 120, 425, 51, 0, 110, 394, 226, 442, 234, 243, 285, 0, 152, 301, 387, 196, 185, 252, 319, 0, 478, 98, 27, 420, 2, 101, 328, 0, 295, 173, 191, 140, 392, 109, 102, 0, 197, 104, 61, 462, 275, 467, 330, 0, 477, 34, 278, 229, 321, 211, 406, 0, 402, 215, 326, 190, 188, 299, 182, 0, 267, 172, 135, 435, 212, 274, 0, 454, 474, 237, 58, 291, 430, 112, 0, 39, 17, 298, 399, 277, 121, 0, 471, 38, 174, 292, 217, 303, 11, 0, 457, 116, 86, 202, 351, 429, 60, 0, 73, 1, 413, 344, 119, 395, 448, 0, 23, 66, 144, 256, 137, 167, 371, 0, 427, 218, 409, 16, 382, 91, 423, 0, 71, 346, 259, 231, 13, 72, 225, 0, 131, 70, 385, 68, 379, 52, 0, 69, 404, 132, 318, 157, 332, 78, 0, 359, 228, 389, 447, 187, 162, 170, 0, 461, 83, 96, 307, 105, 390, 7, 0, 350, 263, 363, 412, 193, 139, 0, 459, 251, 306, 74, 224, 240, 235, 183, 0, 153, 411, 460, 265, 419, 261, 156, 0, 258, 55, 417, 408, 444, 362, 0, 305, 443, 357, 123, 246, 401, 0, 453, 29, 97, 479, 276, 268, 315, 0, 207, 220, 18, 337, 87, 458, 95, 0, 195, 391, 434, 48, 20, 338, 0, 89, 47, 455, 107, 230, 304, 88, 0, 463, 288, 373, 179, 36, 223, 44, 0, 248, 352, 241, 177, 257, 181, 0, 250, 312, 204, 426, 254, 59, 396, 0, 329, 441, 236, 214, 282, 242, 361, 64, 0, 436, 262, 199, 397, 271, 46, 176, 0, 464, 45, 405, 146, 126, 4, 22, 313, 0, 117, 466, 227, 42, 416, 264, 293, 0, 99, 149, 232, 418, 148, 26, 280, 0, 84, 159, 239, 63, 300, 273, 0, 334, 253, 378, 103, 5, 456, 145, 0, 141, 342, 356, 437, 178, 422, 200, 0, 210, 374, 189, 166, 10, 43, 0, 415, 476, 155, 168, 158, 213, 360, 0, 383, 325, 125, 372, 40, 289, 0, 134, 294, 30, 222, 284, 370, 164, 255, 0, 219, 473, 445, 154, 90, 106, 0, 393, 150, 465, 281, 438, 93, 384, 76, 0, 31, 165, 33, 114, 314, 468, 0, 53, 142, 249, 54, 3, 381, 272, 0, 469, 171, 287, 111, 122, 366, 32, 0, 136, 77, 440, 421, 310, 100, 0, 439, 57, 21, 124, 308, 75, 0, 37, 433, 245, 388, 206, 353, 0, 143, 354, 317, 322, 247, 446, 0, 324, 6, 14, 28, 376, 216, 451, 0, 79, 65, 62, 25, 94, 184, 0, 81, 163, 151, 432, 194, 35, 309, 0, 108, 205, 85, 364, 472, 24, 0, 348, 15, 244, 290, 82, 209, 192, 0, 431, 203, 410, 428, 161, 0]</t>
  </si>
  <si>
    <t>[0, 127, 406, 101, 140, 301, 387, 420, 0, 115, 110, 478, 234, 27, 400, 320, 243, 0, 340, 211, 109, 275, 392, 462, 61, 467, 0, 39, 188, 17, 229, 182, 102, 0, 295, 173, 2, 191, 321, 330, 0, 152, 252, 185, 283, 9, 286, 226, 0, 450, 442, 98, 196, 339, 198, 425, 0, 327, 19, 285, 394, 319, 328, 0, 34, 197, 104, 299, 326, 267, 73, 0, 172, 278, 135, 291, 402, 430, 112, 0, 190, 292, 399, 277, 435, 471, 454, 0, 58, 38, 174, 298, 217, 215, 167, 0, 66, 429, 413, 344, 119, 256, 423, 0, 144, 225, 72, 409, 303, 218, 237, 0, 346, 404, 162, 13, 427, 395, 0, 23, 121, 474, 212, 202, 70, 371, 0, 363, 235, 318, 447, 105, 307, 382, 0, 228, 96, 69, 170, 351, 1, 477, 0, 306, 187, 16, 390, 7, 265, 246, 0, 91, 132, 157, 231, 139, 224, 74, 263, 0, 32, 131, 11, 137, 68, 71, 0, 314, 114, 33, 100, 469, 57, 0, 309, 366, 60, 86, 274, 310, 0, 461, 350, 385, 116, 457, 448, 0, 359, 411, 460, 401, 83, 52, 122, 0, 334, 378, 379, 459, 417, 5, 0, 103, 251, 123, 389, 357, 261, 29, 18, 0, 444, 456, 153, 332, 259, 156, 315, 0, 165, 362, 408, 337, 171, 145, 0, 95, 458, 287, 258, 55, 111, 0, 396, 220, 276, 78, 419, 193, 240, 0, 253, 87, 440, 421, 37, 53, 0, 434, 97, 479, 183, 412, 268, 433, 0, 44, 230, 107, 391, 443, 453, 0, 305, 304, 223, 36, 181, 59, 455, 0, 51, 120, 147, 233, 316, 180, 365, 0, 75, 20, 338, 43, 308, 124, 0, 195, 204, 179, 241, 254, 177, 257, 0, 207, 189, 10, 48, 166, 374, 0, 436, 282, 426, 4, 361, 312, 373, 0, 441, 236, 397, 271, 227, 45, 64, 0, 248, 466, 405, 199, 352, 416, 418, 0, 232, 126, 214, 242, 22, 89, 0, 201, 358, 311, 208, 128, 367, 56, 0, 288, 262, 293, 146, 42, 63, 26, 0, 133, 336, 297, 169, 302, 49, 0, 349, 118, 12, 130, 331, 41, 260, 368, 0, 31, 136, 21, 77, 88, 393, 0, 463, 47, 159, 149, 264, 148, 356, 0, 46, 313, 342, 239, 300, 437, 178, 0, 415, 476, 155, 168, 158, 213, 325, 0, 255, 176, 329, 210, 219, 439, 184, 0, 117, 250, 280, 372, 370, 284, 383, 0, 468, 424, 92, 449, 386, 380, 475, 0, 99, 360, 422, 125, 141, 84, 289, 0, 270, 403, 186, 8, 345, 341, 407, 0, 438, 93, 445, 30, 200, 40, 0, 138, 333, 175, 343, 398, 335, 0, 381, 154, 222, 473, 464, 164, 143, 0, 142, 150, 273, 90, 281, 388, 384, 0, 35, 94, 324, 6, 354, 432, 0, 194, 14, 106, 54, 62, 25, 0, 15, 163, 249, 465, 317, 3, 353, 0, 134, 294, 245, 322, 206, 272, 376, 0, 81, 151, 451, 446, 247, 76, 28, 0, 296, 129, 323, 113, 50, 67, 347, 0, 24, 79, 65, 216, 108, 82, 0, 428, 244, 364, 85, 205, 290, 0, 161, 472, 410, 203, 192, 209, 0, 279, 375, 160, 269, 377, 452, 0, 431, 348, 238, 0, 221, 355, 266, 470, 414, 80, 369, 0]</t>
  </si>
  <si>
    <t>[0, 378, 210, 48, 69, 29, 142, 237, 88, 113, 0, 319, 197, 19, 189, 180, 114, 73, 164, 181, 279, 0, 465, 27, 454, 308, 104, 408, 428, 335, 234, 187, 0, 121, 228, 107, 108, 93, 131, 97, 168, 135, 61, 327, 0, 15, 136, 90, 243, 6, 24, 245, 211, 0, 71, 49, 109, 230, 25, 79, 182, 240, 1, 16, 74, 184, 0, 244, 140, 118, 143, 146, 204, 96, 77, 206, 64, 255, 0, 63, 4, 175, 151, 130, 165, 0, 238, 239, 59, 270, 214, 462, 379, 226, 0, 56, 157, 161, 45, 116, 460, 145, 5, 39, 0, 128, 141, 162, 396, 320, 215, 66, 0, 144, 233, 72, 80, 236, 60, 139, 0, 433, 485, 466, 193, 200, 423, 170, 0, 344, 425, 134, 484, 487, 257, 216, 126, 229, 383, 0, 489, 264, 278, 364, 265, 269, 246, 0, 351, 203, 158, 347, 171, 14, 166, 0, 68, 55, 386, 227, 402, 247, 464, 446, 360, 419, 370, 316, 0, 297, 101, 183, 289, 224, 58, 220, 178, 0, 395, 389, 318, 315, 442, 336, 0, 84, 300, 333, 22, 304, 268, 458, 0, 149, 177, 271, 339, 89, 463, 441, 83, 393, 410, 0, 322, 260, 313, 334, 382, 385, 473, 148, 0, 160, 99, 47, 196, 125, 124, 87, 490, 155, 0, 156, 112, 478, 92, 52, 8, 57, 102, 0, 429, 36, 281, 208, 476, 0, 53, 207, 185, 127, 305, 11, 67, 367, 129, 192, 62, 0, 34, 405, 42, 474, 331, 17, 431, 0, 213, 174, 198, 95, 221, 138, 50, 312, 28, 0, 467, 202, 105, 403, 348, 376, 407, 46, 35, 418, 0, 91, 137, 20, 163, 30, 167, 119, 232, 43, 201, 223, 0, 132, 26, 486, 286, 280, 390, 469, 0, 301, 412, 298, 296, 341, 275, 10, 169, 241, 76, 0, 3, 217, 23, 219, 115, 120, 225, 450, 0, 357, 309, 250, 372, 299, 329, 488, 0, 263, 188, 44, 409, 199, 40, 0, 103, 325, 21, 253, 222, 38, 449, 422, 159, 0, 430, 186, 7, 276, 323, 415, 437, 416, 321, 380, 0, 452, 273, 78, 310, 100, 375, 381, 284, 374, 303, 434, 448, 0, 451, 324, 254, 311, 435, 346, 110, 366, 0, 444, 277, 314, 338, 354, 306, 424, 0, 54, 350, 369, 172, 94, 85, 51, 368, 259, 398, 0, 86, 365, 363, 274, 480, 41, 248, 282, 191, 272, 0, 209, 453, 481, 439, 377, 436, 65, 0, 373, 427, 267, 477, 468, 337, 394, 0, 122, 443, 287, 332, 471, 399, 0, 13, 472, 426, 342, 440, 391, 0, 349, 417, 447, 262, 475, 266, 0, 70, 173, 362, 106, 18, 256, 82, 330, 179, 0, 302, 461, 291, 249, 353, 361, 295, 445, 401, 0, 483, 251, 355, 345, 261, 190, 32, 0, 343, 470, 152, 218, 12, 205, 457, 387, 292, 307, 212, 0, 326, 290, 411, 242, 258, 438, 392, 0, 420, 2, 317, 482, 388, 397, 294, 293, 340, 359, 81, 0, 352, 154, 459, 400, 194, 288, 432, 0, 252, 31, 98, 150, 133, 37, 0, 111, 283, 285, 176, 404, 413, 0, 479, 455, 147, 235, 153, 328, 358, 0, 371, 456, 384, 123, 0, 9, 356, 406, 117, 195, 231, 0, 75, 33, 414, 421, 0]</t>
  </si>
  <si>
    <t>X_n490</t>
  </si>
  <si>
    <t>[0, 418, 132, 231, 75, 184, 93, 180, 121, 88, 428, 335, 234, 473, 0, 269, 454, 29, 108, 182, 204, 59, 118, 33, 431, 476, 0, 208, 34, 35, 46, 421, 479, 308, 104, 0, 331, 179, 301, 390, 407, 474, 42, 382, 408, 364, 0, 352, 154, 349, 36, 385, 0, 123, 170, 278, 19, 142, 164, 210, 378, 0, 414, 448, 17, 429, 187, 237, 113, 265, 0, 246, 327, 9, 212, 266, 343, 26, 322, 334, 0, 281, 376, 357, 434, 417, 469, 433, 0, 371, 489, 485, 423, 279, 197, 73, 69, 260, 0, 313, 405, 467, 202, 286, 280, 486, 0, 148, 16, 189, 181, 27, 465, 193, 0, 466, 24, 264, 455, 384, 456, 0, 65, 70, 447, 54, 309, 412, 298, 348, 105, 403, 0, 235, 350, 375, 169, 76, 275, 341, 10, 329, 296, 0, 117, 303, 250, 372, 452, 488, 241, 0, 420, 358, 381, 310, 78, 299, 273, 374, 398, 0, 262, 259, 368, 284, 100, 94, 369, 153, 0, 328, 413, 85, 51, 18, 106, 330, 173, 475, 0, 68, 483, 307, 81, 470, 82, 256, 172, 362, 0, 195, 356, 406, 340, 292, 457, 205, 218, 152, 359, 2, 0, 122, 283, 326, 176, 404, 0, 285, 302, 209, 399, 150, 0, 111, 86, 401, 293, 387, 294, 12, 459, 0, 400, 432, 443, 373, 13, 436, 444, 0, 288, 194, 290, 445, 287, 461, 377, 430, 40, 133, 0, 277, 472, 251, 295, 438, 317, 392, 0, 394, 355, 267, 365, 110, 199, 98, 0, 32, 471, 453, 346, 366, 28, 37, 0, 439, 332, 482, 258, 253, 159, 319, 0, 291, 361, 314, 422, 44, 188, 263, 0, 363, 427, 481, 440, 397, 388, 0, 272, 353, 242, 190, 261, 345, 191, 338, 0, 409, 312, 380, 249, 342, 411, 0, 5, 386, 213, 53, 103, 274, 477, 424, 391, 426, 0, 337, 468, 41, 324, 248, 450, 437, 311, 435, 354, 0, 91, 3, 186, 223, 201, 225, 415, 451, 254, 416, 480, 0, 174, 62, 217, 321, 276, 323, 282, 0, 102, 137, 120, 43, 219, 222, 38, 0, 351, 160, 57, 99, 92, 129, 198, 192, 50, 20, 21, 0, 207, 8, 185, 52, 221, 367, 167, 23, 232, 115, 449, 0, 149, 95, 127, 67, 119, 163, 7, 0, 58, 224, 84, 410, 11, 138, 30, 325, 306, 0, 177, 112, 305, 47, 478, 125, 124, 183, 203, 0, 166, 55, 87, 196, 271, 490, 336, 178, 101, 0, 72, 344, 158, 300, 289, 220, 0, 80, 395, 463, 89, 393, 156, 155, 0, 144, 339, 333, 268, 370, 389, 227, 236, 0, 14, 442, 441, 83, 22, 304, 402, 458, 39, 0, 238, 145, 171, 318, 419, 464, 247, 316, 0, 226, 60, 460, 347, 425, 257, 134, 360, 315, 0, 233, 383, 126, 446, 484, 487, 216, 229, 66, 0, 56, 128, 206, 77, 396, 162, 320, 0, 130, 157, 214, 96, 141, 379, 215, 0, 116, 462, 270, 64, 255, 151, 136, 0, 90, 63, 45, 109, 146, 230, 97, 0, 71, 79, 25, 143, 161, 239, 4, 15, 0, 211, 245, 165, 297, 31, 139, 252, 0, 6, 175, 49, 140, 1, 240, 168, 131, 74, 107, 0, 228, 114, 135, 61, 244, 243, 0, 147, 48, 200, 0]</t>
  </si>
  <si>
    <t>[0, 255, 161, 64, 141, 77, 96, 204, 462, 59, 118, 0, 226, 157, 143, 214, 146, 230, 79, 97, 93, 0, 5, 60, 45, 66, 402, 419, 134, 126, 379, 396, 270, 25, 0, 56, 145, 360, 216, 487, 162, 206, 109, 0, 320, 229, 484, 316, 227, 158, 166, 203, 0, 178, 336, 247, 464, 257, 171, 344, 80, 72, 0, 383, 446, 318, 442, 441, 386, 55, 233, 0, 236, 128, 116, 215, 315, 370, 177, 185, 0, 238, 151, 4, 239, 182, 168, 240, 131, 0, 84, 268, 304, 22, 83, 425, 347, 14, 460, 0, 165, 130, 63, 175, 49, 140, 1, 16, 184, 71, 244, 0, 101, 289, 149, 52, 367, 271, 333, 458, 389, 300, 0, 144, 393, 339, 463, 89, 490, 410, 224, 351, 0, 395, 87, 124, 125, 196, 47, 99, 160, 0, 69, 180, 108, 135, 74, 243, 6, 90, 136, 211, 0, 156, 8, 305, 11, 478, 112, 183, 0, 213, 207, 221, 67, 92, 127, 57, 0, 68, 31, 155, 39, 15, 297, 139, 252, 0, 198, 129, 95, 102, 58, 220, 0, 53, 91, 3, 174, 192, 138, 119, 232, 43, 23, 30, 50, 0, 24, 61, 107, 19, 189, 114, 228, 210, 0, 199, 217, 20, 163, 137, 62, 188, 98, 0, 245, 197, 121, 73, 29, 48, 164, 181, 279, 0, 103, 201, 120, 115, 219, 167, 312, 263, 0, 150, 28, 40, 44, 409, 159, 133, 0, 436, 430, 422, 38, 225, 222, 253, 21, 223, 444, 0, 277, 366, 110, 325, 7, 276, 450, 323, 415, 0, 314, 311, 321, 449, 186, 346, 13, 65, 0, 111, 399, 86, 377, 373, 153, 0, 122, 365, 380, 416, 437, 254, 41, 324, 248, 451, 191, 0, 283, 472, 282, 306, 435, 338, 363, 0, 209, 274, 480, 354, 267, 427, 0, 302, 355, 249, 337, 468, 477, 439, 394, 0, 483, 443, 272, 440, 424, 481, 453, 0, 406, 482, 397, 190, 261, 391, 342, 461, 287, 0, 328, 413, 401, 291, 471, 426, 353, 388, 294, 292, 0, 404, 251, 345, 242, 12, 457, 307, 0, 356, 438, 258, 411, 361, 32, 295, 0, 326, 445, 332, 317, 290, 285, 420, 0, 359, 392, 432, 176, 358, 117, 195, 448, 0, 2, 288, 194, 400, 293, 387, 205, 340, 0, 330, 470, 82, 51, 85, 256, 218, 152, 459, 343, 0, 266, 369, 172, 94, 106, 362, 81, 212, 0, 9, 475, 173, 18, 100, 310, 375, 381, 78, 350, 70, 0, 479, 235, 37, 147, 455, 264, 0, 447, 262, 259, 368, 284, 169, 329, 0, 179, 417, 54, 250, 309, 434, 357, 0, 376, 273, 372, 398, 154, 352, 301, 0, 298, 452, 10, 275, 76, 241, 299, 374, 349, 0, 231, 414, 371, 327, 142, 237, 334, 0, 423, 428, 27, 378, 319, 384, 456, 148, 0, 17, 390, 303, 296, 488, 341, 348, 105, 286, 0, 170, 123, 75, 0, 113, 88, 465, 278, 489, 421, 132, 0, 33, 407, 26, 280, 412, 403, 202, 0, 469, 331, 46, 486, 467, 42, 405, 474, 35, 0, 476, 431, 418, 34, 429, 281, 0, 382, 313, 104, 308, 454, 408, 335, 200, 485, 0, 246, 364, 466, 193, 234, 269, 385, 0, 36, 322, 260, 187, 265, 433, 473, 0, 208, 0]</t>
  </si>
  <si>
    <t>[0, 361, 430, 256, 89, 15, 375, 305, 62, 277, 322, 323, 334, 471, 0, 353, 204, 237, 465, 36, 327, 348, 8, 402, 34, 423, 372, 207, 0, 478, 338, 494, 65, 230, 178, 84, 127, 57, 285, 175, 417, 189, 0, 501, 463, 360, 30, 60, 48, 489, 413, 383, 241, 486, 306, 289, 0, 173, 500, 80, 415, 233, 318, 117, 432, 264, 78, 214, 104, 378, 0, 12, 43, 299, 496, 381, 326, 10, 152, 18, 74, 370, 368, 499, 0, 28, 260, 394, 461, 371, 424, 453, 240, 16, 316, 72, 142, 101, 0, 487, 267, 411, 447, 364, 79, 110, 263, 165, 3, 384, 388, 271, 0, 253, 220, 245, 258, 211, 122, 466, 464, 67, 239, 129, 136, 170, 0, 201, 155, 174, 280, 42, 73, 161, 116, 149, 329, 35, 90, 332, 0, 231, 103, 252, 362, 184, 112, 132, 439, 272, 290, 445, 485, 125, 0, 248, 61, 302, 244, 225, 71, 443, 336, 347, 58, 435, 212, 397, 0, 92, 281, 491, 462, 419, 139, 399, 284, 108, 295, 82, 490, 457, 0, 238, 227, 246, 287, 50, 369, 382, 389, 325, 259, 393, 191, 29, 0, 330, 477, 304, 311, 380, 431, 314, 483, 450, 294, 261, 442, 229, 0, 262, 236, 455, 26, 418, 1, 157, 333, 249, 94, 292, 283, 199, 0, 172, 146, 407, 218, 363, 312, 374, 158, 202, 163, 270, 9, 459, 0, 150, 205, 356, 13, 121, 454, 111, 401, 493, 5, 321, 144, 235, 0, 355, 452, 54, 179, 14, 313, 134, 274, 398, 46, 297, 344, 95, 0, 40, 99, 98, 350, 183, 232, 24, 446, 63, 357, 328, 118, 124, 0, 379, 19, 138, 45, 182, 87, 96, 11, 293, 479, 352, 91, 482, 0, 247, 257, 32, 70, 449, 300, 153, 137, 162, 268, 190, 143, 77, 0, 438, 472, 342, 340, 391, 308, 273, 441, 480, 497, 406, 151, 476, 0, 279, 100, 39, 468, 359, 309, 223, 460, 222, 37, 377, 115, 7, 0, 433, 395, 188, 88, 167, 386, 310, 409, 345, 224, 396, 331, 324, 0, 434, 123, 66, 492, 265, 209, 250, 217, 64, 337, 291, 219, 113, 0, 226, 484, 495, 425, 210, 403, 276, 107, 317, 426, 193, 181, 498, 0, 385, 186, 408, 119, 194, 367, 166, 488, 481, 376, 140, 458, 216, 0, 197, 221, 365, 187, 17, 242, 148, 176, 266, 47, 81, 474, 286, 0, 147, 169, 427, 164, 341, 296, 469, 412, 251, 315, 145, 44, 301, 0, 473, 105, 198, 171, 51, 444, 448, 106, 130, 234, 358, 254, 429, 0, 53, 437, 156, 2, 298, 451, 400, 228, 467, 76, 282, 83, 22, 0, 23, 20, 141, 120, 55, 38, 21, 69, 420, 133, 339, 440, 288, 0, 373, 180, 52, 4, 422, 392, 351, 135, 31, 131, 85, 349, 335, 0, 416, 168, 278, 86, 109, 390, 319, 387, 206, 404, 49, 128, 41, 0, 203, 303, 68, 255, 27, 195, 56, 196, 320, 177, 97, 354, 346, 0, 192, 405, 475, 410, 160, 470, 269, 59, 185, 343, 436, 25, 213, 0, 414, 243, 75, 154, 421, 215, 102, 428, 307, 208, 200, 366, 93, 0, 126, 456, 33, 114, 159, 275, 6, 0]</t>
  </si>
  <si>
    <t>X_n501</t>
  </si>
  <si>
    <t>[0, 6, 275, 41, 113, 476, 482, 151, 219, 291, 337, 404, 128, 126, 0, 438, 416, 114, 217, 183, 46, 479, 91, 406, 497, 49, 159, 456, 0, 434, 168, 86, 66, 340, 45, 293, 398, 352, 441, 206, 278, 33, 0, 379, 40, 138, 109, 390, 319, 64, 250, 265, 273, 235, 231, 125, 0, 191, 397, 342, 14, 344, 297, 209, 308, 391, 387, 472, 19, 123, 0, 199, 238, 118, 419, 95, 313, 262, 274, 5, 480, 11, 96, 492, 0, 124, 452, 229, 328, 357, 99, 249, 321, 236, 401, 493, 350, 87, 0, 487, 174, 347, 121, 179, 63, 182, 54, 477, 227, 92, 330, 283, 0, 355, 253, 457, 1, 418, 26, 134, 232, 144, 356, 94, 292, 205, 0, 29, 201, 212, 103, 333, 157, 261, 455, 111, 454, 24, 446, 98, 0, 287, 442, 13, 380, 244, 61, 304, 281, 246, 388, 499, 271, 150, 0, 28, 155, 393, 490, 259, 369, 382, 399, 284, 483, 450, 294, 431, 0, 478, 378, 501, 104, 445, 389, 311, 139, 50, 462, 491, 82, 485, 0, 101, 220, 435, 58, 362, 295, 248, 439, 71, 225, 314, 302, 325, 0, 353, 12, 189, 260, 447, 267, 280, 332, 184, 161, 79, 290, 108, 0, 384, 122, 67, 132, 443, 272, 336, 35, 112, 90, 252, 42, 245, 0, 411, 364, 165, 370, 368, 214, 306, 43, 289, 338, 433, 331, 177, 0, 463, 264, 263, 110, 466, 239, 149, 329, 129, 170, 73, 142, 394, 0, 116, 464, 453, 136, 258, 299, 471, 407, 218, 223, 176, 270, 459, 0, 78, 381, 371, 415, 152, 424, 240, 16, 316, 72, 211, 3, 74, 0, 360, 30, 57, 402, 84, 233, 10, 18, 326, 432, 500, 496, 173, 0, 241, 383, 413, 285, 230, 348, 15, 8, 127, 318, 117, 80, 461, 0, 207, 486, 175, 423, 65, 36, 375, 327, 34, 178, 489, 48, 60, 0, 204, 322, 323, 256, 430, 89, 62, 277, 305, 465, 372, 417, 494, 0, 193, 9, 279, 88, 310, 100, 137, 202, 162, 163, 146, 361, 172, 0, 395, 143, 188, 396, 167, 386, 268, 158, 374, 312, 363, 334, 237, 0, 216, 498, 458, 44, 315, 47, 409, 247, 426, 376, 224, 190, 77, 0, 145, 266, 488, 495, 39, 481, 484, 345, 251, 474, 181, 286, 324, 0, 301, 140, 226, 171, 147, 198, 169, 153, 317, 469, 467, 81, 105, 0, 156, 166, 32, 107, 276, 309, 300, 468, 70, 257, 425, 412, 385, 0, 429, 254, 53, 427, 296, 449, 194, 148, 51, 2, 164, 437, 282, 0, 473, 341, 210, 367, 359, 460, 222, 37, 242, 298, 133, 76, 83, 0, 195, 85, 451, 186, 187, 408, 119, 444, 358, 339, 197, 22, 288, 0, 440, 349, 221, 228, 448, 403, 17, 69, 106, 130, 141, 131, 255, 0, 196, 20, 120, 55, 38, 377, 21, 365, 420, 234, 400, 23, 27, 0, 180, 56, 52, 422, 392, 351, 31, 115, 135, 59, 269, 160, 410, 0, 335, 68, 320, 4, 470, 185, 343, 436, 25, 475, 192, 303, 373, 0, 428, 7, 102, 75, 215, 154, 213, 421, 405, 97, 203, 354, 346, 0, 414, 243, 307, 208, 200, 366, 93, 0]</t>
  </si>
  <si>
    <t>[0, 6, 49, 337, 291, 219, 406, 352, 482, 151, 476, 113, 41, 275, 0, 416, 114, 319, 265, 64, 206, 479, 91, 497, 404, 128, 456, 126, 0, 33, 159, 308, 293, 262, 483, 67, 80, 442, 253, 162, 425, 403, 0, 163, 137, 158, 407, 146, 189, 170, 313, 387, 278, 168, 438, 434, 0, 148, 70, 359, 153, 94, 87, 297, 46, 480, 441, 340, 390, 123, 0, 379, 19, 472, 138, 109, 217, 250, 157, 363, 374, 218, 202, 495, 0, 40, 86, 391, 446, 229, 458, 0, 66, 45, 182, 492, 401, 290, 413, 312, 32, 119, 437, 310, 279, 0, 200, 75, 154, 421, 25, 410, 160, 392, 4, 452, 99, 124, 0, 342, 273, 209, 144, 493, 399, 107, 420, 130, 234, 400, 296, 251, 0, 283, 292, 227, 246, 304, 302, 398, 24, 95, 96, 63, 328, 235, 0, 11, 321, 357, 484, 47, 468, 449, 309, 223, 242, 194, 298, 282, 0, 118, 232, 350, 183, 344, 454, 393, 97, 243, 366, 93, 0, 238, 176, 300, 460, 222, 37, 377, 436, 343, 59, 269, 131, 228, 0, 205, 92, 356, 98, 5, 274, 26, 142, 15, 322, 430, 361, 9, 0, 330, 287, 249, 179, 134, 236, 380, 136, 270, 268, 100, 88, 188, 0, 125, 397, 54, 261, 490, 422, 470, 185, 475, 7, 307, 0, 333, 418, 108, 389, 143, 190, 386, 426, 412, 317, 210, 56, 320, 0, 207, 58, 161, 419, 369, 121, 111, 1, 13, 281, 485, 487, 150, 0, 457, 477, 50, 14, 311, 244, 48, 27, 215, 102, 428, 346, 0, 355, 231, 491, 462, 325, 455, 71, 329, 10, 381, 220, 103, 12, 0, 259, 295, 139, 382, 314, 294, 450, 225, 132, 152, 372, 432, 332, 0, 199, 174, 316, 466, 272, 336, 61, 284, 431, 347, 445, 82, 212, 0, 201, 248, 338, 247, 51, 141, 135, 213, 405, 52, 68, 180, 203, 0, 29, 191, 155, 101, 411, 435, 252, 443, 439, 240, 494, 388, 478, 0, 55, 38, 21, 365, 186, 469, 409, 375, 239, 35, 362, 280, 501, 0, 245, 184, 73, 112, 149, 489, 0, 368, 30, 496, 16, 79, 464, 129, 116, 364, 211, 394, 42, 90, 0, 499, 360, 370, 173, 264, 318, 453, 110, 263, 122, 258, 447, 267, 0, 384, 74, 165, 424, 371, 233, 415, 84, 117, 461, 43, 378, 271, 0, 28, 104, 306, 299, 285, 178, 57, 127, 18, 326, 72, 3, 260, 0, 353, 289, 214, 78, 60, 175, 327, 348, 34, 8, 402, 500, 463, 0, 241, 486, 417, 383, 230, 423, 65, 465, 36, 305, 62, 89, 471, 0, 204, 237, 323, 277, 256, 334, 172, 459, 77, 433, 324, 0, 395, 396, 224, 167, 39, 257, 481, 266, 145, 193, 286, 216, 0, 498, 331, 181, 376, 226, 345, 171, 198, 467, 197, 22, 0, 474, 140, 105, 315, 147, 488, 169, 164, 81, 385, 254, 429, 335, 0, 301, 44, 427, 166, 341, 367, 276, 69, 17, 187, 156, 53, 473, 0, 85, 23, 451, 448, 408, 444, 2, 133, 339, 83, 440, 288, 0, 76, 221, 358, 120, 106, 31, 115, 351, 20, 196, 373, 0, 354, 303, 255, 349, 195, 192, 177, 208, 414, 0]</t>
  </si>
  <si>
    <t>[0, 507, 52, 45, 154, 145, 95, 139, 117, 230, 92, 22, 37, 244, 192, 136, 179, 78, 72, 235, 90, 356, 185, 247, 166, 207, 218, 199, 369, 388, 0, 269, 267, 109, 255, 211, 331, 390, 187, 126, 189, 63, 250, 125, 32, 233, 210, 245, 170, 226, 77, 177, 447, 370, 487, 422, 326, 0, 420, 118, 284, 349, 436, 411, 497, 6, 289, 368, 64, 70, 28, 325, 205, 107, 40, 437, 178, 18, 256, 75, 3, 176, 498, 47, 142, 391, 324, 0, 152, 219, 73, 215, 265, 114, 491, 445, 320, 375, 252, 25, 381, 173, 131, 134, 409, 450, 385, 457, 510, 439, 31, 425, 0, 482, 466, 347, 292, 5, 382, 261, 341, 313, 464, 460, 161, 472, 433, 404, 329, 260, 266, 287, 91, 506, 0, 458, 358, 435, 473, 440, 4, 106, 85, 183, 171, 138, 294, 323, 111, 188, 432, 373, 276, 479, 501, 407, 150, 160, 0, 366, 140, 410, 277, 193, 285, 352, 194, 319, 213, 157, 94, 254, 198, 451, 431, 201, 316, 182, 318, 251, 282, 512, 342, 0, 361, 379, 490, 456, 335, 307, 413, 453, 253, 93, 438, 434, 15, 9, 469, 353, 398, 403, 306, 380, 467, 222, 389, 34, 327, 350, 328, 0, 383, 234, 97, 299, 305, 297, 258, 363, 96, 348, 492, 345, 314, 108, 371, 443, 159, 339, 296, 208, 362, 455, 360, 481, 259, 495, 58, 0, 386, 143, 480, 414, 423, 471, 462, 387, 396, 315, 505, 317, 14, 448, 272, 21, 394, 36, 417, 41, 0, 374, 406, 444, 283, 359, 493, 300, 399, 474, 412, 441, 129, 302, 295, 509, 271, 304, 301, 477, 483, 303, 357, 0, 119, 376, 354, 355, 273, 395, 167, 365, 484, 503, 151, 127, 511, 344, 310, 508, 197, 442, 10, 263, 337, 217, 238, 57, 0, 321, 334, 338, 216, 364, 121, 476, 203, 488, 426, 262, 494, 55, 281, 367, 500, 408, 274, 465, 298, 206, 333, 454, 377, 46, 446, 288, 19, 0, 237, 13, 311, 427, 308, 249, 240, 268, 264, 50, 489, 475, 504, 275, 29, 384, 449, 79, 428, 12, 485, 141, 401, 415, 312, 343, 0, 232, 248, 397, 400, 270, 463, 279, 424, 486, 293, 405, 346, 452, 257, 242, 459, 372, 223, 290, 105, 82, 340, 468, 421, 56, 0, 101, 416, 115, 419, 148, 2, 113, 44, 246, 146, 175, 110, 164, 225, 89, 220, 291, 330, 351, 336, 59, 158, 229, 42, 74, 0, 86, 502, 88, 499, 322, 332, 309, 392, 461, 478, 496, 286, 130, 430, 165, 402, 163, 98, 38, 80, 62, 224, 0, 378, 156, 23, 153, 104, 169, 137, 200, 65, 76, 11, 51, 239, 195, 227, 186, 190, 26, 102, 221, 67, 43, 33, 8, 83, 429, 39, 0, 7, 174, 53, 35, 228, 99, 123, 24, 212, 155, 120, 172, 181, 61, 196, 236, 112, 231, 122, 144, 87, 470, 278, 162, 133, 0, 48, 132, 71, 60, 241, 202, 54, 149, 16, 147, 103, 100, 66, 214, 191, 1, 243, 209, 418, 280, 0, 81, 393, 124, 30, 204, 20, 180, 135, 17, 84, 168, 68, 128, 116, 184, 49, 27, 69, 0]</t>
  </si>
  <si>
    <t>X_n512</t>
  </si>
  <si>
    <t>[0, 224, 19, 288, 338, 334, 383, 490, 238, 216, 421, 364, 377, 105, 290, 223, 397, 165, 88, 232, 502, 340, 46, 468, 446, 62, 133, 0, 355, 57, 56, 162, 80, 38, 278, 98, 163, 402, 499, 248, 478, 430, 231, 112, 122, 470, 87, 144, 236, 61, 181, 172, 120, 155, 0, 86, 400, 496, 130, 286, 461, 392, 309, 332, 486, 452, 257, 463, 322, 270, 372, 459, 465, 298, 206, 333, 82, 121, 263, 167, 283, 0, 357, 234, 395, 273, 476, 10, 203, 508, 281, 494, 367, 262, 500, 408, 293, 405, 346, 424, 279, 242, 274, 426, 454, 337, 217, 0, 321, 303, 444, 97, 483, 359, 365, 484, 503, 310, 197, 488, 55, 344, 511, 151, 127, 314, 108, 345, 477, 493, 455, 360, 481, 376, 0, 374, 379, 140, 362, 442, 301, 302, 295, 304, 271, 509, 371, 194, 213, 319, 443, 96, 412, 399, 479, 327, 259, 495, 0, 209, 354, 299, 305, 258, 441, 129, 363, 492, 348, 438, 434, 352, 157, 285, 339, 253, 222, 335, 456, 406, 361, 0, 328, 350, 282, 501, 358, 318, 34, 208, 307, 296, 431, 94, 9, 469, 15, 93, 159, 353, 453, 297, 474, 0, 458, 252, 473, 373, 182, 316, 201, 106, 183, 171, 138, 254, 198, 451, 323, 193, 380, 306, 403, 398, 300, 277, 467, 413, 410, 251, 407, 512, 0, 420, 439, 510, 457, 385, 450, 375, 409, 440, 4, 189, 63, 250, 32, 233, 125, 85, 294, 111, 188, 389, 276, 432, 435, 150, 342, 58, 160, 0, 366, 31, 114, 491, 445, 320, 134, 131, 173, 25, 381, 126, 210, 170, 245, 218, 226, 390, 331, 211, 265, 118, 0, 119, 215, 73, 255, 487, 177, 187, 77, 199, 185, 247, 207, 166, 179, 78, 72, 90, 356, 154, 45, 52, 388, 369, 447, 370, 466, 269, 0, 219, 267, 109, 284, 347, 5, 382, 349, 436, 411, 507, 497, 464, 433, 313, 261, 341, 292, 480, 91, 326, 417, 0, 280, 386, 422, 460, 6, 145, 235, 136, 192, 244, 37, 22, 92, 230, 117, 95, 161, 266, 391, 414, 287, 143, 324, 152, 506, 237, 0, 312, 415, 13, 14, 315, 142, 240, 289, 472, 404, 387, 505, 317, 462, 329, 471, 260, 423, 272, 21, 36, 482, 425, 0, 101, 343, 394, 448, 311, 396, 368, 64, 70, 28, 139, 325, 205, 107, 40, 47, 268, 427, 308, 485, 141, 416, 156, 378, 74, 0, 418, 69, 39, 81, 229, 158, 401, 428, 79, 475, 115, 275, 504, 3, 256, 178, 437, 176, 498, 264, 249, 50, 489, 12, 41, 42, 0, 59, 336, 351, 330, 220, 291, 148, 2, 419, 449, 384, 29, 18, 75, 113, 44, 246, 146, 175, 110, 164, 225, 89, 23, 429, 0, 393, 83, 153, 104, 169, 137, 200, 65, 76, 11, 51, 239, 195, 227, 102, 8, 128, 49, 27, 184, 7, 48, 0, 116, 124, 33, 30, 26, 186, 190, 67, 221, 43, 204, 84, 168, 1, 243, 132, 0, 68, 71, 60, 241, 202, 135, 17, 20, 180, 54, 149, 16, 147, 103, 123, 100, 214, 191, 0, 174, 53, 35, 196, 24, 212, 99, 228, 66, 0]</t>
  </si>
  <si>
    <t>[0, 383, 380, 431, 451, 285, 352, 94, 157, 213, 319, 194, 314, 108, 371, 443, 434, 159, 348, 363, 441, 345, 503, 365, 10, 476, 377, 0, 334, 273, 263, 203, 508, 310, 304, 295, 509, 151, 127, 511, 344, 55, 281, 494, 488, 262, 367, 500, 408, 274, 298, 465, 452, 405, 293, 279, 0, 56, 238, 337, 442, 197, 484, 271, 129, 302, 492, 96, 339, 93, 438, 15, 9, 469, 403, 277, 253, 399, 301, 167, 0, 86, 446, 468, 46, 105, 333, 290, 223, 270, 463, 424, 486, 346, 257, 242, 206, 426, 82, 454, 121, 364, 421, 216, 288, 0, 57, 217, 477, 474, 412, 258, 453, 398, 353, 306, 193, 198, 254, 138, 171, 183, 125, 85, 106, 323, 297, 300, 305, 299, 395, 0, 338, 234, 97, 483, 359, 493, 208, 307, 296, 413, 222, 389, 467, 188, 201, 316, 111, 294, 4, 134, 440, 182, 335, 456, 455, 140, 357, 0, 425, 361, 355, 406, 379, 479, 473, 450, 432, 373, 276, 410, 34, 362, 283, 444, 303, 321, 376, 354, 119, 0, 58, 366, 495, 374, 259, 360, 490, 327, 318, 251, 435, 409, 131, 173, 189, 63, 250, 32, 233, 210, 381, 25, 252, 358, 282, 512, 328, 342, 0, 162, 88, 402, 165, 496, 130, 286, 461, 392, 309, 332, 478, 322, 459, 372, 400, 397, 499, 248, 232, 340, 502, 62, 19, 0, 386, 284, 487, 331, 215, 458, 31, 439, 457, 510, 445, 320, 375, 385, 407, 501, 350, 481, 150, 160, 224, 280, 0, 420, 109, 491, 187, 126, 226, 170, 245, 199, 218, 207, 166, 247, 185, 45, 154, 356, 90, 235, 145, 72, 78, 179, 136, 192, 244, 37, 22, 92, 117, 18, 0, 482, 269, 422, 466, 347, 382, 370, 447, 349, 507, 411, 52, 388, 369, 77, 177, 390, 211, 265, 114, 73, 255, 219, 0, 418, 209, 133, 80, 38, 98, 163, 430, 231, 112, 61, 181, 172, 120, 155, 212, 24, 122, 87, 470, 278, 7, 48, 0, 506, 36, 326, 267, 118, 324, 5, 341, 436, 497, 464, 6, 161, 472, 266, 260, 462, 391, 423, 414, 101, 237, 42, 0, 471, 176, 437, 75, 178, 40, 107, 205, 325, 139, 230, 95, 28, 70, 64, 368, 289, 460, 433, 313, 261, 292, 143, 91, 152, 0, 343, 272, 448, 14, 317, 315, 396, 268, 504, 29, 256, 3, 498, 47, 240, 142, 387, 404, 505, 329, 287, 480, 417, 0, 27, 116, 184, 132, 191, 214, 66, 228, 16, 149, 135, 180, 54, 147, 103, 100, 123, 99, 196, 236, 144, 35, 53, 174, 0, 312, 415, 21, 13, 416, 485, 12, 428, 308, 427, 311, 249, 264, 50, 489, 79, 475, 115, 275, 384, 449, 419, 148, 336, 158, 0, 156, 429, 23, 89, 225, 200, 65, 186, 227, 195, 239, 51, 11, 76, 175, 110, 164, 146, 246, 44, 113, 2, 220, 291, 330, 351, 59, 141, 401, 394, 41, 0, 69, 39, 49, 128, 124, 84, 204, 221, 67, 20, 17, 202, 241, 60, 168, 68, 71, 1, 243, 74, 0, 229, 378, 83, 153, 104, 169, 137, 102, 26, 190, 43, 30, 33, 8, 393, 81, 0]</t>
  </si>
  <si>
    <t>[0, 33, 82, 418, 316, 327, 0, 352, 95, 0, 64, 184, 0, 504, 207, 480, 299, 121, 522, 0, 173, 0, 379, 114, 0, 78, 59, 0, 511, 413, 50, 347, 284, 349, 0, 29, 0, 193, 0, 496, 26, 510, 263, 468, 218, 0, 129, 0, 24, 93, 0, 431, 230, 338, 420, 523, 440, 304, 58, 419, 254, 227, 368, 0, 283, 265, 360, 83, 424, 458, 249, 296, 0, 5, 148, 373, 0, 384, 96, 0, 366, 169, 118, 0, 21, 0, 464, 187, 454, 330, 0, 101, 68, 0, 15, 310, 0, 55, 512, 314, 429, 220, 285, 388, 438, 0, 359, 152, 506, 311, 308, 0, 150, 262, 343, 0, 157, 137, 0, 61, 0, 100, 0, 488, 499, 247, 155, 490, 250, 350, 479, 425, 509, 269, 225, 288, 315, 0, 161, 0, 500, 437, 461, 143, 433, 497, 0, 369, 362, 441, 491, 481, 432, 387, 117, 0, 120, 185, 0, 233, 469, 398, 380, 228, 80, 319, 370, 0, 76, 402, 455, 27, 0, 177, 266, 0, 75, 275, 222, 358, 482, 246, 357, 409, 281, 213, 290, 0, 179, 0, 86, 223, 367, 0, 111, 3, 0, 81, 31, 0, 6, 354, 444, 494, 292, 0, 178, 14, 0, 158, 519, 521, 400, 235, 0, 107, 0, 134, 356, 277, 0, 39, 385, 394, 305, 255, 374, 498, 0, 165, 4, 0, 445, 475, 502, 322, 214, 181, 0, 404, 94, 0, 18, 0, 1, 0, 69, 0, 126, 175, 0, 133, 92, 0, 204, 320, 416, 0, 166, 518, 237, 393, 0, 105, 0, 151, 74, 0, 44, 0, 176, 243, 236, 208, 329, 231, 331, 0, 273, 336, 342, 392, 507, 324, 460, 209, 462, 435, 42, 0, 115, 334, 401, 470, 428, 337, 0, 36, 264, 487, 411, 300, 0, 493, 54, 389, 371, 318, 436, 442, 302, 271, 0, 144, 138, 0, 278, 430, 335, 199, 245, 259, 467, 457, 363, 253, 321, 426, 0, 450, 215, 248, 474, 99, 261, 280, 503, 326, 242, 0, 37, 505, 212, 434, 412, 291, 282, 0, 154, 103, 257, 375, 0, 459, 508, 229, 102, 276, 516, 309, 355, 325, 421, 221, 0, 22, 241, 323, 395, 513, 478, 303, 297, 383, 489, 0, 471, 408, 446, 149, 415, 279, 476, 377, 514, 232, 0, 206, 171, 17, 0, 365, 9, 217, 339, 448, 0, 452, 301, 60, 270, 376, 351, 0, 449, 306, 188, 287, 465, 289, 403, 294, 443, 268, 466, 333, 0, 170, 340, 238, 361, 405, 312, 410, 477, 0, 372, 495, 13, 391, 407, 317, 447, 427, 0, 52, 198, 520, 0, 136, 381, 378, 252, 456, 295, 293, 216, 267, 210, 0, 25, 123, 414, 298, 0, 332, 484, 46, 486, 0, 196, 234, 422, 348, 251, 390, 501, 463, 386, 397, 0, 195, 515, 485, 345, 417, 224, 346, 0, 106, 423, 258, 260, 226, 382, 0, 113, 364, 272, 328, 0, 71, 205, 0, 84, 164, 286, 0, 473, 91, 399, 239, 240, 244, 0, 203, 0, 168, 189, 396, 0, 192, 307, 483, 406, 0, 119, 0, 8, 131, 0, 135, 0, 153, 88, 0, 439, 19, 344, 0, 201, 141, 0, 112, 353, 313, 492, 453, 0, 194, 66, 0, 23, 256, 341, 0, 56, 451, 219, 0, 35, 211, 0, 174, 0, 20, 0, 180, 274, 517, 0, 147, 0, 70, 127, 0, 90, 45, 0, 162, 0, 186, 0, 38, 0, 10, 0, 140, 0, 104, 130, 0, 77, 0, 163, 30, 0, 43, 0, 145, 200, 0, 11, 0, 182, 0, 159, 191, 0, 116, 0, 97, 0, 16, 0, 472, 57, 122, 0, 41, 0, 73, 0, 146, 0, 34, 0, 65, 0, 51, 0, 160, 0, 202, 0, 142, 89, 0, 190, 0, 63, 0, 109, 0, 2, 49, 0, 85, 0, 53, 0, 124, 79, 0, 48, 0, 7, 0, 32, 0, 28, 167, 0, 197, 0, 108, 0, 132, 125, 0, 87, 0, 12, 0, 156, 0, 172, 0, 139, 0, 47, 0, 72, 0, 183, 0, 110, 0, 128, 0, 67, 0, 62, 0, 98, 0, 40, 0]</t>
  </si>
  <si>
    <t>X_n523</t>
  </si>
  <si>
    <t>[0, 326, 503, 99, 516, 280, 261, 441, 491, 481, 432, 384, 0, 242, 264, 144, 510, 5, 0, 496, 522, 284, 468, 218, 330, 402, 411, 487, 276, 102, 325, 375, 0, 372, 343, 327, 418, 299, 263, 454, 369, 154, 229, 474, 257, 0, 416, 508, 103, 76, 320, 0, 471, 339, 421, 514, 377, 198, 408, 248, 404, 455, 387, 349, 379, 0, 138, 125, 520, 351, 0, 266, 362, 7, 300, 0, 45, 270, 476, 279, 415, 309, 355, 446, 217, 215, 0, 459, 160, 301, 373, 0, 149, 449, 381, 378, 252, 456, 295, 293, 0, 221, 210, 485, 267, 216, 287, 306, 52, 0, 232, 294, 289, 9, 452, 367, 0, 127, 84, 365, 0, 60, 465, 403, 260, 0, 202, 286, 466, 333, 0, 122, 167, 450, 0, 106, 515, 423, 353, 313, 258, 382, 0, 406, 332, 268, 32, 223, 0, 73, 417, 396, 439, 492, 256, 0, 136, 345, 226, 224, 376, 448, 0, 188, 164, 346, 397, 0, 87, 443, 337, 0, 70, 168, 344, 272, 0, 189, 89, 341, 453, 483, 0, 23, 274, 517, 219, 501, 364, 0, 211, 451, 239, 399, 251, 145, 390, 405, 407, 386, 473, 0, 195, 240, 317, 427, 0, 463, 66, 51, 0, 447, 410, 391, 361, 348, 182, 422, 412, 428, 495, 0, 112, 307, 470, 237, 331, 290, 0, 328, 142, 191, 0, 85, 131, 278, 0, 34, 30, 477, 0, 312, 180, 234, 489, 383, 297, 303, 513, 291, 0, 321, 153, 205, 0, 57, 130, 0, 124, 49, 0, 445, 282, 484, 271, 63, 0, 16, 430, 426, 486, 493, 298, 0, 90, 414, 395, 478, 505, 0, 244, 65, 393, 0, 11, 302, 442, 342, 401, 518, 0, 19, 0, 206, 35, 335, 475, 235, 0, 77, 238, 457, 0, 38, 0, 10, 340, 318, 0, 146, 0, 91, 434, 323, 241, 0, 28, 88, 0, 97, 0, 502, 400, 334, 392, 174, 231, 273, 0, 159, 171, 0, 147, 467, 0, 56, 212, 245, 460, 209, 0, 163, 123, 0, 336, 20, 436, 208, 255, 521, 213, 0, 201, 141, 389, 0, 2, 104, 374, 0, 113, 259, 329, 494, 0, 292, 214, 305, 462, 324, 253, 371, 363, 8, 0, 41, 0, 43, 0, 116, 322, 233, 315, 506, 0, 519, 444, 435, 135, 507, 498, 0, 133, 236, 194, 0, 192, 243, 385, 354, 500, 370, 0, 13, 394, 358, 482, 246, 357, 319, 311, 0, 196, 0, 71, 4, 0, 25, 17, 0, 22, 222, 275, 425, 398, 409, 281, 308, 0, 469, 74, 199, 0, 170, 380, 228, 479, 461, 288, 0, 433, 314, 490, 250, 350, 509, 269, 92, 356, 0, 437, 175, 42, 0, 203, 0, 119, 497, 0, 46, 0, 165, 225, 488, 285, 262, 310, 0, 151, 126, 0, 54, 0, 37, 0, 115, 499, 247, 429, 220, 0, 140, 0, 166, 0, 176, 0, 81, 178, 0, 69, 424, 512, 419, 304, 458, 249, 0, 359, 39, 254, 227, 0, 80, 360, 440, 265, 0, 6, 283, 230, 0, 157, 120, 0, 18, 0, 134, 368, 0, 420, 338, 523, 158, 388, 0, 15, 0, 150, 0, 181, 0, 152, 296, 0, 137, 75, 0, 44, 0, 143, 0, 185, 14, 0, 100, 0, 155, 55, 0, 156, 0, 58, 31, 0, 83, 431, 0, 129, 0, 193, 352, 0, 173, 0, 95, 277, 0, 29, 0, 82, 33, 0, 61, 0, 183, 0, 59, 78, 0, 316, 184, 148, 0, 139, 0, 62, 0, 64, 79, 0, 207, 50, 0, 128, 0, 480, 121, 0, 511, 114, 0, 413, 96, 0, 26, 438, 0, 504, 24, 0, 72, 0, 111, 3, 0, 161, 0, 107, 0, 172, 0, 187, 0, 21, 0, 101, 347, 93, 0, 67, 0, 68, 169, 0, 464, 86, 0, 366, 117, 0, 118, 27, 0, 94, 0, 177, 0, 179, 0, 1, 0, 110, 0, 108, 0, 48, 0, 40, 0, 204, 0, 472, 105, 0, 36, 0, 162, 0, 190, 0, 98, 0, 197, 0, 186, 0, 47, 0, 109, 0, 200, 132, 0, 53, 0, 12, 0]</t>
  </si>
  <si>
    <t>[0, 497, 311, 499, 185, 490, 512, 419, 254, 458, 360, 227, 440, 523, 0, 283, 265, 304, 424, 75, 250, 509, 350, 479, 425, 275, 228, 0, 310, 262, 220, 247, 143, 314, 429, 359, 0, 230, 58, 155, 225, 343, 0, 285, 433, 437, 269, 14, 380, 398, 222, 358, 482, 469, 357, 319, 0, 338, 249, 150, 488, 461, 288, 315, 0, 388, 506, 158, 409, 246, 354, 0, 308, 137, 178, 213, 278, 0, 370, 500, 39, 444, 233, 292, 0, 82, 420, 55, 0, 431, 368, 152, 277, 372, 0, 352, 83, 296, 0, 157, 120, 0, 290, 80, 281, 494, 521, 0, 15, 438, 0, 100, 356, 0, 18, 385, 394, 305, 400, 0, 81, 126, 0, 445, 235, 475, 502, 519, 181, 0, 33, 31, 0, 511, 327, 316, 418, 129, 351, 0, 6, 498, 518, 237, 430, 0, 165, 4, 0, 133, 42, 243, 374, 0, 134, 331, 0, 175, 151, 335, 0, 480, 95, 472, 373, 0, 207, 193, 464, 0, 69, 214, 255, 322, 393, 282, 0, 176, 435, 462, 208, 231, 0, 379, 173, 0, 29, 0, 496, 184, 299, 522, 93, 0, 92, 236, 209, 460, 324, 329, 336, 426, 495, 0, 413, 64, 263, 347, 284, 349, 468, 510, 218, 0, 156, 367, 0, 166, 206, 0, 74, 199, 334, 0, 44, 0, 115, 507, 392, 342, 428, 427, 0, 54, 389, 318, 436, 401, 337, 0, 37, 245, 442, 484, 0, 486, 253, 22, 259, 371, 363, 321, 0, 148, 101, 266, 0, 504, 114, 454, 0, 366, 384, 121, 0, 17, 171, 457, 493, 0, 50, 330, 300, 0, 467, 505, 25, 123, 241, 0, 273, 212, 513, 478, 303, 297, 71, 383, 395, 323, 291, 470, 333, 0, 96, 432, 387, 223, 0, 170, 434, 302, 410, 447, 0, 78, 59, 0, 26, 481, 441, 362, 369, 448, 0, 61, 0, 187, 455, 0, 24, 27, 0, 68, 169, 0, 477, 271, 13, 298, 0, 46, 473, 332, 0, 118, 5, 0, 196, 412, 364, 386, 466, 397, 0, 141, 201, 489, 0, 183, 0, 62, 406, 0, 128, 0, 119, 328, 0, 104, 130, 0, 238, 340, 414, 194, 234, 422, 348, 361, 251, 391, 312, 317, 0, 21, 0, 8, 205, 0, 91, 399, 390, 405, 407, 501, 240, 272, 0, 307, 135, 239, 451, 274, 219, 0, 117, 491, 402, 404, 459, 0, 179, 416, 0, 139, 450, 0, 192, 517, 463, 211, 483, 268, 376, 0, 107, 0, 88, 153, 0, 177, 0, 161, 0, 1, 320, 0, 86, 0, 111, 76, 0, 172, 122, 0, 20, 341, 346, 443, 286, 0, 56, 256, 260, 224, 382, 0, 203, 0, 113, 0, 174, 453, 226, 294, 339, 520, 0, 180, 30, 0, 105, 264, 487, 411, 0, 244, 66, 145, 0, 147, 492, 344, 270, 221, 0, 94, 0, 182, 313, 353, 439, 485, 396, 217, 0, 72, 0, 36, 0, 204, 0, 138, 144, 0, 48, 0, 67, 0, 35, 0, 77, 258, 417, 514, 421, 0, 163, 131, 0, 43, 0, 159, 191, 0, 124, 89, 0, 140, 0, 503, 415, 378, 381, 252, 295, 293, 216, 267, 515, 423, 142, 0, 146, 0, 7, 375, 0, 109, 0, 70, 164, 232, 0, 116, 0, 301, 403, 345, 10, 0, 85, 45, 0, 11, 0, 160, 248, 0, 242, 280, 261, 99, 508, 215, 0, 162, 0, 41, 0, 9, 471, 0, 186, 0, 102, 103, 0, 90, 127, 0, 229, 149, 516, 257, 0, 60, 0, 52, 198, 452, 0, 154, 3, 0, 73, 325, 474, 326, 0, 289, 84, 210, 465, 408, 0, 287, 456, 136, 279, 355, 0, 276, 309, 449, 106, 306, 0, 446, 195, 365, 0, 168, 188, 476, 0, 377, 189, 167, 0, 23, 0, 19, 0, 112, 0, 65, 0, 97, 0, 34, 0, 53, 0, 63, 0, 38, 0, 40, 125, 0, 16, 0, 108, 0, 49, 2, 0, 190, 0, 197, 0, 57, 0, 51, 0, 200, 132, 0, 28, 0, 32, 0, 202, 0, 79, 87, 0, 47, 0, 98, 0, 12, 0, 110, 0]</t>
  </si>
  <si>
    <t>[0, 225, 306, 304, 294, 205, 0, 455, 461, 449, 70, 0, 218, 166, 530, 224, 331, 0, 508, 251, 482, 368, 0, 247, 429, 75, 145, 227, 0, 387, 422, 439, 444, 17, 0, 216, 249, 484, 506, 317, 200, 155, 0, 114, 29, 13, 77, 334, 0, 388, 20, 153, 49, 357, 0, 284, 493, 453, 433, 441, 0, 159, 37, 204, 18, 0, 415, 132, 250, 452, 340, 0, 58, 6, 233, 109, 0, 377, 362, 494, 311, 122, 0, 514, 474, 74, 512, 219, 0, 189, 128, 255, 191, 226, 0, 54, 274, 61, 270, 0, 68, 523, 458, 51, 333, 0, 486, 123, 320, 97, 0, 413, 81, 66, 521, 338, 0, 133, 391, 524, 501, 516, 0, 176, 375, 339, 158, 292, 0, 108, 138, 164, 199, 479, 0, 300, 324, 48, 399, 95, 0, 529, 76, 183, 12, 36, 0, 327, 291, 62, 86, 0, 498, 35, 328, 288, 121, 0, 174, 384, 528, 365, 26, 0, 342, 242, 112, 71, 212, 0, 139, 213, 65, 170, 401, 32, 0, 393, 463, 509, 489, 344, 0, 5, 180, 281, 209, 101, 0, 442, 130, 329, 358, 0, 483, 137, 246, 520, 515, 0, 299, 507, 394, 221, 237, 257, 25, 0, 485, 46, 481, 41, 92, 0, 366, 161, 148, 349, 73, 400, 0, 451, 190, 141, 160, 343, 0, 380, 495, 527, 487, 0, 374, 421, 135, 430, 371, 0, 154, 348, 258, 519, 477, 293, 416, 0, 245, 19, 310, 217, 203, 0, 464, 286, 466, 30, 80, 438, 252, 23, 490, 272, 165, 87, 222, 273, 193, 456, 0, 104, 531, 72, 316, 263, 0, 414, 355, 389, 126, 0, 102, 381, 280, 443, 268, 0, 397, 206, 151, 409, 50, 0, 235, 184, 8, 195, 125, 0, 496, 518, 3, 526, 149, 0, 472, 373, 314, 407, 146, 0, 431, 510, 22, 214, 287, 0, 140, 196, 90, 500, 0, 321, 406, 398, 210, 0, 192, 94, 402, 533, 285, 157, 313, 244, 88, 353, 435, 156, 0, 504, 173, 223, 162, 497, 0, 370, 379, 256, 113, 0, 117, 39, 55, 28, 11, 0, 503, 361, 106, 309, 85, 0, 150, 298, 363, 308, 34, 434, 369, 182, 323, 91, 445, 296, 0, 488, 228, 152, 84, 2, 0, 535, 405, 185, 275, 172, 345, 0, 107, 171, 330, 408, 120, 0, 462, 513, 267, 315, 21, 385, 1, 454, 239, 356, 303, 269, 0, 283, 437, 33, 262, 0, 418, 378, 336, 238, 372, 0, 261, 382, 144, 282, 169, 0, 59, 278, 44, 27, 0, 471, 359, 110, 295, 332, 0, 318, 312, 337, 131, 341, 0, 93, 127, 45, 211, 4, 0, 136, 42, 386, 231, 187, 0, 67, 129, 460, 194, 522, 0, 420, 220, 260, 10, 499, 0, 347, 24, 89, 423, 350, 0, 446, 177, 253, 279, 417, 0, 480, 532, 232, 69, 276, 0, 229, 248, 525, 465, 14, 459, 181, 31, 319, 517, 410, 60, 0, 478, 326, 64, 264, 0, 167, 7, 392, 325, 118, 0, 467, 390, 103, 134, 436, 0, 475, 202, 143, 168, 277, 0, 403, 360, 302, 396, 197, 43, 79, 428, 116, 15, 82, 241, 383, 395, 124, 188, 0, 411, 142, 234, 266, 290, 0, 376, 254, 63, 265, 0, 511, 40, 207, 56, 352, 0, 447, 178, 476, 179, 505, 0, 469, 491, 99, 271, 0, 307, 492, 502, 440, 367, 0, 96, 322, 432, 78, 201, 0, 457, 427, 163, 240, 354, 0, 215, 16, 425, 105, 53, 0, 38, 259, 424, 297, 0, 236, 175, 119, 52, 364, 289, 0, 9, 305, 98, 83, 0, 426, 301, 243, 57, 0, 230, 47, 208, 335, 111, 0, 115, 198, 147, 404, 0, 351, 473, 346, 470, 0, 450, 534, 412, 419, 186, 0, 448, 100, 468, 0]</t>
  </si>
  <si>
    <t>X_n535</t>
  </si>
  <si>
    <t>[0, 37, 225, 205, 216, 249, 506, 0, 368, 455, 306, 304, 294, 0, 251, 530, 449, 461, 218, 0, 508, 331, 70, 166, 114, 0, 474, 284, 482, 159, 0, 247, 429, 75, 145, 227, 0, 415, 224, 77, 17, 388, 0, 18, 387, 453, 444, 0, 74, 20, 109, 439, 493, 0, 357, 49, 13, 132, 512, 0, 514, 219, 494, 250, 507, 0, 486, 377, 433, 29, 334, 0, 176, 58, 422, 233, 204, 0, 6, 311, 123, 158, 456, 0, 394, 286, 348, 222, 293, 62, 291, 0, 174, 32, 524, 255, 153, 226, 0, 122, 391, 270, 458, 362, 0, 133, 413, 51, 61, 441, 0, 12, 193, 257, 300, 191, 0, 516, 97, 180, 161, 466, 0, 384, 342, 237, 258, 519, 273, 154, 150, 0, 192, 462, 94, 464, 221, 209, 86, 0, 108, 68, 128, 281, 299, 25, 0, 401, 148, 349, 189, 452, 0, 172, 156, 296, 353, 80, 165, 87, 477, 521, 0, 138, 121, 66, 523, 340, 0, 118, 236, 36, 213, 501, 327, 0, 320, 333, 35, 399, 5, 0, 274, 81, 48, 288, 0, 242, 338, 95, 324, 498, 0, 26, 528, 416, 73, 328, 0, 339, 65, 365, 101, 366, 0, 199, 71, 112, 139, 183, 0, 479, 170, 400, 212, 164, 0, 345, 292, 76, 54, 529, 0, 435, 402, 533, 285, 157, 434, 313, 490, 272, 23, 252, 438, 30, 0, 175, 116, 465, 248, 229, 385, 369, 34, 88, 375, 0, 403, 445, 513, 315, 459, 14, 525, 182, 308, 363, 244, 298, 0, 91, 267, 239, 124, 319, 15, 43, 82, 241, 383, 395, 31, 1, 21, 323, 0, 302, 396, 197, 79, 428, 188, 181, 454, 517, 410, 356, 60, 303, 269, 0, 360, 119, 297, 16, 186, 0, 468, 289, 134, 67, 96, 0, 78, 52, 364, 404, 100, 0, 392, 440, 271, 367, 198, 0, 147, 502, 476, 178, 152, 0, 215, 187, 275, 318, 38, 0, 419, 492, 265, 110, 220, 0, 277, 325, 40, 207, 301, 0, 127, 99, 425, 432, 0, 254, 7, 266, 290, 405, 0, 480, 10, 179, 424, 412, 0, 259, 143, 491, 262, 0, 201, 522, 234, 129, 131, 0, 436, 63, 103, 359, 238, 0, 295, 390, 332, 232, 511, 0, 202, 142, 478, 45, 228, 0, 505, 56, 467, 126, 0, 376, 168, 64, 162, 0, 408, 460, 42, 264, 111, 0, 55, 282, 144, 309, 47, 0, 352, 386, 437, 169, 0, 85, 372, 260, 326, 0, 136, 378, 90, 261, 0, 203, 185, 443, 471, 0, 231, 532, 194, 330, 3, 407, 0, 84, 106, 33, 336, 22, 0, 211, 28, 171, 214, 0, 475, 2, 120, 423, 0, 382, 500, 535, 526, 149, 0, 69, 39, 510, 195, 184, 0, 499, 431, 361, 518, 151, 235, 0, 420, 283, 11, 346, 470, 0, 276, 27, 373, 206, 397, 0, 411, 89, 217, 314, 8, 0, 59, 44, 448, 534, 0, 177, 278, 93, 307, 0, 280, 409, 117, 146, 223, 0, 503, 488, 312, 115, 0, 210, 497, 426, 457, 0, 406, 50, 196, 418, 24, 0, 125, 287, 472, 167, 427, 0, 335, 140, 355, 310, 141, 0, 379, 208, 230, 450, 0, 446, 105, 337, 316, 371, 0, 398, 268, 322, 469, 53, 0, 321, 163, 243, 351, 0, 414, 190, 381, 389, 173, 0, 473, 370, 430, 240, 0, 256, 263, 350, 447, 4, 0, 107, 245, 102, 496, 504, 0, 279, 253, 487, 305, 57, 0, 343, 41, 92, 451, 19, 0, 135, 421, 160, 531, 113, 0, 527, 495, 72, 9, 0, 341, 374, 130, 83, 0, 104, 380, 481, 246, 137, 0, 347, 485, 46, 520, 358, 0, 417, 329, 509, 483, 317, 0, 98, 515, 344, 442, 0, 489, 463, 200, 155, 484, 0, 354, 393, 0]</t>
  </si>
  <si>
    <t>[0, 216, 249, 205, 294, 304, 306, 449, 0, 484, 506, 317, 246, 200, 0, 225, 455, 368, 159, 0, 218, 461, 70, 530, 29, 0, 393, 155, 344, 130, 347, 0, 508, 251, 482, 227, 49, 0, 122, 429, 444, 224, 166, 331, 0, 415, 247, 75, 145, 13, 0, 474, 132, 77, 439, 114, 0, 489, 463, 483, 137, 481, 4, 0, 190, 141, 92, 46, 509, 0, 284, 17, 334, 153, 36, 0, 387, 433, 422, 493, 357, 0, 74, 377, 6, 388, 0, 442, 329, 520, 380, 0, 485, 41, 184, 451, 343, 0, 340, 250, 453, 58, 20, 0, 160, 235, 8, 397, 421, 0, 37, 494, 441, 233, 226, 0, 358, 495, 135, 531, 0, 245, 310, 151, 206, 414, 0, 104, 515, 527, 256, 0, 374, 518, 526, 381, 496, 0, 18, 362, 311, 255, 394, 0, 72, 389, 280, 407, 431, 105, 0, 514, 452, 128, 521, 512, 0, 430, 125, 355, 19, 0, 406, 409, 195, 3, 214, 0, 175, 90, 472, 102, 487, 0, 191, 109, 458, 219, 0, 268, 287, 238, 535, 149, 0, 173, 503, 140, 316, 0, 373, 314, 510, 217, 420, 0, 54, 204, 320, 486, 0, 391, 270, 274, 66, 519, 193, 0, 22, 405, 372, 171, 85, 118, 0, 324, 61, 523, 189, 68, 0, 341, 379, 398, 210, 0, 403, 103, 359, 336, 117, 361, 488, 0, 28, 500, 50, 59, 253, 0, 321, 504, 24, 312, 0, 413, 81, 51, 35, 133, 0, 337, 144, 443, 146, 371, 0, 131, 152, 120, 211, 0, 107, 113, 263, 162, 279, 0, 223, 196, 39, 69, 0, 2, 84, 126, 447, 0, 228, 110, 220, 295, 332, 0, 305, 370, 446, 243, 0, 176, 123, 333, 48, 399, 258, 192, 0, 167, 382, 309, 106, 350, 0, 177, 278, 33, 378, 345, 0, 240, 57, 98, 83, 0, 134, 265, 408, 471, 418, 0, 322, 262, 260, 437, 0, 417, 9, 163, 469, 473, 0, 318, 55, 390, 290, 266, 0, 27, 10, 129, 7, 0, 11, 185, 282, 330, 44, 0, 96, 203, 283, 275, 261, 0, 427, 89, 194, 178, 476, 0, 53, 497, 67, 169, 475, 0, 47, 522, 179, 63, 136, 0, 307, 423, 467, 511, 0, 187, 45, 460, 234, 93, 0, 351, 276, 411, 335, 426, 0, 231, 42, 532, 232, 115, 0, 208, 386, 326, 64, 0, 38, 127, 142, 99, 502, 0, 230, 499, 392, 491, 0, 111, 202, 264, 168, 40, 0, 457, 478, 480, 440, 0, 470, 376, 436, 143, 301, 0, 56, 254, 271, 432, 448, 0, 354, 352, 201, 346, 534, 0, 412, 425, 325, 207, 505, 0, 450, 259, 16, 297, 0, 492, 78, 424, 277, 100, 0, 419, 289, 52, 367, 198, 0, 468, 119, 364, 147, 404, 0, 186, 215, 360, 302, 396, 60, 517, 513, 88, 87, 338, 0, 236, 269, 197, 79, 428, 43, 383, 319, 157, 285, 298, 353, 156, 0, 25, 385, 15, 82, 116, 188, 239, 410, 303, 445, 462, 0, 300, 95, 328, 164, 138, 0, 172, 369, 248, 14, 241, 459, 21, 323, 91, 296, 0, 339, 498, 288, 212, 456, 0, 101, 501, 516, 76, 174, 0, 97, 242, 112, 65, 121, 0, 257, 170, 524, 375, 108, 0, 435, 533, 23, 434, 465, 525, 229, 31, 181, 395, 124, 454, 1, 182, 267, 356, 0, 150, 464, 490, 34, 315, 308, 363, 244, 402, 94, 0, 528, 222, 165, 272, 313, 252, 438, 80, 30, 466, 0, 529, 12, 183, 62, 32, 0, 292, 209, 401, 71, 199, 0, 158, 327, 384, 86, 0, 366, 26, 5, 213, 139, 0, 161, 293, 477, 73, 400, 0, 291, 342, 416, 349, 154, 0, 299, 281, 237, 180, 479, 0, 507, 221, 365, 148, 348, 273, 286, 0]</t>
  </si>
  <si>
    <t>[0, 284, 182, 41, 486, 351, 536, 4, 59, 364, 283, 0, 3, 13, 178, 31, 324, 451, 408, 431, 366, 253, 0, 350, 142, 316, 352, 87, 25, 91, 535, 458, 529, 0, 171, 384, 500, 263, 341, 23, 277, 24, 303, 69, 0, 325, 540, 505, 74, 305, 275, 51, 294, 343, 116, 0, 428, 187, 469, 518, 326, 185, 474, 472, 436, 478, 0, 21, 6, 373, 404, 388, 533, 240, 302, 243, 206, 0, 61, 73, 360, 349, 124, 222, 430, 28, 502, 245, 0, 169, 5, 22, 226, 244, 355, 530, 81, 248, 507, 0, 301, 544, 279, 455, 86, 330, 466, 331, 363, 491, 0, 482, 370, 312, 176, 90, 200, 395, 149, 471, 106, 0, 42, 359, 484, 163, 198, 452, 203, 125, 545, 362, 0, 2, 170, 391, 374, 295, 54, 498, 11, 409, 433, 0, 429, 184, 299, 85, 92, 440, 189, 285, 521, 415, 0, 104, 44, 272, 340, 250, 129, 102, 10, 214, 456, 0, 213, 304, 479, 94, 413, 204, 195, 246, 148, 419, 0, 158, 438, 418, 467, 282, 29, 317, 201, 390, 180, 0, 70, 378, 259, 453, 56, 353, 40, 130, 291, 473, 0, 62, 98, 336, 140, 421, 447, 132, 308, 196, 399, 0, 154, 542, 281, 267, 145, 296, 270, 264, 258, 329, 0, 262, 497, 461, 96, 334, 464, 514, 261, 411, 488, 0, 251, 241, 228, 58, 357, 274, 344, 219, 445, 380, 0, 137, 191, 437, 318, 271, 517, 55, 160, 14, 131, 0, 221, 426, 333, 232, 320, 468, 446, 539, 209, 26, 0, 242, 524, 511, 199, 156, 66, 435, 286, 273, 463, 0, 520, 205, 186, 522, 115, 375, 381, 422, 95, 523, 0, 173, 161, 76, 519, 89, 424, 309, 174, 490, 280, 0, 460, 103, 480, 110, 93, 126, 143, 425, 1, 18, 0, 162, 230, 39, 513, 229, 67, 339, 457, 239, 17, 0, 12, 122, 138, 383, 356, 252, 434, 420, 159, 322, 0, 63, 423, 288, 84, 313, 236, 33, 43, 238, 45, 0, 233, 227, 112, 97, 506, 57, 328, 217, 387, 476, 0, 547, 293, 416, 485, 164, 386, 7, 443, 365, 151, 0, 121, 307, 475, 16, 120, 123, 65, 237, 197, 278, 0, 152, 449, 347, 167, 108, 212, 327, 402, 508, 165, 0, 407, 503, 88, 537, 177, 369, 319, 499, 300, 417, 0, 368, 8, 255, 459, 193, 234, 367, 310, 146, 338, 0, 256, 50, 194, 289, 216, 175, 376, 210, 64, 501, 0, 117, 311, 68, 220, 207, 107, 371, 119, 127, 47, 0, 348, 526, 541, 494, 114, 223, 487, 532, 516, 406, 0, 372, 346, 208, 257, 147, 528, 481, 35, 82, 20, 0, 400, 77, 427, 265, 38, 179, 215, 492, 354, 79, 0, 19, 442, 181, 477, 134, 60, 266, 247, 543, 37, 0, 298, 297, 150, 512, 276, 432, 172, 405, 546, 337, 0, 377, 290, 111, 397, 335, 118, 403, 314, 396, 135, 0, 269, 454, 235, 470, 510, 9, 260, 342, 133, 515, 0, 401, 32, 231, 105, 83, 358, 462, 332, 392, 224, 0, 153, 493, 382, 75, 46, 139, 465, 80, 268, 525, 0, 412, 36, 321, 48, 144, 444, 414, 483, 441, 450, 0, 192, 315, 168, 509, 292, 101, 393, 496, 53, 157, 0, 379, 495, 72, 287, 99, 71, 113, 141, 389, 306, 0, 128, 155, 109, 30, 136, 49, 394, 211, 538, 27, 0, 345, 385, 398, 527, 489, 534, 166, 52, 202, 531, 0, 100, 504, 188, 183, 410, 323, 78, 225, 361, 254, 0, 249, 190, 218, 439, 448, 34, 15, 0]</t>
  </si>
  <si>
    <t>X_n547</t>
  </si>
  <si>
    <t>[0, 412, 321, 133, 337, 546, 405, 432, 260, 512, 36, 0, 292, 509, 48, 342, 172, 47, 459, 68, 515, 168, 0, 414, 510, 9, 255, 193, 107, 212, 367, 338, 119, 0, 108, 276, 207, 234, 217, 387, 310, 146, 371, 127, 0, 144, 220, 97, 508, 322, 103, 480, 280, 112, 167, 0, 138, 383, 191, 402, 328, 57, 460, 476, 327, 165, 0, 8, 227, 76, 252, 434, 126, 110, 159, 420, 506, 0, 356, 143, 93, 490, 174, 309, 273, 137, 242, 449, 0, 378, 160, 336, 524, 89, 286, 424, 437, 425, 1, 0, 161, 154, 55, 271, 199, 66, 435, 156, 463, 519, 0, 44, 102, 14, 145, 296, 270, 264, 258, 511, 318, 0, 214, 140, 399, 148, 267, 329, 281, 517, 347, 311, 0, 244, 272, 391, 419, 421, 291, 132, 308, 196, 542, 0, 248, 340, 213, 458, 195, 40, 447, 250, 129, 81, 0, 116, 170, 343, 433, 453, 413, 246, 204, 353, 10, 0, 171, 540, 284, 505, 294, 259, 56, 130, 473, 456, 0, 131, 304, 479, 94, 11, 409, 226, 355, 530, 18, 0, 104, 507, 51, 374, 529, 54, 91, 74, 61, 325, 0, 90, 491, 428, 275, 305, 13, 25, 535, 498, 295, 0, 176, 21, 59, 283, 87, 3, 350, 384, 366, 253, 0, 431, 316, 352, 364, 4, 41, 182, 363, 359, 301, 0, 22, 42, 408, 31, 178, 536, 351, 451, 98, 173, 0, 5, 142, 324, 486, 23, 277, 362, 158, 228, 241, 0, 192, 441, 235, 483, 368, 233, 150, 470, 444, 101, 0, 312, 370, 500, 187, 263, 341, 24, 404, 58, 429, 0, 334, 184, 544, 472, 474, 303, 69, 206, 478, 73, 0, 298, 297, 12, 122, 62, 70, 2, 169, 262, 307, 0, 497, 243, 469, 326, 185, 373, 245, 415, 357, 251, 0, 471, 149, 461, 464, 274, 344, 219, 426, 445, 221, 0, 380, 539, 17, 232, 545, 279, 436, 302, 518, 123, 0, 514, 124, 388, 533, 299, 333, 468, 520, 209, 63, 0, 488, 360, 240, 438, 320, 205, 238, 50, 526, 256, 0, 482, 331, 349, 222, 28, 430, 418, 239, 446, 96, 0, 372, 484, 466, 502, 6, 85, 180, 407, 45, 38, 0, 265, 162, 198, 330, 455, 86, 440, 521, 26, 231, 0, 65, 467, 92, 163, 189, 125, 203, 230, 43, 346, 0, 290, 348, 186, 29, 317, 452, 285, 282, 390, 411, 0, 106, 200, 201, 522, 115, 375, 381, 423, 427, 492, 0, 493, 153, 111, 105, 354, 77, 395, 120, 400, 237, 0, 278, 16, 79, 457, 422, 95, 339, 39, 33, 215, 0, 71, 382, 208, 547, 416, 67, 523, 313, 84, 197, 0, 32, 261, 288, 513, 229, 485, 164, 7, 236, 179, 0, 72, 397, 151, 293, 386, 443, 365, 177, 503, 83, 0, 99, 541, 537, 216, 175, 376, 210, 369, 194, 257, 0, 475, 88, 289, 64, 501, 319, 417, 75, 287, 495, 0, 121, 401, 406, 300, 499, 114, 223, 487, 266, 247, 0, 377, 379, 358, 494, 147, 532, 528, 134, 60, 37, 0, 117, 152, 109, 113, 335, 516, 481, 314, 543, 135, 0, 155, 19, 403, 442, 181, 477, 82, 35, 396, 392, 0, 30, 118, 20, 462, 46, 139, 332, 465, 224, 80, 0, 136, 49, 306, 389, 141, 525, 268, 211, 538, 394, 0, 398, 323, 527, 489, 534, 27, 166, 52, 202, 531, 0, 450, 269, 454, 128, 78, 385, 188, 183, 410, 504, 0, 249, 100, 254, 361, 225, 315, 53, 439, 0, 448, 190, 218, 345, 393, 496, 157, 34, 15, 0]</t>
  </si>
  <si>
    <t>[0, 393, 36, 515, 444, 144, 321, 48, 412, 509, 292, 0, 133, 342, 546, 405, 172, 432, 337, 260, 510, 470, 0, 47, 127, 119, 338, 310, 165, 212, 207, 9, 512, 0, 371, 146, 476, 322, 480, 460, 159, 387, 107, 276, 0, 68, 97, 402, 328, 217, 508, 327, 367, 234, 193, 0, 12, 449, 311, 1, 227, 112, 108, 220, 459, 255, 0, 506, 57, 103, 174, 110, 420, 434, 252, 356, 8, 0, 167, 383, 437, 143, 126, 424, 93, 309, 490, 280, 0, 242, 191, 519, 463, 156, 66, 435, 286, 89, 273, 0, 307, 117, 18, 62, 378, 173, 233, 150, 414, 483, 0, 138, 425, 137, 308, 296, 270, 264, 199, 258, 511, 0, 318, 271, 517, 204, 458, 246, 148, 145, 267, 524, 0, 55, 281, 329, 399, 196, 132, 291, 130, 447, 419, 0, 368, 161, 214, 102, 14, 160, 154, 76, 347, 235, 0, 98, 94, 413, 195, 40, 473, 140, 542, 336, 456, 0, 129, 250, 421, 56, 353, 479, 453, 213, 433, 355, 0, 391, 374, 54, 498, 91, 535, 529, 11, 304, 259, 0, 13, 283, 178, 351, 59, 25, 295, 409, 340, 81, 0, 10, 272, 343, 294, 51, 74, 3, 352, 305, 284, 0, 507, 248, 530, 44, 116, 171, 253, 428, 226, 22, 0, 170, 505, 275, 87, 324, 31, 408, 182, 431, 384, 0, 244, 316, 451, 364, 4, 536, 486, 187, 350, 366, 0, 301, 363, 42, 478, 263, 41, 142, 500, 540, 61, 0, 73, 243, 69, 341, 23, 277, 472, 474, 326, 245, 0, 90, 21, 544, 388, 404, 24, 518, 469, 206, 325, 0, 262, 482, 169, 5, 2, 104, 131, 70, 122, 298, 0, 359, 279, 360, 240, 533, 436, 373, 185, 303, 302, 0, 362, 502, 330, 6, 28, 430, 222, 124, 349, 331, 0, 370, 491, 455, 466, 86, 198, 452, 521, 158, 429, 0, 464, 241, 184, 545, 125, 189, 163, 484, 312, 176, 0, 461, 58, 299, 92, 440, 203, 285, 282, 415, 274, 0, 334, 228, 438, 467, 85, 29, 317, 201, 344, 357, 0, 514, 251, 219, 418, 390, 522, 375, 232, 333, 221, 0, 96, 180, 115, 381, 95, 67, 339, 468, 426, 445, 0, 380, 539, 320, 186, 457, 422, 523, 485, 84, 17, 0, 386, 513, 313, 39, 239, 205, 446, 520, 209, 200, 0, 149, 63, 230, 288, 236, 229, 164, 416, 7, 443, 0, 261, 526, 162, 423, 293, 151, 537, 503, 407, 50, 0, 488, 372, 26, 238, 43, 33, 177, 365, 175, 247, 0, 111, 346, 208, 194, 417, 499, 547, 256, 348, 411, 0, 237, 123, 65, 395, 471, 106, 497, 16, 475, 121, 0, 541, 319, 289, 216, 369, 88, 45, 427, 77, 79, 0, 492, 38, 179, 257, 300, 223, 501, 64, 376, 134, 0, 400, 354, 265, 215, 335, 494, 147, 487, 210, 135, 0, 157, 53, 496, 101, 168, 441, 297, 152, 278, 315, 0, 290, 382, 83, 406, 114, 532, 528, 266, 543, 37, 0, 197, 120, 105, 397, 358, 181, 481, 60, 314, 35, 0, 401, 231, 71, 75, 19, 442, 516, 396, 224, 465, 0, 379, 287, 99, 153, 32, 377, 454, 269, 450, 192, 0, 493, 495, 72, 113, 20, 477, 82, 392, 403, 46, 0, 109, 30, 141, 118, 462, 332, 139, 80, 268, 525, 0, 128, 398, 155, 136, 49, 306, 389, 394, 211, 538, 0, 448, 190, 218, 345, 439, 34, 15, 0, 225, 78, 385, 323, 489, 534, 27, 166, 52, 202, 0, 249, 254, 361, 188, 527, 531, 410, 183, 504, 100, 0]</t>
  </si>
  <si>
    <t>[0, 554, 291, 340, 409, 415, 41, 306, 420, 382, 367, 294, 479, 328, 0, 418, 333, 342, 184, 320, 150, 529, 349, 414, 457, 389, 117, 361, 0, 365, 114, 345, 521, 62, 532, 512, 13, 357, 145, 0, 303, 428, 139, 309, 140, 230, 390, 154, 179, 185, 202, 36, 115, 28, 11, 227, 0, 378, 445, 536, 231, 277, 153, 262, 134, 533, 280, 465, 135, 0, 461, 520, 434, 123, 336, 314, 89, 438, 284, 535, 483, 0, 391, 399, 96, 258, 544, 172, 37, 166, 7, 433, 308, 73, 459, 332, 523, 429, 393, 0, 246, 560, 421, 440, 286, 401, 477, 540, 530, 485, 443, 195, 400, 2, 392, 0, 546, 499, 290, 66, 446, 507, 442, 299, 1, 264, 476, 323, 551, 83, 113, 0, 362, 413, 233, 329, 248, 525, 24, 212, 157, 189, 253, 32, 171, 61, 250, 0, 447, 229, 182, 85, 109, 94, 243, 141, 107, 46, 158, 197, 0, 352, 27, 469, 67, 192, 129, 31, 468, 552, 64, 241, 0, 422, 170, 265, 313, 74, 451, 347, 516, 155, 232, 448, 108, 463, 0, 247, 120, 263, 249, 23, 191, 193, 92, 12, 6, 125, 255, 559, 0, 278, 550, 99, 449, 377, 480, 436, 373, 517, 310, 539, 441, 0, 403, 51, 301, 30, 257, 124, 162, 251, 8, 354, 222, 0, 90, 538, 116, 236, 500, 196, 234, 219, 60, 9, 338, 0, 17, 356, 206, 475, 425, 386, 95, 148, 402, 211, 424, 321, 351, 0, 165, 101, 326, 300, 288, 285, 296, 327, 553, 293, 524, 156, 0, 126, 292, 298, 387, 495, 494, 4, 43, 404, 275, 497, 127, 239, 93, 334, 331, 0, 174, 383, 289, 318, 472, 490, 226, 3, 464, 502, 435, 317, 0, 130, 376, 405, 364, 335, 513, 488, 5, 57, 534, 33, 437, 555, 467, 0, 473, 508, 341, 287, 556, 167, 276, 271, 86, 151, 489, 339, 410, 79, 0, 70, 44, 14, 372, 353, 360, 381, 337, 519, 374, 26, 223, 176, 0, 49, 452, 316, 220, 82, 279, 496, 237, 188, 207, 396, 407, 100, 205, 200, 0, 388, 503, 147, 106, 430, 142, 181, 122, 385, 369, 344, 256, 245, 42, 0, 238, 358, 482, 511, 509, 15, 478, 406, 487, 545, 547, 305, 510, 412, 454, 411, 98, 0, 59, 527, 218, 274, 416, 22, 398, 138, 121, 450, 254, 346, 515, 180, 52, 133, 76, 0, 259, 427, 112, 39, 330, 417, 35, 281, 432, 25, 81, 484, 359, 152, 0, 261, 541, 208, 371, 505, 10, 118, 80, 204, 143, 144, 159, 201, 69, 168, 160, 0, 228, 526, 311, 71, 455, 458, 518, 149, 307, 84, 0, 217, 493, 384, 408, 225, 548, 486, 297, 111, 350, 557, 481, 29, 0, 466, 20, 283, 324, 77, 537, 426, 514, 97, 75, 522, 423, 370, 444, 395, 0, 21, 194, 242, 221, 34, 224, 266, 190, 252, 198, 186, 48, 348, 164, 0, 240, 244, 136, 304, 58, 187, 397, 439, 558, 498, 325, 72, 0, 63, 53, 295, 394, 431, 531, 380, 315, 78, 103, 0, 19, 209, 38, 50, 175, 183, 16, 65, 214, 131, 215, 88, 0, 272, 366, 269, 45, 132, 18, 68, 270, 177, 128, 322, 110, 161, 56, 0, 267, 282, 542, 474, 460, 343, 506, 302, 453, 379, 419, 549, 178, 119, 492, 169, 0, 462, 163, 87, 55, 146, 137, 268, 210, 104, 355, 0, 47, 199, 273, 216, 543, 491, 40, 375, 470, 501, 213, 368, 105, 319, 504, 260, 203, 0, 456, 102, 528, 173, 54, 312, 471, 363, 91, 235, 0]</t>
  </si>
  <si>
    <t>X_n560</t>
  </si>
  <si>
    <t>[0, 8, 250, 464, 338, 162, 30, 301, 51, 120, 247, 0, 392, 303, 2, 546, 362, 61, 263, 46, 107, 12, 125, 193, 257, 0, 403, 239, 127, 559, 43, 219, 234, 255, 6, 191, 197, 182, 229, 113, 0, 137, 341, 287, 331, 298, 383, 334, 289, 387, 275, 404, 60, 124, 251, 90, 0, 268, 126, 174, 292, 538, 495, 4, 9, 500, 196, 92, 94, 0, 145, 361, 13, 554, 418, 512, 532, 117, 389, 299, 157, 243, 0, 354, 435, 502, 318, 494, 93, 472, 3, 167, 556, 274, 508, 473, 0, 447, 171, 249, 23, 236, 116, 141, 32, 253, 525, 83, 499, 290, 328, 378, 0, 114, 521, 62, 445, 479, 428, 551, 233, 24, 109, 85, 212, 0, 357, 535, 429, 135, 345, 314, 89, 400, 413, 189, 158, 497, 490, 271, 151, 0, 483, 284, 438, 294, 139, 382, 442, 264, 1, 248, 329, 323, 0, 278, 552, 461, 523, 520, 123, 333, 443, 477, 540, 530, 446, 246, 0, 365, 393, 64, 434, 336, 280, 414, 286, 401, 485, 507, 476, 66, 0, 241, 352, 422, 468, 332, 465, 340, 367, 306, 420, 421, 195, 457, 0, 469, 31, 129, 459, 73, 409, 342, 184, 154, 529, 41, 349, 440, 560, 0, 104, 79, 59, 527, 410, 218, 416, 138, 450, 339, 276, 226, 505, 10, 348, 164, 0, 165, 550, 99, 27, 192, 390, 320, 150, 415, 309, 291, 0, 140, 536, 230, 231, 36, 179, 185, 202, 28, 115, 153, 277, 134, 308, 433, 7, 170, 67, 0, 463, 17, 351, 321, 449, 265, 166, 37, 227, 11, 262, 533, 0, 267, 391, 313, 399, 96, 172, 544, 258, 516, 74, 377, 223, 42, 0, 235, 176, 467, 156, 555, 524, 130, 553, 148, 347, 108, 288, 300, 441, 293, 0, 210, 424, 211, 480, 451, 373, 356, 326, 285, 376, 26, 205, 0, 200, 100, 70, 44, 452, 374, 437, 327, 296, 448, 436, 539, 206, 402, 101, 0, 49, 519, 405, 475, 310, 232, 155, 14, 503, 396, 388, 245, 407, 0, 240, 98, 337, 381, 360, 33, 335, 488, 517, 386, 425, 513, 0, 91, 228, 372, 353, 220, 82, 57, 95, 5, 534, 364, 0, 316, 279, 496, 147, 106, 430, 181, 142, 344, 256, 238, 152, 103, 0, 207, 122, 406, 487, 369, 259, 526, 84, 217, 29, 203, 0, 173, 54, 244, 71, 35, 281, 25, 432, 545, 330, 478, 509, 511, 188, 237, 0, 102, 462, 363, 466, 411, 358, 39, 510, 484, 81, 547, 417, 305, 15, 412, 482, 385, 0, 528, 56, 312, 307, 548, 359, 225, 112, 427, 454, 311, 455, 0, 481, 149, 458, 493, 384, 408, 111, 426, 77, 350, 557, 20, 72, 0, 183, 187, 397, 370, 423, 514, 97, 297, 486, 537, 324, 283, 518, 47, 0, 163, 395, 78, 343, 453, 531, 58, 558, 304, 444, 136, 63, 0, 355, 456, 87, 199, 325, 394, 431, 75, 522, 439, 498, 53, 0, 317, 146, 55, 76, 272, 260, 501, 470, 460, 379, 380, 315, 295, 282, 542, 0, 504, 471, 213, 375, 491, 178, 40, 549, 419, 302, 506, 474, 0, 161, 366, 110, 322, 169, 492, 119, 543, 368, 105, 319, 216, 273, 0, 19, 209, 38, 88, 132, 18, 68, 270, 177, 128, 269, 0, 261, 168, 194, 21, 215, 131, 16, 65, 214, 45, 50, 0, 541, 52, 242, 224, 266, 144, 159, 252, 190, 34, 175, 221, 0, 160, 48, 201, 143, 204, 198, 69, 515, 180, 133, 0, 222, 121, 489, 86, 254, 208, 371, 118, 80, 186, 346, 22, 398, 0]</t>
  </si>
  <si>
    <t>[0, 90, 292, 387, 495, 4, 43, 234, 559, 275, 497, 127, 239, 271, 472, 0, 251, 538, 494, 93, 490, 226, 151, 86, 489, 339, 276, 3, 464, 383, 0, 8, 289, 9, 500, 6, 255, 196, 219, 60, 404, 318, 334, 0, 403, 162, 257, 116, 193, 92, 141, 12, 125, 236, 124, 250, 126, 0, 354, 174, 298, 331, 556, 167, 502, 287, 341, 435, 508, 79, 0, 30, 249, 23, 191, 107, 243, 46, 94, 109, 171, 197, 120, 0, 210, 51, 157, 189, 525, 253, 32, 158, 85, 263, 301, 338, 473, 137, 0, 456, 317, 59, 133, 416, 180, 22, 208, 505, 254, 450, 121, 138, 398, 274, 218, 222, 0, 113, 247, 61, 182, 413, 212, 24, 233, 329, 248, 299, 442, 264, 1, 551, 0, 145, 392, 303, 2, 546, 83, 362, 229, 447, 104, 0, 268, 527, 410, 346, 371, 186, 515, 168, 52, 541, 348, 164, 146, 163, 0, 499, 323, 476, 507, 446, 530, 540, 477, 401, 382, 485, 443, 246, 400, 290, 361, 554, 0, 328, 479, 428, 66, 195, 421, 440, 420, 286, 41, 306, 367, 560, 389, 117, 429, 0, 355, 357, 139, 294, 457, 414, 349, 415, 340, 291, 333, 445, 418, 0, 365, 13, 62, 309, 342, 184, 529, 150, 320, 390, 140, 314, 393, 0, 535, 36, 115, 28, 202, 185, 179, 154, 230, 536, 409, 521, 532, 378, 0, 278, 523, 284, 135, 438, 336, 280, 465, 89, 345, 512, 114, 0, 64, 332, 459, 11, 153, 277, 231, 134, 533, 123, 434, 461, 0, 241, 31, 129, 391, 7, 166, 37, 172, 227, 262, 308, 433, 73, 520, 0, 552, 192, 265, 544, 258, 96, 399, 313, 469, 27, 352, 0, 422, 468, 170, 67, 99, 480, 347, 516, 155, 517, 232, 441, 0, 165, 463, 550, 449, 356, 436, 108, 74, 451, 448, 373, 386, 467, 0, 17, 377, 101, 206, 539, 310, 5, 488, 296, 553, 321, 0, 55, 76, 261, 160, 48, 69, 10, 118, 80, 204, 143, 198, 194, 87, 102, 0, 156, 293, 285, 513, 534, 95, 425, 475, 148, 402, 211, 326, 300, 424, 0, 351, 130, 288, 405, 335, 364, 33, 376, 524, 519, 223, 200, 0, 70, 49, 14, 381, 360, 372, 353, 220, 82, 57, 327, 437, 374, 26, 0, 503, 207, 237, 122, 181, 142, 430, 106, 147, 279, 316, 337, 555, 0, 407, 388, 396, 238, 344, 369, 188, 509, 510, 305, 432, 487, 478, 496, 44, 452, 0, 173, 272, 209, 34, 224, 266, 190, 252, 159, 144, 201, 242, 21, 19, 0, 205, 228, 152, 71, 311, 526, 256, 245, 100, 0, 259, 385, 511, 482, 15, 406, 330, 547, 35, 25, 81, 484, 39, 454, 358, 98, 0, 38, 50, 132, 18, 214, 65, 16, 131, 183, 215, 175, 221, 0, 199, 161, 366, 269, 322, 128, 177, 270, 68, 45, 88, 56, 528, 0, 91, 411, 455, 458, 350, 557, 149, 307, 466, 84, 217, 240, 0, 72, 504, 273, 110, 169, 492, 119, 178, 368, 216, 319, 471, 395, 29, 103, 0, 518, 384, 427, 112, 412, 417, 545, 281, 225, 359, 408, 548, 486, 297, 20, 0, 54, 312, 136, 53, 325, 78, 501, 260, 213, 543, 105, 47, 462, 0, 244, 63, 282, 460, 343, 506, 302, 453, 419, 549, 40, 491, 375, 470, 363, 203, 0, 235, 42, 304, 558, 295, 394, 431, 380, 379, 315, 474, 542, 444, 0, 481, 283, 423, 97, 75, 531, 522, 439, 58, 498, 0, 187, 397, 370, 514, 111, 426, 493, 537, 77, 324, 176, 267, 483, 0]</t>
  </si>
  <si>
    <t>[0, 225, 116, 208, 543, 178, 538, 361, 26, 440, 15, 525, 417, 356, 495, 299, 492, 528, 176, 437, 0, 429, 209, 47, 382, 421, 107, 66, 237, 210, 238, 509, 94, 79, 378, 471, 14, 72, 570, 403, 522, 0, 276, 50, 152, 533, 408, 504, 537, 54, 187, 529, 227, 246, 247, 83, 354, 345, 242, 125, 337, 248, 450, 204, 553, 552, 499, 142, 196, 235, 539, 323, 144, 430, 258, 234, 455, 367, 119, 500, 0, 37, 308, 549, 24, 475, 137, 138, 48, 0, 85, 498, 64, 512, 572, 562, 185, 146, 566, 4, 236, 513, 474, 71, 400, 297, 446, 292, 168, 60, 280, 214, 347, 554, 126, 0, 74, 526, 402, 182, 330, 154, 136, 249, 376, 333, 563, 30, 468, 476, 65, 202, 453, 0, 181, 507, 159, 477, 131, 143, 364, 228, 411, 179, 120, 67, 314, 571, 447, 62, 86, 284, 541, 451, 452, 95, 397, 139, 39, 0, 508, 414, 243, 272, 409, 559, 362, 233, 69, 212, 334, 199, 551, 488, 370, 58, 44, 481, 366, 322, 123, 230, 115, 309, 319, 470, 201, 82, 104, 467, 478, 420, 448, 325, 328, 373, 435, 250, 0, 527, 103, 360, 344, 283, 33, 198, 127, 555, 166, 340, 399, 456, 281, 515, 394, 252, 88, 443, 49, 304, 0, 186, 294, 305, 332, 524, 505, 42, 157, 263, 445, 407, 118, 160, 496, 353, 315, 0, 568, 92, 278, 387, 479, 264, 164, 463, 302, 491, 545, 31, 285, 128, 510, 389, 444, 112, 392, 102, 266, 326, 254, 359, 192, 0, 269, 108, 300, 251, 380, 133, 410, 486, 279, 90, 401, 277, 388, 255, 1, 371, 494, 149, 316, 415, 170, 56, 321, 0, 338, 218, 548, 521, 180, 556, 256, 32, 262, 534, 175, 561, 342, 530, 348, 542, 140, 346, 259, 244, 270, 57, 124, 98, 418, 261, 369, 167, 535, 51, 253, 207, 0, 40, 381, 213, 306, 9, 241, 406, 240, 390, 531, 0, 363, 377, 289, 291, 162, 482, 489, 19, 193, 426, 35, 473, 121, 0, 77, 301, 27, 63, 205, 419, 171, 307, 129, 355, 386, 220, 156, 368, 518, 502, 569, 0, 458, 117, 232, 436, 80, 135, 465, 433, 506, 110, 45, 155, 239, 113, 462, 206, 412, 395, 423, 434, 106, 145, 424, 567, 183, 398, 211, 383, 25, 0, 150, 34, 287, 493, 405, 163, 557, 111, 195, 151, 351, 295, 523, 109, 76, 134, 161, 105, 99, 564, 78, 391, 343, 81, 173, 97, 0, 469, 223, 313, 540, 200, 331, 320, 172, 312, 229, 17, 379, 257, 416, 89, 268, 546, 132, 224, 349, 428, 0, 191, 22, 215, 216, 484, 36, 3, 365, 460, 0, 231, 61, 274, 303, 75, 335, 466, 439, 427, 472, 29, 497, 461, 372, 41, 0, 6, 288, 393, 87, 282, 374, 431, 21, 459, 271, 0, 503, 46, 189, 55, 70, 293, 114, 184, 38, 165, 464, 52, 53, 487, 219, 91, 485, 318, 560, 511, 425, 327, 0, 296, 520, 122, 422, 324, 43, 10, 197, 203, 158, 267, 0, 483, 153, 311, 20, 226, 544, 147, 341, 384, 550, 245, 565, 442, 396, 490, 438, 96, 454, 101, 310, 265, 413, 221, 93, 222, 358, 100, 0, 449, 16, 13, 357, 516, 0, 273, 536, 18, 5, 68, 558, 190, 385, 298, 260, 317, 0, 336, 290, 514, 194, 169, 23, 329, 457, 519, 286, 517, 350, 177, 404, 275, 352, 148, 0, 375, 130, 547, 432, 12, 188, 217, 141, 532, 84, 73, 339, 0, 2, 480, 7, 501, 59, 441, 174, 0, 28, 8, 0, 11, 0]</t>
  </si>
  <si>
    <t>X_n572</t>
  </si>
  <si>
    <t>[0, 500, 429, 209, 47, 382, 421, 37, 225, 116, 208, 543, 107, 509, 378, 570, 102, 72, 554, 403, 367, 522, 0, 159, 201, 539, 210, 196, 308, 66, 79, 94, 14, 455, 119, 0, 138, 234, 471, 418, 98, 323, 60, 407, 168, 137, 238, 237, 474, 513, 236, 178, 4, 392, 468, 283, 144, 256, 347, 202, 126, 0, 48, 103, 316, 424, 149, 235, 71, 41, 326, 214, 160, 167, 315, 527, 381, 453, 0, 81, 254, 258, 430, 373, 65, 127, 328, 266, 156, 82, 146, 26, 361, 142, 470, 24, 292, 445, 280, 118, 360, 473, 0, 250, 321, 498, 242, 28, 476, 494, 145, 491, 296, 567, 415, 261, 170, 369, 469, 535, 508, 0, 192, 125, 56, 556, 32, 124, 371, 57, 549, 220, 297, 368, 325, 520, 133, 206, 488, 281, 353, 121, 253, 207, 0, 247, 521, 213, 412, 393, 355, 306, 400, 344, 104, 35, 161, 263, 492, 233, 106, 560, 365, 511, 359, 313, 223, 383, 518, 502, 460, 51, 568, 435, 0, 84, 372, 33, 356, 140, 538, 467, 270, 157, 183, 496, 8, 569, 0, 414, 441, 458, 162, 175, 122, 131, 510, 113, 446, 143, 155, 228, 388, 112, 411, 319, 525, 440, 566, 204, 346, 259, 478, 255, 495, 462, 244, 248, 331, 134, 69, 105, 262, 545, 434, 267, 180, 300, 398, 428, 0, 302, 423, 461, 561, 288, 410, 99, 299, 444, 364, 295, 309, 386, 239, 450, 420, 389, 334, 212, 6, 395, 0, 497, 1, 30, 448, 562, 199, 551, 482, 221, 425, 211, 0, 217, 528, 456, 76, 179, 120, 15, 499, 542, 320, 475, 3, 380, 164, 540, 93, 291, 343, 362, 507, 0, 181, 176, 304, 303, 158, 200, 465, 399, 29, 555, 477, 422, 198, 534, 564, 31, 64, 463, 0, 327, 271, 337, 251, 406, 318, 530, 166, 285, 109, 484, 523, 129, 553, 110, 172, 447, 571, 417, 552, 67, 115, 426, 379, 165, 394, 222, 301, 437, 0, 97, 531, 459, 454, 185, 314, 19, 78, 324, 80, 203, 132, 22, 0, 186, 260, 191, 546, 512, 43, 89, 216, 486, 36, 0, 25, 117, 92, 205, 431, 489, 16, 151, 439, 310, 305, 548, 0, 83, 536, 63, 557, 135, 215, 487, 433, 219, 427, 481, 123, 230, 62, 351, 312, 277, 86, 307, 279, 128, 348, 58, 370, 111, 75, 21, 391, 559, 345, 0, 190, 449, 515, 264, 524, 10, 42, 358, 377, 77, 0, 173, 409, 289, 349, 224, 45, 229, 17, 322, 171, 506, 101, 265, 274, 49, 397, 503, 169, 194, 363, 336, 0, 485, 374, 53, 419, 9, 366, 472, 44, 87, 268, 452, 335, 342, 532, 100, 290, 85, 0, 243, 563, 252, 278, 293, 340, 464, 193, 38, 541, 52, 284, 416, 195, 91, 282, 505, 479, 197, 240, 413, 108, 0, 73, 298, 46, 245, 95, 442, 396, 490, 55, 90, 96, 401, 184, 466, 257, 241, 572, 269, 272, 514, 40, 0, 182, 141, 390, 163, 88, 226, 114, 70, 451, 438, 387, 189, 436, 565, 232, 273, 357, 27, 139, 218, 516, 0, 5, 23, 68, 384, 341, 147, 544, 443, 405, 501, 483, 0, 294, 330, 246, 231, 329, 332, 457, 385, 13, 550, 61, 286, 517, 177, 350, 558, 311, 275, 519, 148, 188, 493, 287, 227, 529, 153, 152, 0, 150, 136, 333, 432, 352, 547, 130, 20, 404, 12, 480, 187, 74, 0, 408, 375, 249, 376, 59, 54, 154, 7, 18, 339, 526, 0, 11, 317, 354, 2, 537, 402, 504, 174, 533, 50, 338, 276, 0, 39, 34, 0]</t>
  </si>
  <si>
    <t>[0, 500, 429, 209, 225, 116, 208, 440, 26, 543, 37, 421, 382, 403, 0, 119, 48, 424, 407, 24, 14, 522, 0, 47, 107, 308, 196, 178, 142, 566, 361, 15, 525, 67, 314, 120, 417, 552, 146, 499, 538, 220, 237, 79, 94, 378, 242, 192, 0, 455, 234, 28, 41, 81, 0, 570, 471, 509, 66, 210, 238, 539, 474, 235, 4, 470, 468, 201, 168, 102, 98, 360, 469, 126, 321, 250, 453, 0, 460, 33, 1, 467, 549, 236, 513, 392, 71, 82, 292, 266, 476, 445, 60, 323, 418, 72, 347, 202, 103, 0, 125, 326, 35, 30, 137, 144, 316, 138, 554, 367, 0, 258, 373, 214, 280, 149, 6, 31, 32, 121, 0, 167, 170, 160, 261, 118, 430, 256, 415, 145, 491, 263, 328, 161, 270, 297, 400, 204, 259, 248, 331, 492, 395, 3, 502, 498, 207, 0, 435, 569, 51, 535, 8, 223, 19, 157, 124, 473, 56, 315, 527, 0, 508, 568, 253, 343, 383, 359, 567, 267, 105, 372, 99, 477, 462, 244, 420, 283, 356, 478, 143, 364, 411, 140, 306, 346, 344, 104, 156, 368, 325, 69, 520, 371, 57, 494, 296, 369, 353, 0, 507, 21, 42, 365, 65, 511, 313, 0, 381, 93, 398, 159, 560, 122, 475, 448, 553, 351, 481, 366, 322, 123, 230, 115, 571, 185, 62, 295, 447, 179, 309, 319, 388, 112, 386, 228, 155, 239, 446, 450, 444, 495, 134, 545, 106, 556, 428, 0, 254, 233, 255, 355, 542, 17, 129, 562, 36, 534, 262, 423, 183, 496, 300, 0, 25, 40, 11, 276, 0, 518, 380, 213, 133, 389, 412, 564, 16, 10, 327, 173, 437, 0, 27, 291, 211, 22, 362, 176, 301, 97, 294, 0, 338, 516, 191, 180, 461, 175, 482, 198, 551, 199, 29, 523, 131, 510, 128, 348, 277, 426, 229, 312, 151, 172, 110, 45, 307, 216, 320, 113, 334, 497, 434, 0, 181, 302, 561, 206, 410, 212, 299, 555, 285, 288, 78, 43, 431, 425, 463, 391, 304, 409, 358, 169, 194, 85, 0, 221, 281, 456, 488, 422, 127, 484, 86, 393, 9, 489, 324, 200, 251, 406, 158, 540, 521, 458, 531, 186, 0, 164, 64, 337, 318, 75, 370, 76, 109, 486, 279, 433, 374, 215, 89, 166, 58, 399, 465, 111, 268, 135, 479, 80, 203, 515, 132, 5, 0, 528, 485, 487, 53, 419, 171, 472, 284, 379, 184, 541, 439, 52, 416, 219, 197, 23, 377, 363, 0, 271, 222, 162, 205, 557, 512, 240, 546, 265, 108, 449, 303, 92, 224, 349, 18, 514, 243, 290, 77, 0, 39, 336, 100, 503, 117, 274, 49, 397, 12, 563, 317, 0, 264, 524, 335, 505, 87, 195, 530, 506, 44, 427, 38, 257, 91, 282, 452, 342, 572, 101, 413, 459, 63, 559, 0, 310, 394, 396, 241, 454, 70, 90, 293, 340, 464, 193, 165, 466, 114, 401, 96, 451, 55, 436, 442, 13, 68, 565, 272, 483, 0, 345, 269, 548, 289, 252, 232, 332, 305, 2, 84, 73, 330, 150, 0, 414, 357, 273, 46, 329, 536, 95, 278, 490, 189, 387, 438, 384, 341, 147, 544, 226, 20, 350, 480, 227, 529, 153, 247, 83, 50, 0, 34, 59, 7, 139, 218, 74, 0, 54, 441, 154, 501, 432, 352, 547, 130, 558, 275, 404, 311, 286, 177, 517, 550, 61, 88, 443, 245, 405, 163, 298, 457, 519, 190, 217, 187, 532, 260, 246, 0, 339, 354, 526, 174, 504, 402, 136, 141, 287, 231, 493, 188, 390, 385, 148, 333, 376, 249, 375, 182, 537, 408, 533, 152, 0]</t>
  </si>
  <si>
    <t>[0, 501, 460, 201, 213, 0, 476, 389, 579, 561, 547, 0, 506, 414, 134, 366, 0, 521, 397, 491, 0, 380, 120, 89, 0, 307, 526, 507, 303, 0, 554, 334, 401, 327, 0, 78, 5, 205, 512, 0, 475, 487, 349, 0, 378, 256, 66, 0, 348, 472, 467, 0, 139, 445, 34, 466, 0, 551, 59, 395, 0, 368, 304, 439, 0, 569, 345, 352, 0, 428, 536, 48, 203, 0, 301, 580, 316, 0, 517, 364, 387, 0, 576, 432, 502, 0, 324, 404, 196, 0, 391, 469, 442, 0, 480, 544, 132, 0, 444, 422, 577, 342, 0, 560, 452, 484, 0, 258, 100, 221, 0, 410, 361, 340, 0, 40, 19, 133, 0, 529, 525, 562, 325, 0, 371, 162, 141, 542, 0, 306, 382, 85, 0, 564, 528, 293, 0, 229, 323, 565, 0, 332, 270, 505, 0, 49, 142, 102, 363, 0, 453, 585, 437, 0, 567, 370, 464, 0, 104, 497, 185, 511, 0, 90, 206, 209, 228, 0, 412, 357, 356, 582, 0, 144, 584, 93, 67, 0, 351, 450, 509, 399, 0, 215, 398, 318, 0, 317, 574, 474, 455, 0, 150, 292, 53, 0, 125, 411, 418, 0, 575, 462, 375, 329, 0, 451, 297, 396, 415, 0, 372, 308, 263, 556, 0, 381, 558, 429, 0, 416, 23, 530, 0, 353, 533, 337, 0, 105, 326, 468, 176, 0, 419, 417, 492, 0, 224, 568, 54, 321, 0, 238, 546, 358, 431, 0, 578, 490, 99, 0, 214, 240, 222, 550, 0, 516, 347, 344, 0, 523, 341, 473, 0, 537, 386, 493, 477, 0, 434, 336, 459, 116, 0, 7, 300, 289, 0, 393, 338, 295, 305, 0, 504, 373, 465, 0, 538, 62, 41, 186, 0, 531, 563, 402, 27, 0, 291, 549, 515, 319, 0, 486, 346, 448, 350, 0, 354, 513, 458, 0, 532, 298, 219, 234, 0, 461, 18, 43, 247, 0, 322, 181, 314, 194, 0, 262, 212, 288, 0, 20, 183, 494, 0, 202, 16, 118, 0, 232, 198, 227, 0, 220, 233, 72, 0, 510, 541, 294, 369, 0, 500, 315, 488, 0, 519, 79, 10, 13, 0, 86, 156, 313, 267, 0, 103, 173, 251, 0, 9, 110, 44, 81, 0, 126, 114, 163, 50, 0, 390, 413, 242, 0, 117, 22, 252, 245, 0, 495, 94, 394, 0, 123, 427, 192, 260, 0, 407, 51, 482, 540, 0, 454, 365, 481, 447, 0, 276, 279, 168, 283, 0, 384, 302, 3, 379, 0, 175, 478, 60, 583, 0, 42, 254, 153, 0, 385, 535, 489, 0, 28, 32, 282, 0, 128, 157, 197, 235, 0, 160, 244, 1, 33, 0, 457, 479, 253, 0, 426, 8, 309, 0, 129, 57, 91, 0, 545, 566, 190, 0, 534, 553, 239, 179, 0, 155, 147, 143, 0, 392, 376, 522, 0, 199, 64, 71, 0, 287, 286, 211, 243, 0, 296, 333, 572, 4, 0, 58, 170, 265, 0, 167, 218, 208, 0, 377, 172, 29, 0, 463, 440, 471, 520, 0, 47, 56, 21, 68, 0, 299, 328, 433, 470, 0, 88, 135, 149, 101, 0, 573, 330, 383, 0, 248, 259, 6, 273, 0, 130, 571, 514, 0, 137, 570, 555, 0, 14, 39, 37, 0, 12, 11, 174, 158, 0, 331, 311, 374, 165, 0, 38, 362, 145, 312, 0, 200, 230, 250, 0, 403, 184, 543, 359, 0, 210, 217, 269, 0, 55, 24, 95, 36, 0, 527, 409, 237, 0, 182, 425, 92, 236, 0, 180, 69, 268, 152, 0, 98, 73, 30, 164, 0, 355, 456, 281, 430, 0, 246, 255, 111, 443, 0, 154, 17, 284, 0, 278, 277, 2, 257, 0, 146, 82, 115, 0, 77, 151, 171, 216, 0, 31, 187, 274, 0, 131, 189, 136, 127, 0, 97, 195, 119, 241, 0, 161, 70, 285, 52, 0, 438, 76, 503, 498, 0, 121, 193, 148, 539, 0, 275, 177, 204, 0, 290, 435, 557, 112, 0, 310, 35, 188, 109, 0, 499, 446, 423, 388, 0, 108, 26, 140, 0, 441, 15, 63, 405, 0, 420, 122, 169, 0, 106, 408, 223, 0, 249, 75, 87, 0, 360, 320, 424, 0, 96, 421, 406, 0, 400, 46, 271, 0, 449, 83, 207, 0, 266, 65, 343, 0, 113, 124, 226, 367, 0, 261, 74, 339, 483, 0, 159, 485, 548, 0, 559, 496, 524, 166, 0, 191, 84, 138, 225, 0, 436, 508, 552, 0, 45, 264, 61, 0, 80, 335, 581, 0, 272, 25, 178, 107, 0, 518, 231, 280, 0]</t>
  </si>
  <si>
    <t>X_n585</t>
  </si>
  <si>
    <t>[0, 508, 388, 552, 483, 0, 436, 581, 207, 0, 96, 405, 317, 500, 0, 499, 574, 488, 510, 0, 559, 518, 112, 335, 0, 339, 585, 474, 547, 0, 315, 512, 65, 74, 0, 455, 442, 203, 406, 0, 496, 159, 80, 0, 548, 446, 424, 0, 485, 569, 453, 0, 261, 320, 469, 0, 294, 369, 343, 0, 423, 580, 502, 0, 541, 89, 316, 0, 360, 439, 576, 0, 539, 304, 501, 387, 0, 466, 554, 349, 301, 0, 421, 352, 437, 0, 517, 368, 83, 0, 432, 380, 303, 45, 0, 391, 506, 414, 561, 0, 364, 307, 134, 366, 0, 521, 491, 579, 0, 475, 487, 78, 0, 334, 389, 460, 120, 0, 213, 397, 476, 272, 0, 5, 348, 205, 66, 0, 525, 100, 258, 0, 229, 141, 49, 462, 0, 418, 142, 323, 0, 467, 59, 395, 0, 102, 398, 53, 0, 162, 544, 452, 0, 464, 565, 484, 0, 371, 332, 357, 224, 0, 93, 144, 411, 215, 0, 289, 104, 67, 511, 0, 292, 562, 270, 0, 185, 497, 451, 318, 0, 342, 529, 505, 550, 0, 125, 584, 523, 0, 577, 422, 139, 0, 263, 99, 297, 0, 325, 382, 221, 0, 445, 444, 404, 0, 372, 337, 415, 396, 0, 321, 363, 370, 196, 0, 381, 558, 300, 0, 351, 542, 85, 472, 0, 551, 480, 560, 450, 0, 361, 564, 412, 329, 0, 308, 353, 477, 62, 0, 556, 533, 402, 393, 0, 410, 575, 399, 0, 150, 240, 373, 0, 429, 490, 347, 0, 473, 493, 344, 0, 41, 578, 295, 238, 0, 324, 567, 54, 0, 516, 537, 486, 305, 0, 340, 293, 528, 0, 509, 306, 358, 0, 7, 386, 341, 0, 546, 322, 194, 563, 0, 48, 416, 530, 0, 214, 27, 531, 346, 0, 515, 232, 350, 0, 338, 458, 354, 44, 0, 186, 198, 513, 448, 0, 212, 181, 314, 0, 247, 20, 183, 18, 0, 461, 494, 227, 0, 16, 79, 233, 220, 0, 43, 72, 173, 0, 288, 519, 251, 0, 13, 10, 117, 103, 0, 58, 160, 153, 276, 0, 22, 28, 252, 282, 0, 167, 132, 279, 157, 0, 9, 283, 42, 0, 254, 147, 245, 0, 129, 244, 202, 0, 33, 168, 32, 262, 0, 143, 199, 1, 197, 0, 91, 155, 64, 0, 243, 211, 286, 57, 0, 170, 68, 71, 0, 218, 135, 37, 0, 287, 208, 39, 0, 265, 21, 14, 0, 47, 164, 158, 0, 149, 174, 36, 0, 6, 56, 152, 0, 19, 268, 171, 30, 0, 277, 52, 95, 151, 0, 430, 443, 101, 250, 0, 98, 24, 284, 216, 0, 331, 246, 285, 73, 0, 77, 136, 127, 11, 0, 470, 111, 75, 69, 0, 180, 230, 40, 0, 177, 35, 204, 0, 70, 55, 269, 88, 0, 182, 257, 115, 189, 0, 311, 2, 87, 273, 0, 355, 281, 17, 12, 0, 130, 255, 226, 0, 146, 82, 217, 0, 206, 456, 425, 359, 0, 278, 137, 133, 0, 377, 440, 84, 61, 0, 264, 124, 154, 0, 209, 200, 195, 97, 0, 463, 362, 92, 271, 0, 4, 471, 571, 248, 0, 426, 299, 236, 0, 433, 570, 161, 228, 0, 572, 237, 328, 110, 0, 573, 184, 312, 374, 0, 545, 520, 409, 165, 0, 8, 514, 543, 0, 478, 376, 555, 403, 138, 0, 29, 383, 534, 187, 0, 259, 90, 210, 0, 275, 145, 535, 0, 367, 330, 253, 0, 280, 107, 385, 454, 0, 131, 333, 172, 379, 0, 188, 225, 178, 25, 0, 175, 553, 296, 522, 0, 408, 309, 239, 0, 495, 179, 190, 302, 0, 527, 392, 566, 0, 31, 583, 60, 0, 524, 482, 479, 481, 0, 249, 38, 407, 3, 0, 274, 489, 457, 0, 191, 51, 447, 0, 169, 231, 106, 0, 223, 384, 365, 0, 94, 413, 166, 109, 0, 46, 122, 193, 0, 156, 390, 540, 267, 0, 400, 449, 242, 0, 394, 427, 15, 0, 266, 313, 86, 0, 126, 123, 192, 441, 0, 260, 114, 163, 113, 0, 63, 50, 0, 378, 526, 507, 0, 108, 121, 119, 290, 0, 468, 176, 310, 0, 201, 327, 34, 256, 0, 345, 140, 420, 0, 326, 235, 26, 498, 0, 241, 435, 319, 76, 0, 401, 536, 428, 0, 438, 459, 23, 0, 557, 105, 0, 116, 503, 148, 0, 492, 532, 356, 0, 582, 419, 504, 465, 0, 434, 417, 0, 336, 568, 375, 0, 538, 118, 128, 0, 549, 291, 219, 0, 222, 298, 234, 81, 0, 431, 0]</t>
  </si>
  <si>
    <t>[0, 436, 483, 366, 316, 0, 207, 581, 559, 510, 0, 96, 405, 317, 500, 0, 488, 89, 455, 0, 552, 547, 502, 0, 406, 388, 387, 315, 0, 335, 469, 580, 0, 499, 424, 574, 453, 0, 508, 496, 518, 0, 423, 301, 474, 0, 442, 561, 576, 512, 0, 585, 303, 380, 460, 501, 0, 339, 120, 432, 0, 80, 548, 487, 0, 320, 517, 539, 112, 0, 485, 349, 294, 0, 541, 475, 579, 134, 0, 391, 506, 491, 0, 368, 389, 78, 0, 364, 213, 360, 0, 439, 437, 343, 0, 466, 201, 414, 521, 0, 304, 307, 348, 397, 0, 369, 507, 476, 0, 554, 446, 421, 0, 5, 205, 472, 334, 0, 327, 526, 378, 0, 352, 569, 83, 0, 467, 401, 66, 0, 395, 59, 139, 0, 256, 285, 87, 0, 445, 179, 457, 0, 444, 258, 551, 0, 428, 34, 404, 326, 0, 345, 536, 410, 0, 480, 544, 515, 110, 0, 452, 100, 422, 0, 560, 342, 224, 116, 0, 196, 529, 325, 577, 0, 525, 371, 562, 351, 0, 484, 221, 412, 582, 0, 361, 382, 370, 0, 324, 85, 357, 0, 542, 323, 229, 162, 0, 293, 528, 564, 0, 270, 141, 459, 0, 340, 505, 375, 0, 332, 252, 64, 33, 0, 450, 464, 399, 0, 565, 49, 102, 462, 0, 567, 306, 336, 434, 0, 142, 185, 144, 418, 0, 363, 511, 497, 104, 0, 575, 318, 358, 0, 67, 415, 584, 93, 0, 509, 23, 48, 0, 215, 451, 99, 297, 0, 398, 308, 125, 0, 416, 356, 530, 0, 292, 353, 396, 0, 53, 150, 54, 0, 492, 568, 329, 419, 0, 372, 477, 556, 411, 0, 429, 490, 341, 0, 337, 493, 533, 0, 381, 347, 263, 0, 105, 417, 504, 321, 0, 578, 295, 402, 393, 0, 238, 516, 386, 305, 0, 558, 27, 473, 0, 344, 338, 448, 531, 0, 431, 319, 373, 550, 0, 346, 350, 546, 0, 222, 523, 563, 486, 0, 465, 240, 300, 0, 7, 537, 513, 13, 0, 214, 62, 194, 354, 0, 314, 232, 458, 0, 532, 289, 538, 549, 0, 41, 494, 461, 0, 198, 181, 322, 247, 0, 298, 291, 219, 498, 0, 288, 227, 18, 0, 43, 186, 233, 79, 0, 183, 519, 72, 0, 20, 251, 212, 0, 262, 202, 118, 0, 10, 28, 22, 0, 220, 16, 173, 117, 0, 103, 245, 32, 0, 282, 147, 199, 286, 0, 276, 42, 254, 0, 279, 153, 143, 168, 0, 160, 243, 211, 135, 0, 244, 1, 218, 0, 197, 155, 208, 0, 132, 71, 68, 0, 170, 287, 57, 0, 129, 283, 235, 0, 63, 242, 313, 0, 394, 390, 156, 0, 94, 413, 123, 0, 265, 14, 171, 0, 540, 384, 426, 0, 175, 407, 365, 447, 0, 454, 583, 51, 0, 302, 3, 489, 481, 0, 86, 482, 566, 478, 0, 91, 39, 158, 56, 0, 167, 149, 174, 268, 0, 545, 379, 60, 114, 0, 253, 522, 190, 0, 479, 330, 392, 0, 433, 535, 427, 0, 377, 172, 29, 0, 385, 4, 8, 309, 0, 534, 376, 383, 312, 0, 463, 374, 555, 239, 0, 296, 520, 543, 165, 0, 47, 95, 151, 37, 0, 440, 184, 145, 333, 0, 470, 92, 403, 514, 0, 130, 237, 572, 0, 19, 250, 21, 0, 230, 152, 164, 0, 495, 409, 236, 0, 553, 328, 573, 38, 0, 299, 425, 571, 331, 0, 527, 137, 430, 267, 0, 90, 40, 101, 0, 362, 570, 182, 0, 180, 311, 359, 471, 0, 246, 281, 456, 355, 0, 77, 204, 24, 216, 0, 206, 217, 269, 0, 443, 2, 277, 146, 0, 241, 420, 468, 0, 119, 234, 76, 203, 0, 209, 70, 111, 255, 0, 81, 503, 557, 0, 273, 128, 9, 97, 0, 200, 58, 195, 0, 210, 6, 259, 0, 228, 133, 88, 169, 0, 44, 157, 193, 46, 0, 12, 11, 30, 69, 0, 248, 52, 127, 73, 0, 225, 284, 36, 0, 107, 124, 264, 0, 74, 45, 109, 65, 0, 121, 122, 140, 0, 188, 178, 231, 290, 0, 280, 138, 84, 275, 0, 154, 17, 136, 0, 271, 435, 176, 0, 25, 26, 148, 438, 0, 310, 98, 55, 35, 0, 61, 75, 226, 189, 0, 161, 177, 115, 257, 0, 261, 266, 400, 159, 0, 108, 106, 249, 0, 191, 131, 82, 367, 0, 272, 441, 113, 0, 260, 50, 15, 0, 449, 163, 126, 0, 223, 524, 166, 0, 192, 31, 408, 0, 274, 278, 187, 0]</t>
  </si>
  <si>
    <t>[0, 254, 312, 181, 240, 122, 284, 136, 0, 419, 330, 311, 86, 287, 408, 458, 0, 543, 347, 235, 252, 536, 0, 85, 223, 61, 264, 596, 81, 17, 0, 246, 200, 236, 310, 501, 550, 0, 401, 359, 336, 165, 461, 502, 0, 299, 16, 465, 57, 238, 201, 0, 317, 314, 101, 422, 532, 7, 0, 25, 55, 485, 462, 59, 10, 296, 0, 452, 73, 191, 301, 234, 233, 0, 355, 372, 188, 286, 56, 217, 0, 84, 428, 161, 366, 306, 76, 54, 0, 229, 231, 170, 361, 196, 279, 0, 124, 459, 109, 426, 164, 590, 0, 406, 343, 533, 547, 210, 104, 0, 62, 454, 415, 36, 30, 433, 327, 0, 242, 557, 329, 496, 142, 250, 0, 493, 597, 514, 45, 328, 498, 0, 216, 381, 568, 563, 526, 483, 0, 571, 65, 463, 320, 11, 152, 0, 598, 228, 2, 23, 425, 176, 0, 551, 368, 390, 435, 90, 388, 6, 0, 239, 260, 29, 282, 292, 72, 507, 0, 149, 255, 93, 119, 18, 75, 391, 0, 205, 577, 427, 555, 207, 561, 0, 303, 488, 499, 409, 490, 68, 345, 0, 41, 481, 516, 209, 510, 338, 0, 334, 34, 566, 147, 179, 316, 0, 450, 491, 308, 564, 13, 289, 146, 0, 591, 432, 468, 214, 558, 370, 0, 537, 91, 103, 586, 412, 0, 3, 513, 272, 476, 297, 35, 0, 148, 418, 283, 167, 523, 378, 0, 487, 172, 151, 79, 402, 145, 153, 0, 278, 155, 298, 395, 421, 376, 262, 0, 524, 98, 384, 489, 423, 280, 464, 0, 163, 399, 460, 434, 74, 0, 82, 206, 106, 58, 157, 411, 0, 588, 49, 237, 439, 584, 592, 0, 277, 528, 134, 51, 140, 456, 0, 482, 117, 268, 331, 42, 185, 0, 224, 215, 565, 129, 576, 367, 0, 554, 20, 410, 379, 219, 202, 0, 375, 559, 270, 534, 511, 218, 0, 22, 211, 504, 243, 263, 538, 130, 0, 169, 342, 492, 358, 128, 521, 0, 131, 295, 87, 27, 230, 573, 0, 371, 220, 92, 438, 467, 127, 451, 0, 97, 256, 132, 33, 417, 340, 0, 470, 436, 403, 309, 541, 509, 531, 0, 276, 187, 362, 110, 83, 349, 0, 522, 162, 469, 556, 114, 431, 0, 414, 486, 443, 413, 258, 360, 0, 249, 166, 374, 257, 194, 352, 520, 0, 275, 195, 353, 192, 154, 44, 0, 416, 50, 569, 304, 67, 60, 40, 0, 494, 593, 497, 527, 141, 116, 0, 548, 14, 515, 47, 293, 363, 0, 300, 108, 429, 1, 193, 221, 0, 478, 43, 253, 144, 354, 105, 125, 0, 339, 581, 265, 518, 484, 387, 0, 19, 77, 364, 348, 437, 168, 46, 0, 241, 326, 351, 323, 269, 397, 0, 226, 199, 549, 400, 386, 420, 245, 0, 546, 190, 529, 158, 171, 80, 0, 579, 180, 325, 143, 350, 4, 37, 0, 28, 274, 248, 595, 449, 322, 0, 232, 159, 227, 32, 126, 273, 0, 48, 285, 472, 183, 70, 208, 0, 9, 457, 281, 111, 213, 0, 26, 113, 477, 89, 407, 578, 0, 177, 495, 71, 447, 480, 107, 290, 0, 266, 197, 580, 337, 267, 186, 540, 0, 512, 8, 332, 430, 225, 479, 0, 178, 261, 385, 212, 341, 575, 398, 0, 305, 135, 455, 112, 121, 560, 39, 0, 123, 99, 53, 383, 291, 0, 189, 247, 572, 552, 474, 244, 0, 173, 88, 15, 525, 396, 570, 102, 0, 393, 302, 203, 150, 251, 444, 0, 365, 78, 115, 505, 120, 0, 380, 539, 63, 369, 503, 517, 0, 182, 198, 589, 294, 587, 583, 259, 0, 542, 473, 64, 392, 139, 319, 0, 373, 24, 31, 405, 344, 160, 356, 0, 335, 545, 453, 271, 475, 0, 448, 582, 94, 307, 424, 66, 318, 0, 389, 530, 21, 519, 96, 204, 0, 442, 567, 118, 535, 184, 394, 0, 95, 562, 321, 553, 404, 506, 0, 313, 500, 594, 137, 441, 69, 0, 100, 138, 544, 288, 446, 0, 175, 382, 574, 174, 377, 38, 324, 0, 445, 466, 315, 346, 5, 471, 0, 333, 585, 222, 12, 440, 52, 0, 156, 508, 133, 357, 0]</t>
  </si>
  <si>
    <t>X_n598</t>
  </si>
  <si>
    <t>[0, 108, 166, 154, 105, 126, 245, 107, 0, 44, 374, 429, 193, 354, 125, 253, 0, 495, 32, 386, 144, 221, 400, 0, 220, 230, 127, 27, 192, 1, 420, 0, 531, 457, 227, 281, 71, 447, 0, 309, 573, 130, 114, 431, 257, 0, 345, 541, 92, 162, 451, 352, 520, 0, 509, 469, 556, 194, 467, 565, 504, 0, 403, 331, 129, 263, 438, 353, 0, 131, 511, 87, 243, 42, 588, 0, 549, 538, 367, 576, 268, 270, 0, 534, 185, 295, 439, 157, 482, 0, 215, 584, 411, 421, 399, 434, 0, 559, 49, 106, 237, 117, 218, 0, 468, 172, 58, 206, 592, 262, 0, 82, 224, 487, 151, 79, 155, 35, 0, 163, 334, 68, 214, 460, 0, 370, 376, 298, 395, 316, 153, 558, 0, 74, 432, 152, 499, 205, 591, 0, 278, 402, 145, 272, 476, 551, 488, 0, 10, 463, 3, 207, 119, 147, 490, 0, 526, 320, 255, 179, 513, 297, 0, 231, 459, 149, 409, 561, 65, 0, 485, 55, 17, 368, 566, 34, 11, 0, 336, 165, 388, 90, 93, 555, 0, 211, 6, 590, 109, 59, 568, 0, 461, 391, 18, 75, 426, 359, 0, 223, 536, 164, 458, 427, 577, 0, 563, 462, 550, 236, 264, 61, 0, 246, 200, 408, 390, 310, 81, 0, 85, 254, 543, 240, 435, 502, 0, 501, 122, 287, 86, 596, 181, 419, 0, 25, 312, 284, 252, 330, 299, 0, 372, 56, 452, 317, 170, 0, 355, 311, 347, 235, 238, 366, 0, 401, 136, 532, 57, 301, 161, 217, 0, 124, 7, 422, 465, 188, 306, 0, 76, 16, 201, 191, 101, 62, 524, 0, 45, 104, 234, 210, 286, 598, 0, 514, 314, 533, 547, 233, 406, 0, 239, 433, 343, 73, 228, 428, 0, 283, 338, 36, 30, 516, 454, 0, 418, 176, 84, 29, 23, 415, 2, 0, 54, 327, 425, 72, 507, 537, 0, 209, 292, 282, 103, 378, 169, 0, 498, 510, 260, 91, 41, 0, 277, 464, 528, 456, 167, 523, 0, 414, 340, 423, 481, 489, 384, 412, 0, 97, 342, 280, 586, 134, 98, 0, 397, 486, 256, 51, 492, 0, 40, 443, 349, 358, 128, 496, 0, 416, 417, 110, 258, 497, 546, 363, 0, 180, 187, 33, 83, 413, 116, 0, 360, 362, 140, 521, 132, 293, 0, 494, 276, 328, 50, 527, 19, 0, 557, 564, 569, 141, 548, 274, 0, 308, 304, 67, 518, 437, 47, 593, 0, 351, 269, 60, 581, 265, 484, 0, 148, 190, 348, 387, 515, 248, 0, 339, 14, 364, 168, 89, 477, 0, 323, 28, 80, 77, 529, 267, 0, 595, 208, 4, 158, 171, 113, 407, 337, 0, 449, 325, 472, 580, 341, 575, 178, 0, 322, 579, 46, 350, 143, 212, 474, 0, 142, 183, 285, 197, 385, 552, 0, 553, 53, 37, 186, 244, 539, 0, 326, 99, 26, 203, 398, 251, 0, 266, 189, 70, 150, 63, 392, 0, 404, 291, 393, 578, 48, 64, 0, 383, 261, 369, 380, 139, 319, 0, 389, 542, 247, 540, 444, 519, 0, 382, 333, 506, 302, 572, 503, 0, 175, 562, 491, 289, 517, 321, 0, 95, 473, 21, 96, 204, 471, 0, 156, 585, 222, 530, 100, 0, 442, 475, 271, 241, 13, 250, 0, 146, 123, 12, 440, 357, 508, 0, 567, 177, 133, 52, 346, 0, 445, 453, 226, 450, 5, 315, 0, 574, 466, 377, 174, 313, 512, 279, 242, 0, 324, 446, 288, 335, 545, 196, 0, 138, 544, 38, 441, 216, 597, 0, 500, 69, 184, 582, 448, 483, 0, 594, 137, 394, 535, 66, 94, 0, 102, 365, 259, 356, 318, 118, 0, 9, 115, 160, 424, 307, 373, 0, 305, 570, 583, 344, 405, 120, 0, 290, 294, 587, 31, 24, 198, 0, 182, 589, 78, 505, 88, 173, 0, 275, 135, 455, 396, 15, 39, 0, 112, 525, 479, 225, 560, 430, 300, 0, 554, 202, 478, 232, 213, 480, 121, 0, 470, 159, 273, 111, 332, 0, 219, 249, 195, 436, 199, 8, 0, 379, 375, 22, 522, 43, 371, 0, 20, 410, 303, 296, 0, 571, 381, 361, 229, 329, 493, 0]</t>
  </si>
  <si>
    <t>[0, 159, 495, 111, 245, 71, 332, 0, 447, 480, 281, 457, 273, 44, 0, 549, 253, 400, 420, 125, 126, 227, 0, 8, 32, 386, 105, 144, 221, 0, 199, 43, 531, 309, 220, 522, 0, 166, 509, 403, 436, 375, 379, 22, 0, 154, 354, 193, 1, 520, 192, 573, 0, 108, 374, 429, 353, 162, 541, 504, 0, 249, 131, 218, 559, 460, 345, 0, 511, 469, 257, 194, 431, 352, 0, 92, 130, 556, 27, 534, 270, 0, 195, 211, 434, 482, 399, 591, 0, 215, 295, 467, 451, 114, 230, 538, 0, 224, 185, 576, 87, 263, 438, 0, 127, 565, 243, 367, 592, 588, 0, 478, 371, 470, 219, 20, 202, 0, 262, 268, 331, 129, 42, 117, 0, 376, 58, 487, 237, 439, 584, 0, 82, 49, 411, 157, 106, 214, 0, 525, 479, 225, 107, 121, 232, 300, 0, 410, 74, 370, 558, 35, 163, 0, 490, 153, 316, 172, 206, 421, 0, 278, 155, 298, 395, 79, 151, 179, 0, 488, 297, 476, 145, 402, 68, 0, 561, 3, 566, 119, 255, 147, 272, 0, 11, 34, 555, 207, 368, 513, 0, 432, 468, 409, 499, 152, 303, 0, 334, 205, 149, 320, 61, 165, 10, 0, 463, 427, 18, 458, 577, 90, 388, 0, 65, 6, 93, 390, 75, 590, 0, 571, 568, 551, 563, 526, 177, 0, 459, 17, 391, 81, 310, 200, 401, 0, 426, 550, 501, 164, 109, 462, 0, 181, 240, 347, 287, 435, 236, 0, 246, 235, 86, 408, 596, 264, 0, 336, 254, 312, 136, 122, 284, 59, 0, 485, 461, 55, 502, 170, 493, 0, 543, 311, 238, 201, 252, 419, 0, 536, 330, 7, 532, 57, 465, 0, 124, 359, 223, 85, 299, 355, 0, 366, 16, 233, 422, 301, 101, 524, 0, 25, 210, 191, 73, 533, 317, 0, 314, 104, 234, 547, 188, 56, 0, 76, 372, 286, 343, 36, 2, 0, 452, 406, 327, 30, 23, 425, 0, 196, 361, 231, 381, 216, 554, 0, 54, 217, 228, 516, 433, 415, 292, 0, 176, 29, 72, 209, 161, 514, 45, 0, 329, 229, 328, 306, 537, 498, 0, 597, 428, 507, 260, 282, 489, 384, 0, 148, 84, 510, 103, 481, 423, 0, 557, 598, 62, 454, 91, 280, 0, 491, 338, 586, 128, 412, 239, 0, 277, 134, 528, 464, 283, 0, 418, 41, 98, 51, 140, 358, 0, 169, 378, 342, 417, 33, 132, 0, 564, 167, 456, 110, 521, 83, 50, 0, 496, 492, 187, 362, 569, 67, 0, 308, 523, 340, 256, 304, 265, 0, 339, 414, 276, 97, 349, 413, 0, 360, 497, 527, 258, 486, 363, 0, 593, 443, 60, 581, 484, 141, 0, 226, 213, 430, 560, 88, 15, 39, 0, 269, 116, 518, 190, 348, 387, 47, 0, 19, 14, 515, 293, 274, 595, 0, 40, 548, 77, 364, 437, 337, 407, 0, 494, 250, 242, 296, 279, 450, 483, 0, 396, 112, 455, 9, 305, 570, 0, 397, 546, 529, 89, 4, 0, 78, 115, 173, 135, 290, 102, 0, 13, 142, 416, 248, 323, 351, 0, 180, 158, 325, 168, 477, 472, 80, 0, 545, 453, 512, 365, 505, 589, 0, 208, 46, 143, 113, 267, 212, 244, 0, 28, 70, 350, 285, 575, 552, 0, 448, 120, 182, 198, 294, 405, 0, 567, 373, 31, 587, 583, 160, 307, 0, 99, 449, 579, 326, 123, 241, 0, 335, 24, 344, 94, 424, 259, 66, 0, 322, 178, 37, 578, 48, 251, 0, 26, 171, 183, 580, 341, 197, 0, 271, 275, 146, 517, 289, 266, 0, 100, 321, 562, 95, 475, 442, 0, 313, 582, 356, 535, 184, 138, 0, 542, 53, 302, 385, 474, 203, 0, 393, 261, 186, 150, 539, 444, 0, 389, 383, 572, 63, 319, 0, 291, 189, 540, 398, 392, 369, 0, 382, 175, 118, 318, 394, 594, 0, 404, 156, 69, 441, 137, 500, 0, 553, 574, 288, 544, 324, 445, 0, 471, 508, 377, 38, 446, 174, 0, 506, 503, 473, 64, 380, 21, 0, 333, 52, 346, 5, 315, 466, 0, 530, 247, 139, 519, 96, 204, 0, 133, 357, 440, 12, 222, 585, 0]</t>
  </si>
  <si>
    <t>[0, 260, 409, 577, 428, 327, 572, 70, 219, 341, 65, 0, 212, 574, 339, 88, 408, 118, 157, 173, 305, 194, 0, 526, 385, 450, 524, 281, 24, 344, 511, 0, 125, 536, 112, 471, 404, 503, 522, 155, 52, 218, 508, 179, 267, 76, 0, 461, 35, 256, 587, 396, 485, 362, 0, 351, 234, 387, 17, 520, 472, 10, 53, 527, 110, 152, 180, 0, 186, 554, 501, 488, 240, 22, 425, 299, 182, 402, 375, 0, 297, 144, 540, 581, 298, 8, 611, 528, 392, 285, 0, 437, 565, 448, 261, 496, 561, 447, 354, 113, 325, 105, 0, 470, 369, 338, 452, 473, 216, 288, 321, 0, 143, 376, 233, 422, 519, 609, 205, 269, 202, 13, 0, 564, 596, 238, 94, 435, 162, 189, 315, 29, 0, 146, 586, 324, 430, 497, 601, 263, 278, 73, 492, 0, 64, 262, 39, 523, 462, 551, 477, 174, 516, 0, 114, 26, 465, 137, 50, 466, 27, 539, 225, 506, 0, 330, 343, 449, 316, 1, 188, 0, 292, 47, 128, 99, 584, 264, 272, 557, 296, 0, 429, 476, 217, 254, 389, 370, 28, 95, 607, 431, 138, 92, 458, 237, 474, 0, 85, 356, 134, 290, 460, 567, 139, 535, 195, 438, 0, 559, 432, 463, 283, 533, 589, 169, 68, 171, 0, 423, 164, 515, 455, 360, 580, 66, 103, 232, 0, 332, 117, 291, 32, 570, 464, 366, 224, 104, 547, 0, 334, 161, 142, 214, 383, 419, 350, 588, 606, 0, 531, 487, 4, 578, 58, 420, 319, 245, 592, 534, 493, 87, 0, 163, 407, 439, 446, 243, 268, 61, 552, 505, 0, 74, 259, 132, 494, 102, 436, 374, 198, 34, 0, 509, 129, 251, 355, 427, 610, 382, 293, 0, 491, 483, 600, 201, 184, 127, 168, 227, 421, 37, 326, 258, 0, 306, 165, 433, 328, 329, 294, 9, 573, 530, 486, 11, 579, 100, 371, 403, 0, 81, 525, 322, 424, 335, 33, 215, 31, 352, 481, 538, 200, 0, 563, 86, 303, 295, 59, 379, 395, 411, 96, 248, 608, 0, 359, 133, 167, 247, 556, 394, 562, 244, 0, 72, 357, 101, 207, 148, 361, 213, 93, 381, 266, 0, 363, 41, 545, 313, 372, 191, 187, 63, 284, 0, 221, 388, 196, 79, 583, 416, 77, 353, 30, 597, 206, 0, 119, 51, 390, 172, 594, 308, 271, 156, 90, 336, 0, 178, 605, 121, 166, 46, 453, 599, 236, 591, 150, 301, 228, 40, 0, 177, 123, 49, 131, 109, 246, 250, 0, 544, 181, 569, 170, 153, 479, 15, 0, 312, 302, 280, 459, 397, 489, 575, 499, 252, 0, 604, 145, 358, 442, 454, 48, 478, 151, 211, 300, 83, 111, 12, 0, 274, 45, 158, 550, 418, 149, 159, 412, 116, 192, 0, 331, 368, 265, 405, 208, 21, 16, 193, 62, 367, 345, 548, 0, 97, 532, 365, 543, 443, 115, 220, 414, 71, 323, 14, 542, 183, 0, 106, 270, 576, 20, 108, 510, 23, 0, 310, 380, 42, 124, 314, 585, 67, 69, 135, 75, 0, 84, 441, 469, 80, 541, 507, 203, 154, 426, 342, 0, 136, 406, 417, 348, 558, 391, 36, 126, 0, 235, 2, 393, 517, 140, 160, 347, 239, 275, 566, 440, 276, 320, 0, 400, 98, 475, 513, 482, 185, 19, 209, 457, 0, 60, 55, 273, 602, 82, 598, 386, 282, 122, 595, 0, 223, 373, 456, 5, 451, 229, 555, 349, 286, 107, 434, 0, 415, 571, 7, 468, 210, 307, 502, 364, 78, 549, 0, 504, 18, 612, 249, 384, 241, 346, 0, 199, 568, 467, 490, 6, 340, 257, 529, 0, 204, 378, 89, 242, 230, 582, 399, 25, 317, 0, 333, 226, 500, 287, 57, 514, 590, 537, 197, 175, 56, 0, 231, 222, 304, 277, 44, 495, 255, 484, 38, 0, 553, 445, 309, 512, 593, 498, 3, 413, 0, 279, 337, 176, 546, 398, 377, 518, 253, 91, 0, 603, 54, 130, 120, 141, 318, 0, 410, 444, 147, 521, 190, 289, 311, 401, 0, 560, 43, 480, 0]</t>
  </si>
  <si>
    <t>X_n612</t>
  </si>
  <si>
    <t>[0, 74, 382, 610, 427, 433, 371, 335, 424, 0, 251, 606, 104, 355, 198, 294, 329, 486, 11, 31, 215, 148, 599, 591, 358, 393, 2, 0, 334, 292, 523, 332, 161, 142, 132, 588, 214, 328, 100, 562, 403, 0, 438, 432, 436, 102, 476, 254, 607, 370, 217, 464, 383, 374, 34, 165, 0, 559, 293, 259, 171, 431, 95, 28, 389, 32, 366, 9, 525, 0, 224, 570, 419, 283, 169, 551, 143, 554, 0, 343, 429, 39, 85, 535, 567, 533, 463, 291, 494, 0, 409, 212, 24, 519, 139, 589, 460, 117, 356, 174, 375, 0, 330, 350, 68, 138, 315, 189, 422, 596, 477, 402, 0, 260, 564, 516, 376, 272, 264, 584, 92, 290, 134, 195, 0, 65, 13, 557, 99, 128, 458, 47, 0, 186, 461, 194, 574, 182, 94, 435, 162, 474, 0, 129, 462, 237, 29, 296, 238, 205, 22, 0, 344, 501, 202, 425, 240, 577, 609, 269, 233, 0, 449, 299, 488, 408, 428, 88, 305, 35, 511, 0, 262, 341, 173, 219, 339, 327, 572, 70, 385, 0, 351, 362, 526, 536, 404, 508, 522, 112, 118, 157, 281, 0, 470, 450, 524, 503, 155, 611, 587, 125, 76, 114, 0, 369, 565, 387, 17, 520, 218, 52, 256, 396, 285, 0, 485, 234, 267, 471, 179, 53, 8, 528, 452, 437, 297, 0, 505, 338, 261, 392, 472, 10, 110, 298, 216, 0, 61, 515, 447, 561, 581, 527, 540, 144, 448, 473, 0, 491, 493, 103, 534, 26, 466, 278, 73, 113, 354, 152, 180, 496, 492, 146, 0, 321, 164, 288, 586, 50, 105, 325, 420, 66, 87, 0, 324, 497, 430, 455, 580, 483, 552, 608, 0, 232, 360, 465, 137, 27, 263, 487, 395, 411, 41, 597, 563, 0, 248, 531, 601, 539, 225, 245, 268, 407, 258, 363, 119, 0, 274, 96, 284, 600, 592, 4, 243, 423, 0, 506, 439, 379, 446, 578, 58, 319, 184, 201, 545, 63, 206, 0, 510, 252, 30, 390, 544, 106, 163, 0, 37, 127, 421, 295, 86, 331, 270, 504, 0, 326, 168, 227, 59, 372, 303, 51, 336, 576, 120, 0, 1, 187, 313, 191, 79, 583, 77, 15, 333, 0, 141, 23, 181, 388, 170, 308, 416, 353, 0, 18, 310, 221, 172, 156, 271, 196, 0, 54, 594, 569, 45, 20, 108, 116, 135, 0, 130, 153, 397, 459, 550, 90, 60, 304, 0, 318, 192, 380, 499, 302, 418, 280, 489, 158, 0, 231, 159, 575, 479, 149, 405, 208, 16, 585, 222, 444, 0, 410, 279, 147, 345, 541, 507, 193, 21, 265, 368, 312, 412, 0, 480, 311, 521, 154, 203, 62, 314, 42, 84, 0, 75, 277, 122, 602, 367, 80, 67, 124, 441, 548, 55, 0, 317, 43, 91, 289, 595, 386, 598, 82, 469, 69, 0, 560, 401, 190, 342, 241, 249, 612, 426, 0, 204, 337, 500, 57, 514, 384, 273, 0, 498, 44, 495, 56, 175, 590, 282, 287, 346, 226, 0, 320, 549, 223, 546, 197, 537, 255, 377, 253, 518, 188, 0, 25, 176, 38, 398, 529, 484, 399, 378, 373, 3, 0, 316, 413, 568, 12, 136, 276, 434, 78, 456, 0, 445, 593, 200, 111, 400, 457, 364, 490, 582, 0, 415, 6, 340, 257, 230, 242, 89, 0, 553, 209, 307, 229, 235, 451, 7, 468, 571, 210, 467, 0, 49, 5, 502, 19, 107, 286, 0, 440, 555, 126, 83, 532, 97, 0, 177, 604, 40, 406, 185, 517, 475, 513, 482, 349, 0, 244, 178, 36, 347, 14, 140, 542, 98, 275, 566, 0, 239, 160, 323, 348, 391, 250, 359, 603, 0, 199, 365, 115, 414, 71, 558, 417, 220, 183, 0, 300, 211, 443, 543, 246, 145, 266, 512, 0, 151, 478, 48, 454, 442, 131, 228, 605, 306, 0, 72, 133, 453, 236, 150, 109, 301, 0, 394, 538, 361, 213, 123, 46, 121, 0, 33, 247, 481, 352, 556, 207, 166, 93, 381, 357, 0, 64, 509, 81, 322, 573, 530, 579, 167, 101, 547, 0, 309, 0]</t>
  </si>
  <si>
    <t>[0, 72, 133, 167, 215, 31, 11, 486, 100, 33, 530, 328, 294, 9, 371, 0, 104, 214, 366, 570, 283, 254, 370, 217, 464, 329, 198, 427, 433, 547, 0, 262, 293, 424, 34, 610, 579, 335, 322, 525, 244, 0, 200, 355, 374, 383, 350, 494, 102, 588, 142, 161, 64, 0, 81, 251, 165, 382, 436, 476, 535, 169, 589, 533, 389, 28, 431, 0, 74, 606, 117, 224, 419, 95, 463, 292, 0, 306, 334, 259, 139, 32, 607, 138, 567, 458, 519, 596, 402, 0, 429, 432, 171, 134, 195, 68, 291, 92, 264, 0, 559, 438, 132, 290, 99, 584, 189, 162, 94, 375, 0, 272, 315, 128, 460, 47, 85, 332, 523, 0, 403, 573, 247, 481, 556, 352, 148, 538, 394, 562, 0, 509, 39, 551, 462, 356, 237, 474, 296, 435, 409, 0, 516, 174, 477, 376, 557, 29, 422, 609, 233, 260, 0, 299, 577, 22, 205, 269, 238, 564, 143, 343, 0, 65, 488, 240, 425, 182, 202, 13, 0, 413, 553, 309, 129, 330, 449, 316, 0, 212, 24, 305, 219, 118, 327, 428, 88, 501, 554, 0, 574, 194, 339, 408, 572, 70, 157, 173, 341, 321, 0, 461, 281, 524, 256, 536, 450, 385, 35, 470, 0, 526, 112, 471, 404, 503, 522, 155, 52, 508, 179, 396, 125, 76, 0, 199, 359, 266, 357, 101, 207, 93, 381, 532, 0, 511, 344, 587, 267, 218, 53, 528, 17, 234, 485, 0, 285, 392, 496, 527, 8, 10, 472, 611, 520, 387, 0, 362, 452, 261, 144, 110, 298, 354, 447, 581, 561, 492, 0, 3, 604, 250, 166, 46, 121, 177, 178, 568, 512, 0, 498, 97, 109, 591, 236, 599, 361, 213, 123, 605, 0, 186, 351, 297, 369, 565, 437, 338, 164, 87, 0, 114, 105, 325, 278, 73, 113, 152, 540, 180, 448, 473, 0, 111, 40, 83, 211, 442, 150, 49, 453, 301, 228, 145, 593, 0, 320, 12, 36, 391, 300, 365, 48, 454, 358, 131, 246, 0, 136, 457, 126, 543, 443, 348, 71, 414, 478, 151, 0, 216, 324, 497, 50, 466, 263, 27, 0, 146, 26, 586, 465, 137, 601, 539, 225, 487, 531, 288, 423, 0, 515, 360, 455, 430, 4, 578, 420, 58, 245, 258, 0, 276, 78, 475, 517, 140, 14, 323, 558, 115, 183, 0, 434, 210, 2, 393, 513, 542, 239, 347, 160, 417, 220, 400, 0, 506, 232, 268, 592, 446, 243, 534, 580, 66, 103, 0, 493, 61, 439, 184, 319, 127, 168, 227, 421, 37, 201, 0, 544, 411, 295, 59, 326, 379, 600, 407, 483, 491, 0, 440, 406, 566, 275, 98, 482, 185, 349, 286, 107, 456, 373, 0, 597, 63, 191, 416, 196, 308, 79, 372, 303, 395, 0, 549, 209, 19, 502, 307, 555, 229, 235, 451, 7, 0, 223, 364, 5, 468, 340, 257, 230, 571, 415, 0, 187, 353, 153, 170, 271, 583, 313, 41, 563, 0, 552, 96, 545, 86, 284, 363, 248, 0, 380, 15, 221, 172, 569, 594, 77, 30, 390, 206, 0, 270, 252, 45, 368, 575, 90, 156, 388, 181, 163, 0, 108, 499, 158, 489, 280, 459, 397, 0, 337, 378, 399, 582, 242, 6, 490, 467, 0, 116, 84, 412, 312, 159, 302, 149, 418, 550, 479, 51, 119, 0, 317, 25, 89, 484, 529, 398, 38, 176, 289, 0, 310, 20, 42, 314, 124, 67, 55, 304, 0, 331, 336, 585, 405, 208, 21, 16, 193, 507, 80, 69, 548, 0, 311, 43, 546, 197, 537, 590, 255, 377, 253, 521, 0, 279, 518, 56, 175, 595, 514, 384, 241, 57, 287, 500, 0, 130, 608, 106, 274, 576, 510, 504, 0, 135, 469, 265, 541, 62, 367, 386, 122, 495, 0, 445, 204, 91, 190, 277, 147, 0, 75, 480, 44, 342, 612, 602, 345, 82, 598, 203, 154, 441, 192, 0, 603, 188, 1, 505, 54, 231, 410, 0, 560, 401, 444, 222, 318, 141, 120, 0, 226, 346, 249, 282, 426, 273, 60, 0, 18, 23, 333, 0]</t>
  </si>
  <si>
    <t>[0, 462, 521, 54, 467, 30, 144, 609, 189, 374, 353, 187, 326, 611, 88, 389, 0, 381, 426, 219, 348, 43, 448, 417, 601, 424, 177, 369, 98, 544, 65, 0, 530, 507, 444, 117, 479, 23, 372, 469, 534, 27, 164, 490, 63, 47, 566, 0, 150, 34, 379, 393, 203, 103, 282, 307, 584, 252, 1, 241, 239, 481, 0, 401, 318, 114, 299, 315, 191, 64, 533, 435, 562, 135, 78, 312, 76, 0, 133, 602, 418, 171, 497, 52, 293, 248, 458, 83, 28, 244, 80, 414, 0, 578, 605, 603, 420, 579, 211, 276, 149, 413, 215, 160, 524, 447, 137, 0, 345, 179, 132, 511, 111, 49, 200, 320, 349, 0, 474, 364, 87, 550, 321, 361, 450, 277, 425, 8, 38, 148, 567, 45, 382, 519, 0, 614, 473, 375, 319, 145, 547, 159, 495, 446, 143, 428, 53, 558, 306, 90, 0, 433, 487, 232, 69, 423, 48, 571, 623, 41, 213, 407, 10, 625, 465, 258, 0, 204, 181, 236, 350, 167, 223, 170, 437, 330, 186, 193, 242, 373, 538, 292, 18, 0, 81, 216, 553, 13, 517, 105, 336, 295, 610, 383, 615, 464, 197, 408, 0, 280, 354, 597, 70, 612, 296, 194, 613, 183, 344, 195, 265, 514, 362, 593, 0, 121, 335, 118, 97, 404, 9, 391, 489, 328, 0, 134, 207, 332, 472, 229, 151, 226, 2, 57, 411, 604, 0, 155, 89, 84, 72, 575, 453, 202, 503, 440, 131, 542, 387, 29, 0, 35, 73, 390, 343, 526, 274, 317, 551, 398, 158, 245, 123, 430, 126, 402, 0, 461, 129, 431, 429, 214, 198, 515, 221, 500, 302, 109, 606, 399, 434, 341, 386, 0, 480, 616, 284, 206, 475, 267, 218, 504, 201, 247, 67, 471, 174, 624, 494, 0, 208, 505, 582, 130, 384, 20, 79, 156, 508, 259, 618, 141, 532, 0, 268, 7, 397, 513, 119, 33, 210, 445, 240, 573, 138, 25, 303, 217, 180, 0, 541, 168, 260, 581, 238, 331, 99, 378, 531, 412, 549, 262, 557, 588, 40, 0, 287, 482, 278, 436, 178, 559, 235, 257, 185, 463, 233, 24, 570, 0, 600, 74, 297, 249, 4, 264, 410, 298, 367, 106, 308, 409, 31, 26, 0, 400, 392, 225, 6, 554, 622, 569, 222, 175, 438, 0, 246, 510, 527, 586, 339, 388, 59, 421, 536, 452, 468, 363, 68, 589, 101, 116, 0, 486, 529, 283, 36, 107, 300, 415, 269, 209, 162, 501, 358, 477, 0, 124, 394, 509, 460, 294, 228, 263, 427, 309, 104, 44, 337, 113, 37, 0, 313, 395, 459, 455, 290, 580, 568, 17, 338, 406, 595, 493, 188, 476, 96, 0, 432, 396, 422, 256, 212, 451, 555, 108, 139, 77, 377, 266, 599, 92, 0, 142, 572, 340, 523, 161, 301, 172, 552, 86, 311, 592, 176, 310, 416, 351, 0, 546, 102, 22, 21, 342, 153, 366, 376, 152, 608, 368, 324, 607, 120, 0, 347, 46, 483, 82, 591, 61, 617, 594, 449, 237, 147, 100, 329, 535, 0, 466, 357, 441, 478, 470, 190, 94, 271, 359, 380, 496, 545, 456, 146, 0, 563, 304, 253, 192, 619, 112, 565, 16, 62, 75, 325, 454, 60, 0, 250, 125, 525, 95, 371, 14, 516, 323, 273, 598, 173, 587, 491, 385, 0, 289, 261, 333, 199, 564, 220, 492, 506, 419, 484, 518, 230, 574, 157, 115, 0, 136, 522, 442, 234, 15, 355, 205, 499, 498, 288, 520, 93, 0, 556, 305, 543, 403, 626, 405, 39, 5, 19, 196, 291, 251, 585, 346, 128, 512, 0, 166, 165, 314, 272, 66, 243, 537, 231, 365, 620, 457, 275, 122, 0, 370, 334, 227, 577, 548, 539, 590, 488, 127, 316, 154, 91, 485, 0, 285, 327, 540, 169, 528, 621, 3, 110, 322, 32, 42, 12, 576, 286, 184, 0, 71, 56, 356, 596, 352, 51, 55, 254, 58, 443, 163, 255, 140, 50, 583, 0, 502, 439, 11, 85, 360, 279, 270, 281, 560, 224, 561, 182, 0]</t>
  </si>
  <si>
    <t>X_n626</t>
  </si>
  <si>
    <t>[0, 350, 167, 330, 41, 423, 38, 567, 219, 45, 382, 437, 170, 223, 551, 0, 236, 407, 213, 186, 8, 148, 389, 426, 193, 571, 381, 48, 232, 487, 10, 0, 413, 373, 131, 99, 331, 460, 210, 202, 515, 440, 242, 623, 398, 397, 7, 0, 69, 503, 178, 509, 294, 228, 107, 415, 238, 378, 542, 159, 132, 149, 0, 292, 332, 198, 622, 300, 348, 353, 189, 448, 63, 611, 133, 428, 108, 263, 0, 111, 221, 326, 187, 374, 609, 43, 584, 252, 144, 88, 559, 500, 0, 511, 450, 538, 139, 445, 594, 216, 36, 106, 617, 269, 446, 495, 277, 0, 472, 554, 462, 47, 164, 27, 307, 78, 76, 530, 81, 197, 61, 388, 0, 612, 206, 240, 264, 53, 516, 273, 613, 311, 33, 384, 207, 229, 547, 0, 276, 49, 453, 119, 592, 153, 449, 323, 14, 192, 526, 573, 425, 284, 0, 578, 394, 521, 23, 372, 241, 103, 282, 1, 490, 417, 30, 579, 603, 0, 18, 179, 6, 459, 237, 77, 225, 527, 581, 400, 4, 349, 420, 215, 160, 0, 145, 429, 214, 475, 317, 367, 377, 21, 342, 194, 421, 498, 371, 176, 410, 0, 211, 569, 339, 481, 117, 479, 601, 469, 203, 312, 458, 64, 544, 455, 392, 0, 361, 20, 586, 65, 467, 177, 424, 534, 244, 248, 414, 15, 309, 86, 0, 524, 298, 222, 54, 507, 566, 239, 393, 135, 293, 435, 553, 464, 95, 59, 0, 625, 474, 320, 375, 168, 510, 395, 278, 619, 552, 355, 205, 558, 89, 0, 473, 343, 138, 260, 504, 564, 288, 452, 536, 234, 290, 72, 274, 575, 387, 0, 321, 175, 436, 98, 369, 444, 315, 83, 52, 336, 295, 517, 427, 364, 0, 403, 520, 94, 253, 22, 147, 17, 568, 84, 246, 505, 2, 130, 267, 87, 0, 489, 605, 616, 143, 209, 249, 266, 501, 470, 16, 525, 310, 626, 333, 250, 466, 0, 480, 162, 112, 379, 191, 533, 562, 28, 80, 13, 615, 183, 499, 0, 150, 34, 299, 114, 418, 171, 497, 105, 610, 383, 602, 318, 401, 25, 0, 118, 74, 303, 582, 218, 482, 478, 441, 102, 565, 442, 116, 512, 325, 0, 180, 296, 287, 351, 599, 416, 580, 199, 93, 548, 283, 261, 62, 604, 0, 121, 461, 297, 100, 141, 201, 195, 265, 344, 302, 390, 391, 457, 51, 0, 200, 129, 70, 226, 541, 190, 125, 329, 535, 109, 529, 304, 136, 411, 0, 532, 341, 174, 128, 546, 75, 155, 208, 404, 73, 9, 597, 354, 614, 0, 433, 35, 124, 357, 522, 539, 618, 156, 79, 247, 431, 319, 280, 365, 0, 358, 57, 556, 227, 96, 606, 577, 543, 289, 454, 92, 550, 97, 313, 335, 0, 281, 477, 370, 154, 563, 305, 306, 471, 151, 134, 465, 258, 555, 122, 0, 60, 328, 270, 137, 438, 71, 447, 217, 181, 513, 90, 334, 316, 91, 494, 485, 0, 600, 279, 256, 275, 486, 590, 259, 514, 67, 570, 386, 560, 224, 0, 182, 561, 360, 85, 11, 184, 576, 347, 396, 620, 231, 42, 12, 583, 0, 29, 140, 402, 3, 243, 169, 327, 286, 56, 356, 439, 502, 0, 50, 345, 596, 352, 540, 126, 537, 591, 549, 212, 314, 285, 443, 163, 432, 0, 166, 322, 32, 82, 262, 531, 158, 123, 66, 422, 110, 55, 254, 58, 0, 165, 272, 46, 483, 451, 412, 519, 245, 430, 40, 557, 268, 621, 204, 528, 255, 0, 271, 491, 26, 608, 545, 362, 172, 44, 185, 399, 257, 235, 24, 142, 0, 588, 233, 338, 408, 468, 363, 508, 230, 587, 476, 624, 127, 0, 585, 31, 593, 157, 409, 518, 152, 572, 463, 104, 0, 406, 340, 493, 595, 68, 308, 380, 419, 456, 598, 19, 101, 5, 0, 251, 113, 496, 523, 607, 434, 188, 366, 0, 39, 120, 291, 115, 589, 337, 301, 368, 492, 359, 376, 0, 488, 146, 385, 405, 324, 161, 484, 574, 196, 506, 173, 220, 37, 346, 0]</t>
  </si>
  <si>
    <t>[0, 217, 134, 513, 10, 236, 350, 223, 382, 437, 170, 551, 398, 397, 0, 66, 256, 519, 412, 531, 7, 181, 625, 18, 167, 158, 245, 123, 430, 588, 40, 0, 330, 186, 38, 148, 567, 45, 219, 331, 228, 107, 300, 139, 569, 367, 119, 0, 8, 193, 426, 389, 348, 353, 189, 609, 43, 63, 187, 326, 88, 108, 573, 343, 0, 297, 89, 565, 6, 559, 202, 198, 440, 571, 242, 41, 232, 213, 487, 0, 530, 462, 54, 177, 444, 566, 47, 490, 164, 448, 417, 144, 374, 611, 0, 49, 317, 221, 622, 178, 210, 515, 503, 381, 48, 623, 538, 423, 407, 0, 30, 117, 479, 27, 584, 252, 1, 534, 23, 601, 481, 544, 65, 401, 0, 133, 98, 369, 64, 533, 135, 78, 312, 282, 307, 203, 241, 239, 521, 0, 460, 424, 507, 372, 469, 393, 76, 103, 191, 244, 435, 28, 458, 248, 295, 0, 69, 332, 315, 562, 83, 293, 52, 105, 13, 80, 414, 34, 294, 238, 0, 276, 214, 207, 542, 378, 415, 509, 99, 131, 373, 159, 450, 547, 413, 596, 0, 204, 3, 268, 272, 243, 483, 557, 549, 457, 231, 537, 32, 42, 327, 0, 160, 349, 211, 149, 111, 277, 475, 472, 384, 292, 361, 511, 132, 179, 0, 615, 610, 418, 171, 497, 336, 517, 553, 114, 299, 379, 467, 428, 500, 387, 0, 215, 579, 446, 229, 429, 33, 554, 263, 445, 459, 222, 431, 612, 70, 420, 0, 165, 528, 621, 110, 46, 212, 365, 451, 262, 591, 620, 180, 275, 82, 422, 0, 453, 269, 394, 311, 36, 594, 81, 216, 150, 318, 602, 383, 464, 197, 0, 614, 391, 208, 84, 25, 410, 392, 427, 592, 388, 225, 339, 130, 495, 321, 0, 320, 390, 425, 274, 264, 278, 586, 436, 175, 240, 20, 218, 267, 145, 0, 35, 505, 400, 395, 290, 298, 581, 72, 284, 575, 73, 206, 151, 0, 473, 616, 302, 209, 61, 617, 106, 449, 613, 194, 516, 15, 619, 0, 333, 253, 205, 564, 421, 536, 183, 344, 265, 156, 79, 508, 259, 247, 195, 0, 162, 192, 342, 552, 323, 273, 153, 237, 53, 77, 455, 527, 526, 2, 0, 603, 319, 296, 226, 138, 249, 309, 14, 371, 355, 234, 102, 550, 0, 16, 100, 403, 452, 235, 408, 185, 201, 363, 44, 572, 434, 463, 141, 0, 341, 233, 338, 493, 68, 514, 618, 468, 257, 471, 498, 288, 520, 261, 0, 375, 87, 287, 95, 399, 188, 359, 589, 362, 337, 496, 545, 518, 574, 196, 0, 129, 260, 568, 310, 59, 174, 366, 595, 101, 230, 113, 157, 593, 31, 19, 587, 0, 433, 354, 168, 482, 504, 4, 510, 377, 21, 22, 86, 112, 176, 266, 0, 364, 199, 499, 24, 406, 152, 161, 308, 380, 409, 598, 506, 173, 0, 605, 280, 597, 9, 404, 143, 582, 246, 580, 416, 351, 541, 92, 461, 97, 0, 474, 480, 155, 303, 501, 599, 17, 147, 525, 442, 94, 190, 470, 125, 109, 0, 402, 254, 55, 51, 352, 169, 540, 126, 322, 314, 396, 555, 465, 524, 258, 0, 200, 478, 558, 626, 67, 340, 523, 419, 484, 456, 608, 5, 368, 492, 0, 607, 220, 291, 115, 26, 301, 172, 104, 532, 116, 283, 250, 124, 578, 0, 447, 335, 118, 74, 62, 522, 329, 441, 93, 535, 529, 454, 0, 489, 313, 304, 539, 386, 570, 476, 405, 271, 376, 324, 491, 251, 585, 0, 121, 325, 75, 543, 577, 606, 96, 624, 385, 120, 39, 37, 146, 346, 142, 127, 0, 604, 357, 546, 289, 305, 227, 512, 548, 128, 590, 306, 136, 563, 556, 486, 0, 255, 163, 443, 58, 285, 166, 356, 184, 56, 12, 347, 576, 286, 137, 270, 477, 0, 29, 432, 502, 439, 583, 50, 140, 345, 71, 438, 122, 360, 11, 0, 91, 154, 488, 316, 334, 411, 57, 358, 466, 90, 370, 281, 0, 600, 85, 279, 328, 60, 494, 485, 560, 224, 561, 182, 0]</t>
  </si>
  <si>
    <t>[0, 428, 390, 68, 149, 96, 264, 124, 204, 198, 3, 161, 252, 570, 57, 261, 277, 104, 271, 0, 564, 341, 512, 52, 88, 128, 34, 296, 243, 290, 113, 101, 308, 317, 288, 234, 27, 195, 381, 0, 44, 551, 70, 202, 49, 79, 174, 94, 312, 37, 247, 233, 117, 302, 269, 240, 188, 41, 0, 481, 157, 467, 534, 445, 415, 580, 450, 364, 67, 338, 612, 168, 574, 21, 434, 283, 0, 181, 347, 366, 334, 531, 536, 328, 473, 628, 145, 483, 591, 2, 621, 521, 352, 324, 544, 0, 627, 82, 625, 402, 498, 453, 608, 407, 385, 533, 360, 398, 237, 499, 568, 565, 560, 606, 0, 575, 526, 529, 463, 72, 151, 62, 222, 238, 24, 30, 90, 244, 424, 225, 368, 562, 0, 102, 40, 319, 220, 266, 537, 305, 343, 55, 154, 99, 42, 316, 172, 310, 191, 126, 268, 219, 66, 0, 179, 130, 640, 133, 207, 80, 19, 468, 270, 60, 193, 12, 561, 127, 259, 98, 18, 0, 336, 378, 514, 566, 397, 227, 5, 260, 265, 61, 213, 282, 210, 287, 107, 576, 541, 345, 0, 471, 462, 13, 242, 262, 180, 200, 491, 142, 64, 16, 420, 274, 208, 139, 454, 216, 36, 611, 0, 396, 573, 373, 273, 164, 89, 231, 228, 318, 384, 26, 446, 255, 205, 475, 339, 313, 162, 59, 0, 169, 520, 285, 363, 239, 631, 548, 110, 294, 92, 532, 15, 502, 340, 635, 81, 585, 0, 461, 114, 263, 201, 84, 275, 86, 158, 31, 258, 115, 121, 221, 53, 351, 111, 206, 182, 45, 58, 0, 365, 465, 542, 578, 134, 590, 32, 419, 552, 374, 492, 469, 76, 508, 519, 147, 136, 632, 0, 331, 558, 455, 525, 638, 166, 633, 217, 223, 516, 380, 615, 309, 93, 112, 599, 95, 528, 0, 85, 598, 307, 554, 527, 279, 159, 20, 293, 480, 586, 545, 413, 436, 595, 371, 452, 588, 522, 0, 394, 344, 497, 511, 577, 321, 348, 622, 601, 603, 332, 482, 495, 156, 447, 367, 414, 170, 0, 29, 418, 634, 376, 464, 412, 614, 281, 125, 600, 559, 284, 393, 557, 623, 510, 613, 579, 278, 146, 0, 517, 87, 289, 355, 33, 155, 395, 253, 421, 73, 245, 22, 218, 624, 229, 610, 50, 0, 120, 144, 605, 619, 248, 487, 435, 456, 626, 333, 241, 190, 327, 437, 504, 515, 215, 567, 0, 405, 10, 448, 354, 636, 329, 535, 432, 594, 639, 382, 103, 609, 411, 616, 617, 356, 48, 0, 78, 189, 150, 429, 129, 135, 442, 449, 438, 323, 404, 409, 138, 410, 256, 546, 173, 596, 0, 629, 118, 51, 587, 392, 171, 357, 431, 359, 524, 513, 426, 301, 389, 399, 320, 322, 509, 211, 123, 0, 494, 119, 140, 530, 581, 403, 408, 406, 457, 485, 337, 440, 493, 556, 377, 500, 488, 335, 0, 141, 379, 444, 572, 479, 478, 593, 550, 370, 369, 583, 209, 451, 582, 306, 553, 472, 91, 0, 489, 122, 300, 105, 7, 630, 330, 152, 433, 349, 292, 249, 254, 460, 214, 35, 178, 153, 116, 0, 6, 401, 422, 506, 589, 17, 75, 602, 503, 547, 326, 637, 571, 518, 555, 388, 199, 383, 69, 0, 235, 137, 459, 14, 167, 441, 358, 83, 143, 496, 507, 543, 505, 232, 607, 160, 11, 131, 0, 476, 25, 592, 563, 353, 484, 474, 203, 1, 148, 184, 315, 183, 314, 74, 224, 106, 0, 197, 416, 251, 430, 443, 618, 226, 187, 427, 375, 569, 176, 458, 501, 63, 400, 417, 4, 299, 0, 192, 250, 298, 584, 186, 286, 272, 100, 297, 196, 276, 236, 342, 8, 65, 362, 108, 212, 0, 540, 165, 54, 523, 295, 71, 538, 163, 372, 194, 423, 56, 39, 77, 350, 620, 387, 257, 486, 0, 477, 539, 185, 439, 230, 267, 303, 490, 23, 604, 246, 97, 549, 346, 466, 325, 361, 597, 386, 391, 0, 280, 177, 425, 311, 175, 470, 43, 47, 132, 46, 9, 38, 304, 291, 28, 109, 0]</t>
  </si>
  <si>
    <t>X_n640</t>
  </si>
  <si>
    <t>[0, 224, 183, 315, 122, 167, 441, 358, 105, 232, 178, 153, 607, 160, 11, 131, 1, 148, 314, 74, 0, 474, 14, 505, 83, 143, 496, 543, 507, 630, 460, 292, 249, 254, 214, 35, 116, 203, 184, 0, 489, 625, 150, 50, 596, 300, 129, 173, 546, 410, 433, 330, 152, 599, 121, 206, 182, 245, 349, 0, 331, 517, 189, 429, 87, 135, 610, 442, 33, 323, 351, 111, 45, 95, 73, 22, 138, 7, 0, 459, 59, 461, 82, 573, 345, 162, 229, 256, 438, 155, 218, 309, 93, 112, 58, 409, 404, 0, 434, 627, 179, 347, 114, 289, 223, 380, 615, 115, 258, 158, 31, 53, 221, 421, 253, 624, 449, 0, 181, 21, 612, 606, 168, 498, 608, 313, 455, 217, 633, 516, 395, 528, 355, 558, 402, 0, 78, 396, 450, 219, 338, 574, 453, 373, 407, 385, 205, 84, 86, 275, 638, 166, 525, 0, 467, 352, 521, 130, 366, 334, 560, 282, 213, 210, 318, 384, 26, 475, 201, 339, 263, 0, 336, 255, 446, 228, 287, 61, 265, 260, 5, 261, 231, 89, 273, 565, 531, 364, 13, 445, 534, 157, 0, 563, 526, 621, 536, 328, 499, 277, 3, 252, 570, 57, 107, 576, 398, 360, 164, 533, 541, 283, 0, 85, 44, 529, 564, 591, 483, 234, 198, 161, 104, 227, 397, 271, 566, 514, 378, 568, 428, 67, 353, 0, 405, 66, 640, 463, 2, 145, 96, 124, 204, 27, 195, 628, 390, 473, 237, 580, 324, 0, 471, 562, 368, 40, 262, 319, 30, 128, 288, 243, 94, 308, 317, 264, 149, 381, 72, 268, 415, 0, 585, 462, 340, 290, 113, 101, 296, 52, 70, 68, 512, 62, 551, 424, 225, 575, 544, 0, 235, 481, 242, 151, 244, 24, 341, 222, 202, 34, 49, 79, 174, 312, 37, 502, 631, 285, 0, 286, 90, 238, 88, 233, 247, 117, 302, 269, 240, 188, 191, 126, 220, 207, 133, 635, 592, 0, 10, 102, 180, 266, 310, 41, 316, 42, 343, 172, 305, 537, 80, 200, 110, 239, 363, 81, 169, 0, 8, 632, 548, 136, 294, 92, 15, 468, 19, 55, 154, 99, 270, 491, 611, 554, 278, 0, 515, 344, 20, 159, 420, 193, 60, 98, 16, 142, 18, 532, 279, 527, 394, 307, 520, 146, 0, 617, 448, 504, 522, 508, 139, 127, 561, 12, 259, 64, 36, 147, 519, 579, 120, 29, 0, 584, 137, 484, 476, 25, 297, 629, 118, 51, 48, 215, 587, 414, 335, 170, 276, 567, 0, 186, 272, 100, 598, 356, 392, 469, 216, 208, 274, 76, 588, 327, 418, 616, 383, 165, 342, 196, 0, 6, 144, 190, 241, 452, 613, 510, 480, 586, 552, 454, 492, 374, 578, 545, 293, 365, 497, 437, 91, 0, 171, 634, 333, 511, 413, 465, 542, 419, 348, 601, 321, 577, 371, 626, 367, 605, 354, 472, 236, 0, 257, 553, 248, 456, 376, 623, 32, 590, 134, 436, 464, 487, 329, 411, 357, 488, 69, 0, 494, 306, 431, 103, 412, 393, 447, 156, 495, 332, 603, 622, 595, 557, 435, 619, 636, 609, 119, 0, 540, 500, 382, 639, 535, 284, 559, 482, 600, 301, 513, 337, 509, 359, 123, 582, 140, 197, 0, 425, 490, 620, 387, 54, 416, 401, 556, 614, 125, 281, 426, 432, 594, 524, 377, 451, 539, 65, 0, 311, 386, 23, 523, 440, 583, 370, 485, 478, 593, 406, 457, 389, 399, 322, 493, 211, 604, 477, 0, 466, 295, 589, 637, 503, 375, 408, 550, 403, 320, 369, 581, 530, 422, 209, 71, 486, 250, 106, 0, 199, 141, 379, 444, 479, 75, 17, 572, 602, 326, 547, 187, 569, 176, 458, 427, 226, 571, 0, 185, 251, 538, 430, 506, 388, 555, 443, 518, 618, 63, 501, 400, 417, 4, 163, 372, 299, 194, 350, 0, 175, 391, 303, 597, 361, 325, 346, 549, 39, 56, 423, 77, 97, 246, 439, 230, 267, 470, 43, 0, 280, 177, 108, 362, 298, 192, 212, 47, 132, 46, 9, 38, 304, 291, 28, 109, 0]</t>
  </si>
  <si>
    <t>[0, 106, 74, 184, 131, 11, 160, 116, 607, 153, 178, 441, 203, 1, 148, 183, 224, 38, 0, 505, 232, 35, 214, 249, 254, 245, 182, 206, 351, 45, 599, 292, 349, 543, 496, 358, 167, 0, 460, 433, 330, 152, 73, 95, 58, 111, 53, 221, 121, 112, 93, 22, 630, 507, 143, 105, 83, 0, 459, 14, 122, 300, 546, 404, 395, 253, 615, 275, 158, 31, 258, 115, 309, 421, 409, 138, 7, 0, 50, 596, 173, 410, 438, 323, 218, 155, 624, 449, 442, 289, 129, 150, 489, 78, 137, 0, 189, 229, 355, 528, 223, 217, 318, 228, 210, 282, 213, 86, 380, 516, 33, 256, 610, 0, 434, 114, 558, 263, 339, 201, 475, 205, 84, 638, 633, 166, 525, 455, 135, 87, 59, 474, 0, 461, 573, 313, 273, 89, 107, 277, 261, 57, 5, 260, 265, 61, 287, 384, 26, 446, 255, 429, 0, 331, 625, 498, 608, 164, 514, 566, 3, 161, 252, 570, 104, 227, 397, 271, 231, 373, 162, 517, 0, 627, 336, 402, 345, 541, 533, 360, 378, 576, 398, 237, 473, 499, 591, 560, 453, 168, 181, 0, 574, 612, 536, 341, 68, 52, 234, 204, 96, 264, 124, 198, 27, 195, 628, 565, 385, 407, 0, 67, 521, 526, 44, 463, 2, 564, 145, 512, 149, 381, 483, 428, 328, 568, 334, 366, 347, 0, 21, 606, 531, 390, 128, 34, 288, 317, 308, 101, 113, 243, 296, 202, 238, 551, 72, 621, 352, 0, 396, 82, 179, 70, 88, 290, 79, 174, 94, 312, 37, 247, 233, 222, 62, 24, 529, 338, 0, 102, 225, 268, 424, 244, 90, 191, 310, 41, 188, 240, 302, 117, 269, 49, 30, 151, 640, 130, 0, 580, 126, 266, 305, 172, 343, 316, 42, 99, 154, 55, 220, 133, 319, 262, 40, 368, 364, 66, 0, 242, 180, 200, 18, 16, 561, 12, 60, 193, 259, 98, 270, 468, 19, 537, 80, 207, 13, 0, 315, 286, 157, 467, 534, 324, 445, 415, 450, 219, 562, 462, 471, 575, 544, 481, 186, 0, 340, 502, 15, 142, 64, 420, 127, 139, 274, 216, 36, 532, 92, 136, 548, 631, 239, 285, 0, 169, 632, 159, 519, 147, 469, 76, 578, 492, 454, 208, 491, 611, 294, 363, 635, 10, 563, 0, 520, 554, 579, 522, 497, 588, 586, 552, 374, 508, 279, 20, 527, 110, 81, 585, 592, 85, 0, 567, 278, 515, 344, 293, 365, 452, 480, 545, 465, 542, 622, 419, 32, 590, 134, 603, 376, 504, 0, 356, 392, 435, 595, 371, 577, 321, 348, 413, 511, 613, 333, 241, 327, 437, 120, 394, 146, 25, 0, 307, 29, 448, 418, 190, 626, 510, 623, 436, 601, 332, 482, 495, 447, 393, 557, 248, 329, 619, 357, 0, 235, 283, 476, 598, 414, 144, 634, 367, 456, 284, 464, 382, 636, 605, 354, 616, 617, 91, 0, 335, 488, 411, 103, 513, 426, 457, 614, 281, 600, 156, 559, 412, 487, 609, 171, 215, 0, 170, 306, 123, 500, 359, 322, 485, 593, 406, 125, 301, 389, 432, 594, 535, 639, 431, 587, 48, 0, 196, 6, 553, 494, 140, 582, 211, 556, 493, 440, 337, 399, 524, 509, 377, 119, 118, 297, 0, 472, 451, 581, 369, 583, 320, 370, 403, 550, 478, 408, 503, 326, 63, 458, 176, 375, 569, 501, 0, 405, 51, 165, 383, 401, 209, 141, 422, 530, 479, 75, 602, 187, 427, 547, 637, 17, 571, 4, 0, 484, 272, 100, 629, 276, 69, 199, 506, 589, 444, 572, 518, 618, 226, 400, 555, 388, 0, 353, 8, 342, 257, 197, 416, 71, 251, 538, 430, 379, 443, 417, 163, 372, 299, 56, 423, 194, 523, 0, 109, 28, 9, 46, 132, 47, 108, 65, 362, 250, 298, 584, 314, 192, 212, 304, 291, 0, 177, 604, 97, 246, 350, 77, 39, 295, 54, 387, 620, 236, 540, 0, 311, 391, 386, 597, 490, 466, 549, 346, 23, 303, 230, 439, 486, 539, 185, 470, 477, 43, 0, 280, 425, 175, 361, 325, 267, 0]</t>
  </si>
  <si>
    <t>[0, 524, 527, 634, 423, 577, 0, 39, 520, 184, 63, 610, 0, 649, 454, 375, 113, 588, 0, 535, 69, 604, 258, 488, 0, 391, 335, 29, 289, 515, 0, 59, 554, 395, 311, 214, 0, 280, 42, 144, 124, 448, 0, 247, 351, 213, 194, 346, 0, 597, 147, 88, 637, 265, 0, 297, 126, 282, 121, 650, 0, 574, 284, 326, 114, 320, 0, 31, 48, 211, 2, 464, 0, 49, 556, 119, 348, 64, 0, 378, 122, 77, 293, 204, 0, 173, 150, 523, 305, 251, 0, 27, 102, 255, 514, 6, 0, 607, 304, 79, 54, 542, 0, 429, 292, 261, 614, 647, 0, 146, 16, 9, 334, 249, 0, 195, 491, 381, 563, 105, 0, 382, 457, 298, 511, 553, 0, 473, 281, 369, 315, 501, 0, 273, 629, 360, 442, 208, 0, 372, 137, 278, 257, 83, 0, 78, 350, 579, 587, 521, 0, 322, 319, 415, 295, 218, 0, 244, 35, 287, 239, 540, 0, 267, 593, 477, 340, 176, 0, 317, 644, 313, 158, 611, 0, 131, 379, 359, 327, 545, 0, 252, 483, 156, 219, 95, 0, 308, 231, 235, 285, 546, 0, 471, 433, 19, 400, 149, 0, 34, 263, 550, 90, 62, 0, 139, 75, 475, 1, 470, 0, 364, 60, 241, 279, 277, 0, 534, 7, 324, 283, 66, 0, 107, 386, 377, 380, 385, 0, 140, 571, 136, 367, 202, 0, 41, 207, 371, 345, 490, 0, 172, 413, 101, 23, 142, 0, 591, 352, 512, 333, 166, 0, 510, 401, 246, 21, 269, 0, 67, 472, 160, 109, 406, 0, 25, 541, 641, 652, 339, 0, 374, 165, 58, 17, 236, 0, 127, 646, 197, 590, 458, 0, 200, 498, 286, 565, 522, 0, 453, 209, 508, 529, 651, 0, 186, 635, 557, 408, 74, 0, 199, 349, 479, 562, 159, 0, 390, 272, 516, 331, 492, 0, 45, 547, 445, 129, 170, 0, 528, 623, 130, 329, 68, 0, 227, 299, 639, 434, 153, 0, 467, 86, 85, 203, 389, 0, 530, 178, 589, 487, 578, 0, 221, 183, 595, 91, 242, 0, 228, 465, 318, 452, 405, 0, 151, 254, 26, 4, 168, 0, 555, 456, 301, 225, 22, 0, 609, 89, 87, 552, 33, 0, 76, 47, 572, 642, 460, 0, 567, 643, 103, 636, 344, 0, 543, 575, 357, 143, 640, 0, 262, 585, 356, 314, 468, 0, 294, 586, 419, 116, 497, 0, 549, 11, 608, 110, 531, 0, 337, 108, 392, 474, 196, 0, 394, 46, 560, 307, 421, 0, 70, 500, 466, 232, 544, 0, 438, 397, 427, 217, 533, 0, 420, 576, 633, 409, 342, 0, 175, 167, 451, 507, 444, 0, 72, 355, 81, 309, 536, 0, 411, 201, 592, 446, 626, 0, 96, 428, 106, 462, 260, 0, 370, 455, 154, 459, 612, 0, 123, 358, 478, 602, 18, 0, 112, 80, 321, 615, 229, 0, 250, 312, 648, 206, 330, 0, 568, 276, 436, 431, 620, 0, 338, 486, 362, 97, 28, 0, 8, 198, 111, 580, 499, 0, 601, 12, 191, 631, 36, 0, 56, 148, 65, 30, 117, 0, 174, 171, 343, 20, 414, 0, 412, 621, 222, 104, 603, 0, 300, 418, 40, 182, 253, 0, 134, 212, 306, 404, 519, 0, 328, 440, 55, 234, 463, 0, 396, 489, 100, 622, 513, 0, 561, 449, 316, 539, 416, 0, 625, 538, 290, 583, 435, 0, 443, 439, 354, 325, 50, 0, 494, 270, 98, 155, 484, 0, 152, 493, 181, 240, 569, 0, 598, 245, 118, 548, 92, 0, 220, 566, 481, 432, 387, 0, 398, 654, 476, 230, 558, 0, 570, 336, 13, 653, 504, 0, 365, 248, 403, 226, 266, 0, 84, 430, 264, 502, 618, 0, 57, 532, 361, 32, 425, 0, 537, 480, 402, 485, 161, 0, 169, 163, 482, 296, 496, 0, 407, 461, 366, 559, 605, 0, 628, 596, 619, 503, 506, 0, 14, 638, 426, 271, 185, 0, 399, 617, 594, 37, 93, 0, 332, 447, 616, 630, 190, 0, 157, 187, 441, 135, 347, 0, 205, 162, 43, 15, 24, 0, 3, 52, 215, 627, 613, 0, 624, 274, 302, 5, 145, 0, 192, 188, 224, 495, 417, 0, 376, 61, 141, 410, 310, 0, 526, 256, 600, 223, 138, 0, 582, 189, 115, 210, 505, 0, 517, 243, 179, 120, 581, 0, 128, 606, 51, 368, 193, 0, 44, 99, 353, 303, 268, 0, 341, 469, 133, 450, 363, 0, 233, 38, 424, 275, 573, 0, 564, 259, 645, 518, 94, 0, 82, 238, 509, 388, 383, 0, 525, 73, 551, 288, 237, 0, 180, 632, 53, 422, 291, 0, 373, 216, 177, 164, 0, 584, 323, 437, 0, 393, 599, 10, 71, 0, 125, 384, 132, 0]</t>
  </si>
  <si>
    <t>X_n654</t>
  </si>
  <si>
    <t>[0, 180, 300, 291, 177, 172, 0, 413, 202, 277, 497, 323, 0, 373, 573, 632, 216, 437, 0, 73, 164, 132, 384, 125, 0, 525, 303, 190, 328, 53, 0, 44, 268, 82, 383, 422, 0, 526, 233, 564, 224, 159, 0, 193, 61, 518, 145, 589, 0, 517, 376, 399, 353, 447, 0, 341, 128, 416, 363, 424, 0, 435, 505, 51, 237, 279, 0, 14, 407, 38, 60, 241, 0, 624, 116, 551, 288, 388, 0, 192, 430, 189, 275, 417, 0, 630, 628, 188, 259, 509, 0, 582, 310, 179, 120, 94, 0, 220, 205, 302, 170, 210, 0, 368, 581, 3, 84, 443, 0, 605, 347, 441, 450, 645, 0, 238, 469, 274, 405, 123, 0, 266, 638, 187, 426, 355, 0, 57, 24, 606, 133, 141, 0, 570, 533, 93, 37, 296, 0, 365, 537, 539, 240, 234, 0, 398, 162, 157, 496, 72, 0, 403, 135, 215, 223, 138, 0, 248, 32, 243, 495, 410, 0, 200, 598, 559, 5, 43, 0, 618, 566, 185, 15, 115, 0, 256, 583, 482, 476, 230, 0, 226, 163, 613, 627, 271, 0, 596, 52, 22, 484, 616, 0, 152, 654, 68, 600, 617, 0, 290, 489, 245, 181, 569, 0, 366, 461, 619, 361, 481, 0, 309, 603, 513, 402, 425, 0, 229, 653, 506, 503, 264, 0, 92, 432, 161, 532, 336, 0, 561, 225, 387, 169, 502, 0, 175, 444, 493, 449, 338, 0, 286, 620, 354, 56, 419, 0, 155, 504, 485, 13, 594, 0, 622, 609, 129, 270, 148, 0, 519, 118, 414, 98, 80, 0, 269, 325, 548, 100, 167, 0, 439, 343, 154, 329, 191, 0, 209, 65, 212, 306, 631, 0, 260, 580, 111, 20, 459, 0, 480, 316, 404, 198, 30, 0, 50, 28, 12, 602, 468, 0, 312, 97, 276, 445, 612, 0, 586, 615, 171, 46, 307, 0, 362, 117, 455, 106, 560, 0, 143, 201, 8, 500, 547, 0, 370, 428, 431, 232, 421, 0, 262, 110, 478, 498, 396, 0, 531, 321, 436, 462, 446, 0, 337, 626, 109, 466, 103, 0, 640, 356, 371, 89, 33, 0, 648, 507, 592, 544, 246, 0, 460, 572, 576, 458, 601, 0, 486, 21, 642, 543, 183, 0, 568, 451, 196, 567, 86, 0, 557, 575, 17, 643, 58, 0, 646, 299, 85, 434, 339, 0, 263, 165, 652, 474, 392, 0, 95, 340, 374, 203, 528, 0, 457, 239, 176, 639, 389, 0, 255, 350, 477, 149, 131, 0, 77, 298, 400, 153, 467, 0, 540, 593, 219, 34, 156, 0, 297, 292, 267, 305, 195, 0, 122, 556, 211, 251, 382, 0, 523, 587, 614, 553, 550, 0, 54, 514, 511, 49, 27, 0, 150, 293, 2, 261, 19, 0, 375, 579, 491, 102, 78, 0, 113, 48, 464, 521, 563, 0, 597, 607, 304, 126, 378, 0, 31, 280, 6, 647, 282, 0, 588, 79, 381, 114, 650, 0, 173, 29, 284, 64, 423, 0, 204, 124, 637, 448, 577, 0, 214, 335, 105, 144, 326, 0, 379, 311, 542, 348, 147, 0, 554, 320, 119, 334, 346, 0, 391, 395, 265, 194, 137, 0, 651, 595, 636, 479, 452, 0, 151, 136, 207, 294, 463, 0, 1, 4, 633, 221, 386, 0, 510, 456, 47, 641, 483, 0, 623, 408, 25, 377, 283, 0, 359, 289, 121, 454, 9, 0, 301, 562, 344, 608, 552, 0, 433, 59, 88, 16, 315, 0, 197, 549, 357, 331, 541, 0, 272, 18, 394, 160, 471, 0, 62, 546, 140, 23, 127, 0, 327, 63, 515, 249, 520, 0, 324, 364, 252, 287, 429, 0, 90, 130, 529, 472, 199, 0, 35, 42, 634, 213, 369, 0, 475, 227, 91, 508, 76, 0, 231, 610, 184, 278, 599, 0, 75, 235, 74, 492, 465, 0, 534, 385, 295, 524, 257, 0, 349, 108, 11, 585, 380, 0, 415, 649, 527, 604, 83, 0, 333, 139, 285, 107, 308, 0, 397, 66, 565, 516, 571, 0, 487, 352, 545, 574, 146, 0, 7, 318, 242, 87, 345, 0, 247, 488, 258, 281, 10, 0, 45, 635, 168, 401, 101, 0, 41, 273, 39, 501, 442, 0, 390, 178, 254, 112, 217, 0, 555, 55, 522, 313, 322, 0, 158, 591, 453, 406, 319, 0, 253, 512, 67, 186, 438, 0, 134, 538, 166, 578, 236, 0, 490, 81, 440, 621, 625, 0, 70, 26, 499, 206, 558, 0, 427, 411, 409, 470, 530, 0, 244, 535, 69, 351, 393, 0, 228, 590, 314, 96, 36, 0, 644, 372, 473, 208, 360, 0, 584, 142, 317, 629, 71, 0, 174, 367, 342, 358, 222, 0, 218, 611, 536, 0, 182, 40, 418, 0, 412, 330, 104, 250, 494, 0, 332, 420, 99, 0]</t>
  </si>
  <si>
    <t>[0, 325, 169, 212, 154, 329, 0, 97, 270, 198, 459, 106, 0, 316, 653, 306, 455, 46, 0, 155, 118, 504, 343, 8, 0, 22, 264, 506, 503, 93, 0, 37, 68, 485, 13, 432, 0, 96, 30, 580, 20, 631, 0, 181, 414, 65, 171, 148, 0, 225, 404, 111, 436, 612, 0, 478, 445, 500, 428, 409, 0, 143, 12, 276, 129, 548, 0, 21, 117, 620, 431, 567, 0, 608, 547, 544, 560, 103, 0, 598, 502, 613, 361, 532, 0, 615, 109, 462, 307, 643, 0, 519, 387, 98, 191, 592, 0, 476, 482, 627, 179, 600, 0, 370, 260, 201, 394, 371, 0, 569, 354, 161, 163, 296, 0, 402, 100, 439, 609, 28, 0, 25, 646, 652, 474, 232, 0, 398, 533, 245, 619, 256, 0, 498, 486, 362, 11, 549, 0, 17, 466, 446, 356, 586, 0, 200, 271, 594, 583, 52, 0, 654, 493, 480, 596, 135, 0, 168, 196, 392, 421, 262, 0, 401, 479, 299, 85, 165, 0, 1, 513, 539, 430, 366, 0, 167, 602, 411, 626, 451, 0, 331, 209, 507, 458, 253, 0, 36, 321, 633, 4, 427, 0, 420, 336, 32, 226, 230, 0, 380, 456, 108, 642, 640, 0, 449, 18, 648, 314, 123, 0, 635, 160, 246, 568, 312, 0, 543, 56, 622, 92, 152, 0, 591, 81, 561, 269, 222, 0, 345, 76, 357, 576, 444, 0, 110, 585, 408, 203, 434, 0, 74, 636, 183, 639, 58, 0, 531, 286, 80, 33, 101, 0, 468, 572, 575, 47, 87, 0, 90, 595, 91, 221, 452, 0, 235, 510, 242, 89, 552, 0, 471, 641, 153, 86, 389, 0, 107, 623, 130, 344, 301, 0, 386, 541, 528, 318, 140, 0, 562, 557, 529, 349, 453, 0, 3, 426, 215, 240, 358, 0, 566, 15, 223, 120, 606, 0, 492, 467, 339, 374, 19, 0, 483, 263, 400, 550, 419, 0, 433, 149, 176, 95, 78, 0, 379, 219, 340, 477, 239, 0, 231, 475, 465, 565, 7, 0, 365, 617, 185, 481, 104, 0, 364, 377, 472, 487, 522, 0, 359, 156, 34, 131, 546, 0, 382, 457, 298, 48, 378, 0, 651, 508, 516, 337, 499, 0, 126, 350, 305, 195, 150, 0, 327, 593, 540, 587, 49, 0, 297, 267, 292, 251, 27, 0, 588, 255, 511, 553, 647, 0, 496, 559, 425, 484, 272, 0, 214, 204, 579, 102, 77, 0, 122, 304, 514, 491, 523, 0, 556, 211, 261, 464, 2, 0, 347, 138, 495, 461, 558, 0, 391, 607, 614, 105, 284, 0, 113, 293, 381, 521, 6, 0, 441, 224, 243, 133, 450, 0, 188, 170, 24, 570, 603, 0, 63, 515, 54, 79, 31, 0, 39, 637, 144, 563, 42, 0, 410, 355, 638, 403, 416, 0, 266, 43, 187, 50, 618, 0, 628, 145, 5, 72, 115, 0, 173, 280, 542, 282, 326, 0, 75, 227, 294, 151, 621, 0, 324, 285, 590, 166, 396, 0, 259, 645, 518, 582, 616, 0, 597, 375, 119, 348, 114, 0, 489, 57, 537, 469, 51, 0, 385, 571, 66, 397, 229, 0, 62, 335, 320, 64, 124, 0, 574, 554, 395, 289, 454, 0, 177, 291, 180, 525, 142, 0, 295, 35, 287, 545, 158, 0, 610, 311, 29, 121, 265, 0, 14, 162, 275, 509, 94, 0, 248, 405, 157, 189, 310, 0, 605, 205, 274, 302, 141, 0, 84, 417, 363, 551, 288, 0, 649, 147, 249, 334, 448, 0, 250, 159, 254, 283, 252, 0, 424, 581, 61, 526, 390, 0, 59, 650, 88, 423, 194, 0, 228, 128, 210, 238, 388, 0, 429, 415, 244, 319, 322, 0, 418, 112, 217, 407, 399, 0, 555, 174, 234, 207, 313, 0, 435, 624, 505, 368, 237, 0, 99, 341, 60, 241, 279, 0, 247, 488, 520, 634, 9, 0, 67, 136, 470, 70, 45, 0, 273, 535, 184, 16, 577, 0, 438, 206, 338, 460, 236, 0, 317, 372, 524, 527, 213, 0, 186, 333, 512, 178, 443, 0, 625, 463, 290, 220, 376, 0, 644, 127, 352, 494, 182, 0, 139, 197, 490, 330, 440, 0, 629, 351, 258, 315, 346, 0, 44, 342, 26, 578, 41, 0, 332, 630, 192, 116, 190, 0, 473, 604, 369, 137, 278, 0, 573, 233, 38, 125, 384, 0, 536, 447, 538, 303, 268, 0, 40, 412, 55, 367, 517, 0, 611, 23, 406, 175, 199, 0, 218, 308, 534, 589, 530, 0, 309, 193, 564, 422, 132, 0, 69, 146, 257, 83, 599, 0, 134, 601, 353, 328, 82, 0, 73, 383, 53, 277, 164, 0, 501, 281, 10, 393, 442, 0, 300, 632, 497, 202, 413, 0, 437, 172, 216, 373, 323, 0, 584, 360, 208, 71, 0]</t>
  </si>
  <si>
    <t>[0, 237, 596, 314, 625, 316, 310, 17, 591, 550, 325, 579, 327, 436, 0, 528, 194, 102, 296, 243, 415, 435, 387, 0, 519, 534, 201, 609, 177, 646, 602, 439, 330, 353, 0, 543, 367, 207, 42, 159, 482, 0, 331, 354, 245, 486, 350, 521, 554, 663, 174, 541, 465, 351, 406, 235, 500, 302, 0, 498, 459, 291, 474, 451, 214, 491, 40, 380, 281, 553, 0, 410, 386, 116, 164, 575, 0, 355, 392, 55, 171, 312, 0, 509, 586, 454, 466, 66, 629, 542, 0, 168, 87, 616, 0, 236, 211, 572, 385, 594, 545, 118, 408, 376, 589, 0, 371, 307, 185, 566, 615, 516, 190, 200, 497, 658, 255, 0, 607, 484, 374, 25, 478, 467, 359, 0, 396, 257, 31, 383, 0, 502, 513, 23, 167, 0, 96, 69, 0, 9, 143, 662, 0, 73, 134, 335, 212, 0, 240, 617, 213, 401, 71, 567, 508, 340, 0, 253, 223, 429, 156, 590, 203, 520, 0, 610, 339, 81, 640, 341, 531, 262, 358, 0, 379, 437, 227, 588, 430, 14, 0, 391, 4, 97, 581, 360, 0, 603, 522, 241, 507, 668, 605, 469, 637, 178, 0, 133, 181, 303, 505, 0, 108, 103, 548, 0, 569, 20, 428, 321, 649, 559, 0, 633, 11, 490, 598, 647, 571, 251, 231, 419, 448, 0, 15, 366, 233, 515, 414, 606, 0, 352, 370, 418, 276, 479, 53, 0, 138, 35, 0, 582, 111, 618, 462, 377, 268, 458, 205, 0, 157, 361, 565, 434, 348, 363, 599, 604, 0, 121, 89, 389, 512, 294, 0, 511, 112, 524, 460, 277, 404, 282, 216, 0, 109, 378, 669, 477, 274, 611, 487, 220, 0, 623, 574, 641, 93, 99, 0, 123, 280, 661, 369, 267, 546, 667, 0, 86, 162, 0, 136, 319, 660, 537, 472, 289, 547, 232, 239, 390, 0, 56, 105, 400, 577, 0, 149, 206, 346, 628, 558, 384, 0, 29, 175, 636, 514, 217, 0, 74, 489, 621, 557, 564, 347, 279, 563, 395, 368, 0, 504, 250, 517, 209, 399, 202, 115, 536, 0, 124, 32, 238, 0, 52, 544, 91, 0, 59, 455, 219, 381, 187, 492, 480, 265, 345, 0, 297, 510, 659, 198, 315, 638, 440, 225, 13, 584, 0, 445, 349, 523, 311, 496, 655, 12, 0, 72, 372, 535, 650, 643, 532, 244, 295, 299, 0, 58, 106, 0, 568, 652, 261, 306, 110, 457, 342, 252, 653, 0, 365, 3, 258, 0, 113, 64, 0, 51, 642, 578, 549, 562, 328, 0, 84, 530, 525, 411, 622, 449, 263, 654, 632, 0, 34, 44, 627, 0, 170, 125, 483, 0, 129, 271, 393, 608, 518, 204, 583, 664, 318, 0, 26, 488, 269, 305, 388, 450, 0, 461, 613, 432, 286, 506, 264, 145, 0, 666, 180, 587, 639, 421, 0, 21, 0, 158, 0, 117, 151, 475, 0, 154, 95, 0, 163, 326, 403, 503, 476, 234, 199, 555, 0, 76, 614, 624, 526, 273, 333, 443, 0, 94, 22, 0, 114, 425, 533, 424, 570, 313, 248, 0, 612, 645, 539, 322, 382, 657, 556, 278, 285, 336, 127, 0, 132, 593, 423, 620, 573, 453, 228, 260, 293, 0, 45, 152, 0, 19, 130, 304, 648, 329, 485, 494, 0, 176, 186, 0, 166, 140, 0, 39, 0, 63, 131, 0, 444, 442, 471, 433, 592, 254, 362, 317, 224, 8, 0, 30, 0, 146, 189, 10, 0, 529, 196, 324, 2, 427, 0, 137, 135, 0, 481, 142, 38, 0, 452, 426, 364, 501, 301, 600, 398, 147, 456, 259, 0, 246, 6, 126, 0, 193, 1, 438, 16, 402, 561, 416, 397, 0, 82, 0, 62, 215, 272, 226, 222, 634, 431, 0, 98, 7, 0, 665, 597, 266, 332, 46, 0, 88, 0, 552, 357, 644, 631, 290, 270, 83, 0, 120, 283, 463, 298, 197, 417, 229, 208, 626, 0, 5, 407, 464, 527, 309, 334, 192, 247, 540, 288, 412, 635, 413, 300, 595, 409, 0, 28, 61, 0, 67, 0, 287, 256, 77, 249, 473, 320, 576, 218, 230, 651, 630, 0, 128, 78, 0, 60, 0, 420, 36, 323, 375, 0, 24, 0, 182, 0, 422, 447, 495, 493, 446, 580, 195, 308, 343, 160, 221, 242, 0, 47, 344, 405, 0, 148, 0, 155, 165, 0, 183, 27, 0, 92, 0, 65, 0, 80, 373, 470, 337, 551, 0, 153, 0, 441, 70, 169, 292, 0, 119, 0, 560, 33, 394, 0, 41, 0, 57, 619, 0, 144, 656, 601, 356, 284, 275, 0, 75, 43, 0, 50, 538, 0, 79, 0, 101, 0, 499, 54, 0, 107, 468, 0, 188, 0, 173, 18, 0, 90, 191, 0, 150, 0, 37, 0, 68, 0, 122, 338, 585, 210, 0, 184, 0, 100, 0, 48, 0, 104, 0, 161, 0, 172, 0, 141, 139, 0, 85, 0, 49, 0, 179, 0]</t>
  </si>
  <si>
    <t>X_n669</t>
  </si>
  <si>
    <t>[0, 645, 456, 197, 463, 283, 75, 473, 320, 218, 431, 230, 208, 260, 471, 0, 139, 141, 0, 475, 278, 189, 226, 298, 54, 249, 576, 417, 634, 426, 293, 0, 259, 539, 229, 57, 651, 0, 248, 322, 362, 224, 600, 592, 364, 501, 215, 272, 222, 183, 0, 313, 657, 285, 556, 423, 254, 317, 398, 301, 155, 228, 0, 461, 333, 573, 453, 433, 620, 10, 593, 336, 450, 583, 346, 562, 549, 0, 424, 382, 425, 166, 555, 204, 271, 664, 297, 627, 533, 578, 0, 570, 147, 61, 349, 0, 613, 273, 137, 526, 403, 624, 199, 432, 393, 518, 510, 628, 536, 0, 608, 614, 128, 326, 388, 517, 250, 368, 0, 318, 504, 131, 503, 476, 234, 523, 599, 363, 584, 390, 216, 667, 0, 632, 28, 506, 264, 286, 311, 395, 563, 280, 267, 0, 577, 238, 299, 449, 643, 532, 263, 488, 654, 269, 483, 186, 530, 369, 220, 0, 546, 209, 399, 659, 305, 176, 661, 443, 328, 0, 94, 117, 611, 0, 8, 124, 361, 0, 206, 67, 411, 622, 525, 477, 434, 370, 217, 0, 62, 295, 244, 650, 535, 372, 265, 274, 0, 558, 345, 76, 198, 315, 279, 348, 487, 418, 0, 163, 496, 655, 638, 514, 618, 276, 565, 0, 22, 152, 480, 400, 239, 0, 574, 641, 219, 140, 45, 0, 127, 105, 0, 146, 151, 384, 0, 145, 440, 225, 381, 492, 669, 458, 0, 170, 202, 59, 0, 251, 282, 84, 347, 636, 462, 268, 0, 82, 455, 472, 389, 319, 289, 621, 378, 582, 0, 294, 544, 125, 13, 564, 623, 0, 231, 377, 149, 642, 604, 205, 0, 649, 571, 511, 606, 232, 74, 489, 557, 0, 598, 512, 187, 32, 0, 52, 91, 404, 479, 0, 72, 547, 277, 460, 524, 660, 537, 414, 469, 339, 0, 115, 515, 321, 647, 490, 360, 607, 236, 0, 56, 99, 0, 588, 430, 559, 111, 531, 513, 0, 522, 428, 233, 89, 175, 0, 12, 366, 640, 569, 633, 358, 0, 29, 93, 303, 603, 0, 437, 109, 241, 610, 391, 371, 0, 26, 637, 190, 507, 341, 212, 307, 0, 227, 53, 668, 478, 331, 410, 467, 0, 262, 505, 181, 581, 605, 516, 615, 566, 451, 408, 572, 459, 211, 616, 0, 11, 69, 0, 658, 335, 171, 121, 0, 383, 602, 355, 385, 484, 157, 353, 0, 374, 97, 4, 312, 386, 0, 112, 200, 497, 594, 376, 498, 0, 439, 354, 545, 392, 214, 136, 589, 0, 291, 134, 133, 359, 0, 302, 235, 406, 351, 281, 663, 491, 486, 20, 0, 543, 245, 350, 554, 541, 380, 15, 474, 0, 96, 23, 0, 81, 55, 0, 542, 73, 87, 519, 0, 138, 174, 553, 482, 0, 178, 521, 465, 296, 243, 435, 367, 629, 0, 255, 35, 143, 330, 0, 116, 103, 500, 575, 0, 342, 325, 591, 415, 201, 609, 207, 118, 646, 567, 508, 0, 454, 550, 159, 164, 340, 0, 168, 42, 327, 0, 316, 310, 31, 194, 528, 586, 662, 0, 436, 466, 534, 579, 387, 25, 257, 0, 457, 203, 240, 237, 617, 213, 401, 596, 314, 625, 177, 509, 0, 520, 306, 108, 130, 590, 261, 0, 587, 494, 19, 167, 252, 0, 9, 162, 429, 0, 113, 64, 223, 0, 258, 396, 185, 253, 304, 652, 0, 78, 110, 502, 0, 86, 38, 0, 568, 648, 71, 653, 0, 639, 481, 485, 39, 548, 0, 324, 329, 66, 0, 142, 98, 0, 357, 416, 561, 402, 17, 365, 0, 102, 0, 46, 270, 0, 126, 16, 0, 421, 1, 6, 352, 0, 665, 193, 438, 36, 290, 332, 0, 196, 246, 5, 397, 95, 379, 626, 0, 156, 0, 40, 0, 666, 266, 644, 631, 160, 464, 0, 420, 552, 597, 65, 407, 0, 2, 0, 83, 527, 309, 413, 0, 153, 192, 334, 0, 21, 419, 0, 172, 0, 256, 529, 409, 221, 41, 247, 0, 287, 300, 47, 242, 0, 180, 0, 427, 412, 144, 540, 308, 288, 343, 375, 0, 101, 446, 195, 493, 495, 635, 323, 0, 7, 58, 0, 447, 580, 80, 595, 0, 422, 119, 373, 344, 0, 405, 337, 470, 79, 0, 612, 338, 275, 356, 601, 656, 37, 551, 0, 441, 444, 394, 210, 90, 0, 85, 0, 191, 585, 284, 107, 0, 452, 560, 499, 538, 468, 122, 0, 442, 619, 173, 292, 43, 0, 630, 165, 49, 0, 68, 0, 184, 0, 179, 0, 448, 18, 0, 70, 169, 0, 161, 0, 34, 44, 0, 27, 135, 0, 14, 0, 445, 188, 0, 33, 0, 50, 0, 150, 0, 92, 0, 148, 0, 48, 0, 104, 0, 60, 0, 182, 0, 120, 0, 24, 0, 88, 0, 63, 106, 0, 77, 0, 30, 0, 132, 0, 114, 0, 123, 0, 154, 0, 51, 0, 158, 0, 129, 0, 100, 0, 3, 0]</t>
  </si>
  <si>
    <t>[0, 664, 583, 450, 234, 632, 503, 326, 128, 614, 624, 526, 278, 0, 273, 593, 285, 336, 403, 28, 608, 204, 510, 318, 384, 0, 368, 346, 518, 393, 432, 476, 146, 425, 461, 613, 504, 627, 0, 523, 271, 94, 137, 0, 555, 199, 62, 388, 628, 604, 0, 166, 135, 599, 536, 0, 437, 667, 345, 267, 517, 250, 117, 297, 349, 205, 0, 642, 311, 305, 82, 269, 483, 264, 506, 286, 0, 577, 411, 449, 650, 535, 643, 532, 488, 654, 127, 530, 369, 0, 611, 265, 372, 244, 263, 622, 295, 525, 176, 395, 0, 238, 186, 140, 279, 0, 206, 198, 496, 163, 299, 563, 661, 558, 0, 533, 333, 657, 67, 578, 549, 328, 0, 419, 220, 546, 274, 399, 659, 76, 0, 209, 22, 152, 219, 0, 280, 45, 655, 638, 315, 124, 217, 0, 477, 347, 480, 145, 440, 225, 381, 492, 400, 0, 227, 588, 390, 348, 434, 170, 363, 379, 0, 84, 202, 557, 455, 472, 319, 564, 239, 0, 584, 151, 131, 562, 0, 377, 489, 621, 26, 636, 514, 487, 0, 13, 125, 547, 669, 0, 72, 59, 0, 282, 512, 524, 414, 389, 660, 537, 289, 32, 574, 216, 0, 105, 404, 544, 187, 277, 641, 294, 361, 0, 623, 115, 232, 378, 460, 515, 606, 565, 0, 418, 52, 91, 0, 511, 56, 89, 479, 0, 352, 370, 74, 618, 462, 251, 276, 358, 0, 571, 99, 29, 233, 647, 0, 502, 649, 109, 268, 231, 396, 0, 598, 175, 93, 469, 505, 0, 490, 531, 321, 303, 366, 12, 458, 448, 0, 255, 522, 668, 190, 516, 637, 605, 136, 559, 0, 149, 582, 633, 430, 257, 353, 0, 610, 640, 507, 112, 428, 589, 0, 359, 513, 262, 341, 121, 581, 241, 478, 439, 0, 212, 181, 97, 335, 0, 569, 603, 111, 339, 391, 467, 616, 653, 0, 133, 4, 376, 307, 0, 484, 594, 312, 497, 451, 566, 138, 615, 200, 360, 0, 374, 171, 134, 408, 385, 236, 0, 34, 63, 443, 445, 0, 453, 317, 224, 423, 620, 556, 77, 573, 382, 313, 424, 0, 11, 69, 0, 371, 53, 658, 607, 572, 410, 330, 0, 81, 545, 392, 474, 386, 355, 211, 542, 662, 0, 302, 553, 521, 541, 406, 351, 465, 380, 663, 350, 491, 214, 178, 0, 55, 118, 498, 0, 20, 486, 554, 281, 235, 482, 500, 519, 436, 0, 96, 23, 0, 612, 645, 248, 322, 570, 114, 0, 459, 15, 245, 354, 602, 508, 0, 340, 383, 629, 123, 548, 0, 8, 61, 0, 291, 116, 103, 543, 0, 157, 331, 586, 567, 575, 509, 457, 342, 0, 454, 367, 207, 174, 164, 0, 73, 159, 296, 0, 475, 132, 189, 600, 362, 254, 592, 433, 0, 646, 177, 609, 435, 415, 201, 243, 310, 325, 534, 0, 87, 42, 0, 147, 10, 398, 456, 0, 539, 228, 60, 301, 215, 272, 226, 501, 364, 426, 0, 429, 314, 625, 316, 550, 591, 40, 387, 194, 528, 579, 327, 520, 256, 0, 466, 25, 596, 401, 213, 203, 252, 0, 306, 240, 590, 223, 617, 237, 185, 258, 0, 143, 167, 0, 39, 253, 304, 648, 329, 568, 639, 0, 9, 168, 0, 120, 222, 283, 463, 298, 473, 249, 0, 421, 261, 652, 31, 0, 481, 332, 561, 402, 102, 365, 0, 156, 0, 260, 218, 320, 576, 197, 417, 634, 24, 259, 0, 651, 230, 431, 229, 92, 471, 293, 0, 587, 485, 71, 666, 0, 66, 0, 394, 452, 442, 292, 208, 182, 427, 0, 538, 499, 560, 619, 630, 626, 148, 441, 0, 155, 44, 0, 183, 27, 0, 86, 130, 0, 70, 169, 444, 0, 165, 75, 338, 0, 35, 154, 0, 14, 0, 113, 108, 0, 551, 210, 191, 275, 585, 468, 33, 0, 161, 0, 405, 470, 656, 601, 356, 284, 50, 242, 0, 188, 0, 150, 0, 57, 0, 54, 95, 0, 110, 162, 0, 21, 0, 529, 17, 494, 196, 0, 180, 420, 0, 173, 18, 0, 64, 19, 0, 5, 126, 0, 595, 119, 287, 0, 184, 0, 142, 58, 0, 1, 16, 665, 0, 158, 0, 3, 0, 38, 7, 0, 438, 416, 46, 324, 0, 160, 6, 193, 246, 0, 83, 409, 0, 2, 0, 36, 397, 597, 0, 37, 375, 0, 98, 85, 0, 172, 0, 65, 0, 47, 221, 0, 90, 43, 0, 101, 447, 0, 80, 422, 0, 153, 631, 266, 0, 107, 0, 552, 644, 270, 290, 41, 407, 357, 0, 337, 68, 0, 493, 144, 527, 464, 309, 300, 0, 79, 0, 413, 323, 635, 334, 192, 412, 343, 288, 308, 540, 247, 195, 580, 373, 446, 495, 344, 0, 122, 139, 0, 88, 0, 48, 78, 0, 129, 0, 51, 0, 104, 0, 30, 0, 100, 0, 179, 0, 49, 0, 141, 106, 0]</t>
  </si>
  <si>
    <t>[0, 93, 229, 655, 61, 640, 665, 0, 161, 546, 132, 147, 645, 506, 429, 0, 314, 502, 298, 64, 580, 154, 0, 149, 334, 274, 167, 121, 0, 323, 515, 89, 319, 148, 579, 0, 681, 450, 528, 544, 384, 0, 624, 31, 431, 45, 446, 0, 62, 409, 421, 346, 595, 0, 42, 284, 227, 273, 216, 223, 659, 0, 255, 377, 25, 225, 11, 432, 0, 422, 379, 658, 358, 592, 583, 0, 573, 543, 532, 526, 249, 0, 603, 370, 651, 577, 105, 0, 599, 78, 279, 138, 318, 0, 49, 672, 221, 683, 389, 0, 156, 302, 183, 605, 190, 17, 291, 0, 568, 675, 218, 433, 184, 0, 66, 286, 337, 47, 254, 305, 127, 594, 330, 37, 600, 271, 193, 0, 162, 101, 514, 589, 670, 0, 590, 230, 540, 329, 206, 372, 0, 485, 459, 413, 626, 523, 307, 467, 262, 534, 615, 143, 194, 482, 0, 333, 483, 367, 632, 204, 641, 363, 426, 621, 181, 159, 401, 362, 547, 267, 416, 0, 51, 34, 198, 28, 250, 0, 569, 491, 50, 294, 458, 261, 0, 84, 635, 639, 664, 614, 561, 399, 403, 666, 679, 364, 423, 408, 343, 601, 20, 648, 7, 0, 76, 55, 321, 366, 299, 0, 335, 678, 669, 247, 578, 253, 622, 406, 3, 395, 405, 424, 495, 649, 682, 567, 2, 386, 0, 231, 209, 140, 142, 541, 0, 584, 6, 525, 376, 430, 663, 490, 628, 256, 460, 535, 155, 59, 107, 228, 611, 341, 81, 0, 58, 166, 260, 185, 90, 220, 126, 0, 310, 574, 48, 524, 463, 39, 173, 359, 513, 657, 331, 258, 549, 380, 145, 0, 552, 630, 437, 671, 667, 99, 456, 591, 8, 86, 79, 96, 257, 259, 396, 473, 301, 344, 0, 219, 170, 189, 151, 629, 449, 0, 581, 438, 618, 479, 646, 471, 197, 325, 440, 445, 436, 222, 454, 555, 354, 0, 19, 13, 94, 234, 69, 174, 71, 0, 398, 625, 410, 469, 522, 680, 243, 180, 1, 288, 570, 612, 428, 676, 623, 0, 92, 290, 339, 123, 44, 293, 0, 564, 477, 120, 388, 435, 392, 357, 674, 441, 211, 192, 91, 527, 434, 634, 684, 0, 188, 226, 448, 320, 489, 30, 137, 176, 278, 393, 557, 351, 533, 0, 289, 668, 462, 476, 620, 324, 452, 493, 371, 345, 425, 102, 0, 488, 60, 407, 57, 100, 110, 375, 420, 295, 662, 352, 233, 75, 116, 360, 378, 565, 443, 442, 0, 470, 593, 509, 660, 588, 276, 285, 113, 108, 554, 518, 587, 531, 654, 0, 636, 585, 484, 608, 338, 385, 80, 38, 562, 633, 182, 191, 497, 353, 0, 27, 73, 14, 468, 203, 496, 560, 642, 418, 106, 349, 627, 33, 53, 0, 647, 172, 512, 98, 586, 350, 374, 510, 356, 0, 519, 316, 631, 504, 240, 52, 232, 252, 277, 269, 124, 411, 283, 150, 537, 521, 604, 501, 582, 0, 447, 610, 373, 365, 474, 139, 0, 304, 650, 394, 507, 16, 643, 248, 0, 451, 348, 486, 210, 125, 677, 481, 576, 217, 390, 35, 461, 130, 494, 417, 464, 146, 296, 0, 653, 383, 122, 322, 242, 336, 0, 551, 397, 498, 85, 415, 661, 207, 281, 607, 280, 439, 266, 199, 0, 381, 239, 542, 616, 550, 453, 500, 492, 412, 275, 656, 171, 538, 245, 0, 602, 361, 572, 369, 444, 135, 0, 82, 5, 21, 201, 609, 196, 511, 0, 43, 548, 480, 505, 382, 563, 597, 530, 520, 391, 508, 268, 539, 300, 46, 0, 179, 134, 342, 112, 36, 313, 0, 23, 164, 478, 503, 596, 575, 613, 536, 347, 673, 115, 637, 566, 368, 558, 251, 516, 312, 77, 0, 606, 12, 54, 158, 70, 0, 74, 340, 263, 213, 15, 308, 0, 644, 652, 404, 472, 272, 152, 559, 205, 487, 517, 95, 499, 128, 141, 0, 153, 306, 287, 553, 118, 133, 475, 200, 9, 136, 235, 177, 0, 117, 571, 88, 332, 292, 0, 246, 97, 144, 24, 165, 0, 617, 169, 237, 168, 303, 0, 83, 187, 265, 63, 68, 29, 327, 129, 224, 131, 315, 0, 178, 10, 212, 114, 195, 0, 270, 317, 214, 241, 238, 163, 0, 119, 402, 419, 26, 545, 455, 0, 32, 387, 56, 186, 215, 0, 208, 4, 22, 111, 87, 0, 264, 311, 65, 328, 40, 18, 244, 0, 414, 104, 638, 529, 427, 309, 457, 0, 619, 326, 109, 67, 72, 41, 0, 355, 175, 465, 466, 202, 297, 157, 0, 160, 598, 103, 236, 282, 0, 400, 556, 0]</t>
  </si>
  <si>
    <t>X_n684</t>
  </si>
  <si>
    <t>[0, 437, 471, 197, 680, 257, 96, 535, 256, 460, 155, 59, 107, 228, 549, 108, 562, 0, 678, 671, 524, 463, 657, 364, 426, 621, 181, 159, 628, 663, 331, 611, 258, 8, 79, 259, 436, 288, 276, 0, 2, 6, 247, 243, 180, 441, 211, 192, 285, 554, 570, 222, 388, 469, 0, 410, 301, 81, 473, 669, 495, 405, 408, 423, 401, 679, 430, 490, 341, 86, 380, 440, 445, 357, 385, 0, 555, 646, 522, 591, 456, 99, 173, 513, 359, 376, 424, 362, 641, 0, 386, 194, 396, 1, 674, 91, 434, 588, 518, 660, 392, 435, 612, 583, 0, 84, 325, 667, 39, 622, 3, 395, 666, 363, 204, 523, 307, 547, 343, 525, 635, 333, 271, 0, 483, 534, 367, 262, 467, 632, 20, 601, 403, 406, 649, 253, 399, 561, 48, 335, 416, 0, 267, 7, 639, 567, 578, 682, 614, 615, 143, 648, 626, 413, 330, 600, 0, 154, 66, 459, 305, 132, 286, 25, 183, 0, 190, 127, 594, 254, 225, 11, 216, 0, 318, 138, 167, 377, 640, 0, 366, 599, 605, 78, 337, 546, 37, 659, 0, 148, 334, 645, 279, 47, 161, 592, 0, 61, 255, 274, 147, 17, 629, 0, 655, 429, 580, 121, 302, 482, 0, 229, 319, 64, 506, 502, 261, 0, 156, 298, 528, 45, 149, 0, 323, 543, 358, 446, 515, 93, 0, 291, 485, 664, 544, 31, 595, 89, 0, 198, 379, 431, 409, 249, 0, 223, 384, 658, 450, 314, 0, 284, 273, 421, 526, 670, 0, 184, 573, 577, 221, 230, 34, 0, 58, 346, 651, 71, 92, 220, 0, 189, 422, 514, 603, 579, 0, 51, 49, 209, 290, 33, 533, 60, 488, 0, 219, 162, 101, 675, 370, 0, 42, 62, 672, 19, 170, 0, 250, 568, 218, 458, 231, 0, 126, 188, 226, 27, 443, 293, 206, 589, 0, 665, 389, 683, 166, 151, 0, 28, 105, 532, 569, 540, 0, 141, 442, 565, 448, 351, 278, 320, 13, 372, 624, 0, 142, 491, 541, 329, 433, 0, 681, 140, 50, 260, 69, 94, 489, 0, 294, 185, 174, 90, 44, 234, 407, 0, 321, 339, 123, 176, 75, 53, 14, 582, 153, 0, 296, 551, 644, 164, 519, 73, 468, 662, 110, 100, 137, 30, 393, 557, 57, 76, 0, 245, 146, 203, 496, 348, 604, 378, 642, 116, 352, 233, 627, 360, 55, 449, 0, 264, 199, 464, 266, 417, 280, 451, 349, 560, 501, 316, 590, 0, 23, 397, 439, 498, 486, 418, 537, 252, 269, 411, 124, 295, 375, 106, 0, 46, 300, 381, 85, 415, 631, 125, 677, 481, 52, 217, 232, 277, 420, 283, 150, 504, 521, 0, 160, 306, 575, 597, 412, 576, 35, 390, 240, 607, 210, 494, 0, 83, 478, 205, 453, 461, 492, 130, 550, 275, 281, 207, 661, 171, 239, 538, 0, 656, 505, 268, 539, 616, 500, 530, 520, 391, 508, 382, 613, 536, 548, 499, 128, 157, 0, 270, 480, 596, 404, 347, 673, 558, 472, 368, 566, 637, 115, 563, 542, 0, 598, 297, 187, 517, 152, 559, 272, 251, 503, 516, 0, 312, 652, 118, 553, 95, 487, 133, 475, 200, 244, 236, 353, 248, 0, 103, 619, 311, 29, 327, 129, 136, 9, 235, 287, 77, 177, 0, 282, 208, 67, 224, 315, 63, 265, 0, 317, 18, 617, 202, 43, 466, 0, 72, 326, 163, 131, 214, 68, 0, 556, 41, 32, 178, 109, 0, 65, 238, 195, 387, 638, 175, 0, 400, 26, 119, 186, 465, 0, 56, 22, 111, 241, 40, 0, 355, 104, 313, 246, 165, 87, 328, 0, 414, 215, 545, 419, 402, 0, 511, 196, 653, 117, 10, 4, 114, 0, 684, 356, 585, 212, 70, 237, 169, 0, 455, 643, 602, 135, 168, 571, 0, 361, 609, 24, 332, 292, 0, 88, 144, 308, 15, 213, 179, 497, 0, 484, 16, 444, 36, 263, 303, 0, 427, 529, 610, 304, 112, 158, 54, 0, 102, 383, 322, 342, 340, 97, 0, 636, 344, 447, 676, 654, 172, 572, 606, 74, 0, 145, 289, 336, 242, 12, 134, 5, 0, 581, 527, 122, 82, 21, 139, 647, 510, 623, 0, 374, 586, 633, 113, 182, 369, 201, 0, 309, 470, 425, 634, 324, 476, 462, 668, 457, 0, 432, 620, 531, 38, 98, 650, 365, 0, 564, 477, 454, 120, 452, 493, 338, 512, 394, 0, 398, 625, 618, 630, 345, 587, 350, 80, 191, 474, 507, 0, 373, 608, 593, 509, 371, 428, 479, 438, 574, 552, 354, 0, 193, 310, 584, 227, 299, 0]</t>
  </si>
  <si>
    <t>[0, 676, 428, 357, 674, 527, 91, 211, 192, 276, 285, 113, 633, 562, 108, 554, 385, 518, 353, 0, 497, 38, 338, 509, 660, 588, 434, 441, 180, 243, 1, 392, 435, 493, 587, 623, 344, 0, 510, 608, 374, 80, 512, 191, 365, 507, 196, 0, 371, 570, 288, 680, 257, 549, 228, 107, 59, 155, 460, 256, 535, 259, 380, 440, 445, 81, 145, 0, 304, 182, 650, 586, 345, 593, 452, 476, 470, 0, 625, 471, 197, 325, 8, 331, 258, 96, 79, 522, 436, 222, 388, 531, 0, 438, 618, 646, 454, 469, 612, 620, 324, 634, 425, 102, 0, 335, 669, 247, 463, 456, 657, 341, 513, 359, 490, 611, 86, 591, 396, 473, 671, 301, 0, 398, 437, 524, 667, 39, 99, 663, 430, 679, 628, 159, 181, 621, 426, 401, 364, 362, 408, 666, 376, 0, 552, 555, 6, 173, 395, 405, 424, 423, 363, 406, 578, 525, 194, 333, 0, 289, 410, 479, 48, 253, 622, 649, 3, 495, 403, 343, 601, 641, 204, 547, 561, 567, 635, 84, 416, 0, 581, 310, 678, 639, 682, 614, 399, 20, 632, 307, 523, 413, 467, 648, 143, 7, 0, 193, 354, 477, 120, 350, 98, 373, 647, 684, 0, 16, 383, 139, 172, 654, 462, 583, 0, 271, 330, 305, 127, 594, 626, 262, 367, 534, 615, 664, 2, 386, 0, 653, 643, 610, 474, 394, 122, 484, 668, 636, 0, 564, 447, 585, 602, 361, 179, 419, 0, 600, 37, 546, 286, 132, 254, 47, 459, 483, 485, 267, 630, 482, 592, 432, 0, 356, 309, 529, 574, 584, 579, 284, 299, 629, 0, 291, 17, 190, 337, 147, 225, 0, 167, 78, 25, 11, 605, 161, 66, 0, 377, 138, 279, 183, 154, 0, 659, 318, 274, 645, 506, 334, 0, 61, 255, 302, 599, 156, 216, 0, 121, 148, 64, 298, 319, 0, 314, 595, 544, 502, 384, 0, 248, 580, 446, 528, 358, 89, 0, 149, 31, 45, 421, 515, 0, 62, 379, 346, 658, 665, 0, 655, 429, 431, 543, 450, 0, 573, 603, 370, 651, 249, 0, 323, 105, 532, 675, 409, 0, 422, 672, 568, 577, 449, 0, 223, 93, 229, 273, 227, 42, 0, 389, 218, 526, 221, 372, 355, 0, 640, 683, 514, 589, 681, 0, 427, 215, 545, 26, 56, 186, 0, 162, 206, 101, 670, 624, 457, 0, 402, 444, 572, 135, 638, 175, 0, 511, 609, 369, 21, 313, 387, 0, 201, 322, 242, 336, 134, 43, 0, 261, 491, 541, 329, 433, 0, 294, 142, 50, 569, 49, 230, 0, 119, 5, 112, 158, 82, 0, 32, 606, 54, 342, 104, 455, 0, 619, 36, 12, 74, 117, 0, 246, 571, 213, 70, 263, 340, 0, 184, 540, 140, 260, 185, 220, 126, 0, 202, 237, 15, 144, 292, 0, 458, 166, 71, 209, 231, 0, 208, 165, 212, 308, 97, 0, 282, 103, 41, 466, 414, 0, 88, 332, 168, 24, 10, 311, 0, 58, 293, 69, 123, 339, 94, 0, 83, 4, 22, 303, 169, 72, 0, 244, 617, 195, 178, 598, 0, 67, 328, 65, 111, 114, 87, 0, 270, 317, 63, 29, 129, 163, 238, 241, 40, 0, 160, 297, 18, 109, 326, 187, 0, 128, 177, 224, 131, 214, 315, 68, 265, 0, 23, 306, 499, 287, 327, 235, 136, 9, 200, 133, 205, 487, 95, 548, 146, 0, 77, 475, 152, 559, 272, 652, 118, 553, 312, 478, 300, 164, 153, 0, 551, 381, 266, 439, 538, 239, 503, 251, 558, 368, 566, 472, 404, 517, 516, 0, 141, 644, 480, 536, 347, 637, 613, 542, 171, 85, 417, 199, 0, 582, 443, 418, 631, 661, 494, 415, 280, 498, 464, 397, 296, 0, 73, 14, 496, 210, 656, 505, 539, 268, 508, 391, 520, 115, 563, 673, 575, 596, 316, 519, 46, 0, 226, 60, 489, 137, 234, 44, 174, 90, 13, 290, 0, 533, 468, 203, 451, 348, 486, 207, 382, 530, 597, 35, 492, 453, 550, 275, 607, 106, 116, 378, 53, 0, 366, 198, 189, 170, 0, 219, 92, 19, 320, 30, 100, 557, 351, 448, 0, 245, 565, 33, 560, 642, 360, 627, 75, 57, 407, 393, 176, 278, 488, 0, 442, 501, 521, 537, 125, 481, 677, 504, 283, 295, 375, 110, 662, 233, 352, 349, 604, 34, 0, 188, 150, 420, 124, 411, 269, 277, 252, 240, 52, 232, 217, 390, 461, 130, 576, 0, 400, 465, 556, 236, 157, 0, 151, 28, 250, 55, 76, 0, 321, 51, 27, 281, 412, 500, 616, 264, 590, 0]</t>
  </si>
  <si>
    <t>[0, 23, 443, 653, 608, 305, 218, 308, 382, 196, 348, 276, 271, 85, 67, 293, 331, 288, 176, 433, 445, 675, 621, 0, 137, 148, 350, 660, 213, 39, 337, 214, 639, 51, 303, 64, 116, 469, 171, 481, 102, 212, 0, 253, 156, 118, 107, 358, 385, 570, 581, 202, 235, 338, 633, 261, 0, 139, 649, 495, 178, 605, 226, 549, 698, 291, 260, 251, 281, 42, 254, 494, 578, 640, 53, 697, 400, 0, 327, 289, 478, 472, 277, 60, 129, 627, 614, 77, 194, 316, 0, 81, 146, 436, 75, 46, 143, 16, 231, 141, 62, 15, 135, 467, 25, 0, 273, 21, 343, 532, 224, 341, 204, 594, 545, 126, 30, 200, 236, 0, 142, 401, 448, 586, 550, 474, 368, 197, 304, 388, 540, 174, 0, 133, 655, 404, 215, 285, 672, 458, 170, 687, 377, 526, 531, 283, 678, 483, 88, 0, 677, 551, 164, 266, 615, 386, 125, 635, 372, 405, 641, 262, 600, 239, 0, 43, 490, 562, 475, 683, 177, 619, 79, 134, 611, 598, 371, 165, 491, 113, 339, 0, 665, 229, 376, 367, 451, 166, 424, 569, 364, 410, 606, 557, 452, 44, 692, 463, 0, 237, 315, 668, 353, 623, 442, 369, 344, 695, 234, 604, 38, 384, 663, 428, 325, 310, 0, 636, 470, 179, 259, 98, 689, 530, 572, 596, 355, 595, 629, 471, 360, 664, 7, 465, 546, 499, 0, 58, 613, 542, 432, 681, 493, 528, 571, 617, 485, 500, 588, 610, 690, 370, 263, 136, 0, 286, 512, 91, 696, 589, 380, 389, 460, 416, 679, 700, 543, 78, 361, 154, 27, 340, 36, 0, 49, 462, 501, 555, 418, 566, 507, 685, 682, 674, 406, 168, 0, 659, 626, 356, 505, 455, 252, 628, 208, 412, 644, 423, 529, 403, 650, 584, 13, 198, 0, 437, 354, 597, 415, 466, 517, 232, 269, 535, 694, 520, 669, 484, 647, 488, 34, 0, 359, 35, 427, 642, 671, 294, 519, 159, 242, 609, 680, 509, 383, 0, 564, 426, 280, 298, 592, 396, 409, 246, 576, 521, 587, 1, 329, 496, 0, 245, 407, 449, 5, 115, 525, 637, 342, 654, 439, 379, 52, 108, 582, 397, 182, 33, 616, 128, 157, 24, 147, 0, 184, 544, 73, 296, 222, 264, 175, 456, 59, 247, 279, 94, 693, 155, 0, 657, 673, 32, 661, 402, 241, 408, 574, 513, 255, 392, 561, 565, 160, 558, 162, 577, 0, 57, 515, 656, 567, 434, 618, 435, 533, 153, 620, 538, 536, 12, 0, 553, 579, 686, 454, 559, 425, 120, 124, 69, 417, 109, 691, 211, 330, 479, 591, 622, 461, 0, 31, 163, 413, 634, 440, 357, 351, 648, 422, 504, 601, 430, 387, 395, 0, 349, 390, 438, 541, 646, 575, 522, 556, 548, 599, 394, 511, 480, 603, 666, 366, 652, 658, 10, 0, 192, 101, 122, 186, 257, 267, 321, 161, 93, 336, 250, 217, 319, 270, 76, 334, 568, 72, 145, 40, 55, 0, 378, 699, 152, 362, 14, 580, 203, 670, 431, 583, 274, 593, 398, 0, 22, 643, 420, 523, 444, 537, 8, 275, 201, 181, 61, 83, 127, 313, 20, 508, 457, 365, 300, 374, 630, 0, 524, 391, 607, 624, 552, 486, 547, 563, 282, 421, 676, 518, 399, 419, 453, 590, 492, 233, 333, 0, 189, 393, 256, 193, 169, 223, 375, 632, 123, 482, 560, 227, 144, 473, 667, 219, 11, 0, 265, 373, 29, 65, 89, 173, 150, 45, 6, 314, 332, 56, 429, 140, 447, 92, 625, 0, 185, 292, 278, 502, 489, 172, 309, 225, 323, 131, 41, 180, 318, 287, 37, 326, 82, 188, 0, 111, 95, 121, 328, 230, 99, 9, 220, 195, 347, 132, 106, 2, 302, 96, 248, 0, 119, 464, 539, 87, 228, 206, 301, 446, 86, 311, 110, 651, 346, 210, 130, 498, 0, 4, 117, 190, 244, 205, 167, 290, 238, 63, 74, 324, 70, 17, 243, 0, 112, 151, 105, 510, 414, 71, 191, 506, 103, 90, 0, 104, 209, 284, 50, 207, 80, 320, 138, 183, 18, 221, 19, 48, 100, 0, 149, 54, 84, 688, 114, 450, 216, 441, 662, 249, 516, 322, 534, 497, 299, 0, 272, 66, 3, 631, 612, 554, 585, 503, 335, 645, 468, 527, 363, 514, 47, 0, 602, 258, 477, 199, 573, 352, 684, 487, 345, 476, 307, 411, 638, 381, 97, 295, 0, 26, 240, 317, 158, 312, 459, 306, 297, 68, 268, 28, 187, 0]</t>
  </si>
  <si>
    <t>X_n700</t>
  </si>
  <si>
    <t>[0, 17, 324, 238, 63, 74, 96, 302, 106, 2, 245, 290, 70, 243, 320, 261, 0, 183, 248, 328, 132, 347, 195, 220, 40, 145, 9, 568, 250, 270, 76, 55, 99, 230, 121, 138, 327, 0, 18, 205, 167, 136, 184, 24, 157, 263, 101, 186, 257, 72, 217, 93, 449, 128, 122, 30, 236, 0, 192, 147, 88, 58, 198, 13, 5, 267, 161, 94, 247, 59, 456, 336, 319, 334, 95, 190, 0, 273, 343, 616, 73, 628, 397, 582, 52, 175, 279, 264, 321, 693, 155, 407, 544, 200, 0, 244, 296, 222, 439, 108, 412, 644, 208, 370, 690, 677, 594, 655, 126, 0, 21, 545, 613, 542, 584, 33, 659, 626, 505, 455, 252, 182, 379, 654, 342, 637, 525, 115, 0, 532, 338, 443, 204, 341, 315, 432, 310, 442, 369, 377, 38, 423, 529, 356, 485, 0, 237, 133, 23, 224, 75, 156, 118, 528, 604, 403, 500, 650, 610, 0, 491, 146, 436, 235, 137, 404, 623, 125, 234, 384, 695, 663, 428, 325, 617, 588, 493, 681, 0, 627, 614, 253, 621, 202, 653, 266, 641, 372, 386, 687, 344, 615, 571, 668, 551, 81, 633, 0, 277, 60, 129, 164, 353, 531, 526, 170, 458, 672, 600, 675, 46, 165, 467, 0, 111, 239, 483, 262, 678, 405, 283, 635, 285, 107, 135, 598, 113, 0, 215, 382, 196, 276, 348, 308, 385, 608, 570, 581, 465, 546, 134, 619, 611, 475, 499, 286, 0, 77, 358, 305, 331, 218, 176, 433, 445, 139, 62, 400, 79, 665, 371, 0, 25, 636, 597, 389, 696, 174, 376, 141, 67, 85, 271, 293, 288, 15, 91, 512, 472, 0, 316, 509, 579, 517, 49, 231, 143, 495, 178, 639, 214, 337, 39, 213, 148, 350, 649, 229, 0, 57, 354, 35, 416, 589, 540, 16, 605, 660, 51, 303, 64, 304, 388, 232, 10, 0, 295, 620, 484, 669, 462, 7, 586, 698, 197, 380, 460, 177, 683, 80, 0, 490, 383, 564, 242, 159, 269, 535, 294, 694, 466, 520, 679, 700, 478, 0, 524, 538, 657, 642, 671, 519, 426, 142, 401, 226, 415, 359, 562, 340, 0, 539, 163, 434, 430, 686, 422, 504, 427, 647, 515, 488, 543, 361, 154, 0, 662, 11, 658, 387, 351, 329, 673, 555, 367, 549, 609, 680, 656, 22, 12, 464, 0, 630, 420, 357, 390, 591, 622, 601, 577, 435, 618, 567, 634, 413, 553, 395, 27, 194, 339, 0, 153, 533, 461, 349, 440, 697, 550, 260, 469, 251, 463, 501, 559, 454, 496, 556, 603, 643, 0, 497, 374, 398, 438, 522, 575, 646, 548, 599, 648, 32, 664, 289, 117, 207, 19, 221, 0, 100, 48, 640, 53, 425, 541, 666, 699, 593, 366, 652, 300, 536, 284, 209, 0, 43, 119, 368, 166, 291, 171, 116, 481, 685, 162, 152, 394, 511, 480, 523, 624, 667, 0, 151, 378, 391, 607, 365, 282, 421, 444, 280, 418, 259, 424, 474, 448, 78, 0, 3, 322, 31, 333, 219, 233, 473, 144, 393, 563, 362, 406, 298, 437, 36, 0, 105, 451, 281, 102, 42, 364, 355, 661, 14, 8, 583, 552, 590, 0, 453, 419, 486, 457, 547, 676, 274, 537, 479, 471, 692, 569, 254, 212, 494, 181, 127, 492, 0, 4, 112, 360, 629, 44, 606, 399, 189, 92, 191, 34, 534, 0, 625, 518, 508, 431, 330, 241, 572, 530, 689, 557, 578, 452, 566, 595, 0, 103, 447, 429, 120, 1, 574, 408, 592, 507, 674, 596, 410, 409, 179, 470, 45, 498, 0, 402, 168, 396, 587, 521, 682, 98, 246, 576, 513, 255, 565, 558, 0, 670, 580, 211, 124, 69, 417, 561, 392, 160, 109, 691, 201, 61, 313, 203, 0, 227, 560, 482, 123, 20, 275, 632, 375, 223, 83, 169, 173, 150, 6, 314, 193, 332, 256, 56, 29, 0, 185, 292, 87, 278, 172, 309, 89, 65, 140, 225, 131, 41, 180, 318, 287, 37, 326, 82, 188, 0, 506, 510, 228, 502, 489, 446, 323, 86, 311, 110, 651, 210, 130, 206, 216, 0, 631, 612, 554, 450, 414, 301, 346, 71, 688, 114, 84, 54, 503, 645, 0, 90, 516, 249, 441, 684, 514, 363, 527, 149, 585, 335, 476, 468, 487, 47, 0, 66, 373, 573, 352, 345, 411, 307, 638, 199, 381, 97, 477, 258, 265, 602, 306, 297, 0, 104, 187, 268, 28, 299, 50, 272, 68, 459, 312, 158, 317, 240, 26, 0]</t>
  </si>
  <si>
    <t>[0, 100, 18, 183, 243, 248, 17, 324, 63, 290, 70, 205, 244, 320, 138, 0, 48, 221, 238, 96, 106, 132, 347, 195, 220, 302, 74, 167, 190, 19, 207, 0, 245, 121, 328, 2, 99, 40, 145, 9, 72, 568, 334, 76, 270, 319, 217, 250, 336, 267, 55, 230, 24, 339, 236, 0, 95, 101, 186, 257, 161, 93, 456, 59, 247, 279, 175, 321, 544, 157, 0, 449, 155, 693, 222, 264, 94, 108, 52, 582, 397, 412, 208, 379, 439, 296, 73, 5, 407, 128, 122, 136, 0, 126, 13, 370, 525, 637, 342, 455, 644, 628, 252, 182, 654, 115, 616, 263, 184, 0, 192, 147, 198, 33, 659, 626, 356, 529, 505, 423, 38, 604, 384, 403, 650, 690, 545, 200, 43, 0, 58, 500, 588, 485, 428, 234, 687, 170, 377, 695, 663, 571, 493, 584, 542, 613, 88, 111, 0, 133, 594, 432, 668, 353, 405, 526, 442, 325, 617, 528, 681, 610, 30, 0, 677, 310, 623, 615, 369, 372, 344, 386, 125, 531, 635, 678, 164, 551, 404, 315, 204, 81, 0, 443, 653, 239, 600, 262, 672, 458, 382, 196, 308, 348, 276, 283, 641, 483, 266, 0, 237, 21, 655, 341, 285, 331, 85, 67, 305, 385, 215, 570, 224, 338, 0, 253, 358, 433, 288, 148, 213, 271, 293, 218, 176, 608, 581, 675, 235, 23, 0, 343, 532, 621, 156, 202, 118, 107, 62, 46, 436, 146, 633, 0, 491, 75, 137, 139, 445, 350, 495, 649, 143, 16, 231, 388, 15, 174, 49, 546, 416, 0, 129, 134, 141, 605, 178, 660, 39, 337, 214, 639, 51, 303, 64, 116, 102, 171, 698, 304, 540, 665, 499, 0, 636, 460, 7, 640, 474, 291, 260, 481, 469, 549, 226, 197, 465, 229, 598, 60, 273, 0, 614, 697, 368, 53, 251, 281, 42, 254, 569, 550, 586, 448, 401, 376, 400, 0, 277, 627, 165, 79, 91, 517, 232, 269, 142, 426, 159, 286, 0, 354, 427, 642, 242, 520, 466, 415, 696, 589, 619, 135, 611, 77, 0, 597, 389, 462, 367, 451, 692, 166, 424, 364, 578, 212, 494, 606, 410, 557, 452, 355, 470, 664, 463, 0, 472, 467, 113, 371, 475, 512, 683, 35, 488, 359, 154, 25, 490, 0, 618, 685, 682, 98, 530, 689, 596, 44, 629, 360, 555, 501, 519, 535, 694, 0, 162, 246, 513, 179, 259, 572, 674, 566, 595, 471, 418, 294, 380, 177, 0, 57, 478, 361, 700, 680, 564, 669, 504, 601, 434, 515, 437, 194, 0, 657, 509, 351, 255, 576, 409, 587, 396, 507, 592, 661, 329, 609, 671, 543, 0, 119, 316, 27, 383, 647, 567, 656, 577, 430, 484, 679, 78, 562, 261, 0, 620, 435, 673, 32, 280, 298, 402, 168, 408, 406, 521, 574, 211, 496, 440, 0, 163, 395, 387, 153, 533, 686, 390, 548, 622, 648, 454, 559, 425, 591, 646, 522, 575, 541, 666, 634, 34, 0, 538, 579, 556, 422, 14, 1, 417, 561, 392, 670, 152, 357, 420, 413, 0, 643, 444, 201, 83, 61, 181, 160, 565, 241, 558, 109, 124, 69, 479, 599, 394, 480, 438, 461, 0, 327, 340, 553, 22, 536, 349, 362, 583, 511, 603, 593, 699, 366, 652, 464, 36, 299, 0, 105, 378, 658, 398, 330, 120, 691, 431, 537, 421, 523, 300, 391, 0, 539, 10, 667, 374, 365, 624, 282, 457, 274, 8, 580, 203, 275, 632, 20, 560, 552, 590, 233, 11, 0, 630, 492, 189, 393, 419, 399, 482, 375, 123, 508, 518, 547, 486, 144, 473, 607, 524, 0, 534, 12, 219, 453, 563, 676, 227, 256, 332, 193, 313, 223, 127, 169, 45, 150, 173, 225, 0, 497, 333, 625, 92, 29, 140, 429, 56, 314, 6, 131, 41, 180, 37, 326, 188, 110, 86, 206, 0, 151, 447, 65, 89, 318, 287, 82, 446, 309, 278, 502, 87, 292, 103, 31, 0, 104, 209, 284, 28, 50, 80, 4, 117, 289, 112, 268, 187, 26, 0, 90, 322, 506, 510, 228, 489, 172, 323, 311, 651, 346, 210, 130, 216, 0, 272, 66, 185, 450, 191, 414, 301, 71, 688, 84, 527, 441, 0, 3, 516, 249, 662, 631, 612, 554, 585, 114, 498, 54, 335, 645, 476, 199, 0, 240, 317, 158, 312, 459, 602, 306, 297, 68, 0, 265, 258, 477, 97, 373, 573, 684, 514, 363, 149, 503, 307, 295, 0, 638, 411, 468, 345, 487, 352, 47, 381, 0]</t>
  </si>
  <si>
    <t>[0, 354, 470, 51, 572, 304, 437, 438, 60, 623, 713, 491, 252, 44, 560, 660, 117, 608, 322, 711, 397, 549, 684, 575, 98, 0, 294, 617, 525, 427, 593, 344, 67, 205, 375, 441, 548, 659, 296, 540, 7, 210, 250, 341, 146, 326, 0, 226, 414, 377, 339, 522, 216, 552, 538, 511, 407, 104, 673, 173, 636, 675, 333, 449, 510, 445, 85, 130, 175, 607, 423, 581, 0, 480, 154, 597, 310, 95, 672, 179, 618, 53, 378, 517, 266, 91, 50, 120, 629, 400, 0, 454, 17, 674, 324, 697, 115, 286, 401, 299, 670, 135, 188, 54, 468, 588, 219, 488, 316, 662, 493, 374, 138, 412, 0, 542, 408, 223, 366, 466, 182, 297, 308, 275, 638, 283, 321, 63, 365, 530, 667, 516, 648, 497, 118, 0, 691, 685, 94, 180, 628, 639, 57, 184, 484, 666, 127, 508, 186, 258, 495, 535, 280, 306, 0, 270, 74, 404, 228, 201, 409, 520, 394, 126, 2, 229, 584, 524, 140, 573, 125, 196, 46, 164, 0, 291, 504, 665, 683, 547, 236, 641, 415, 531, 687, 12, 90, 601, 165, 679, 75, 8, 0, 429, 631, 393, 192, 257, 383, 151, 518, 149, 703, 698, 526, 559, 595, 358, 693, 390, 433, 295, 606, 80, 218, 649, 579, 551, 234, 282, 0, 72, 96, 163, 203, 413, 32, 255, 534, 482, 451, 592, 474, 634, 371, 69, 568, 386, 0, 630, 194, 137, 563, 428, 475, 113, 28, 434, 569, 30, 619, 598, 669, 502, 704, 240, 664, 0, 237, 376, 9, 136, 342, 167, 174, 19, 461, 81, 155, 112, 587, 677, 101, 274, 26, 521, 343, 0, 211, 360, 355, 562, 134, 368, 632, 328, 103, 436, 369, 688, 311, 159, 47, 198, 68, 556, 396, 0, 681, 273, 515, 539, 661, 467, 627, 284, 189, 142, 574, 89, 609, 642, 73, 181, 99, 3, 647, 411, 496, 116, 335, 512, 646, 714, 0, 692, 307, 528, 15, 110, 373, 246, 678, 498, 217, 148, 241, 382, 29, 204, 88, 566, 472, 185, 11, 329, 644, 381, 410, 586, 170, 238, 233, 4, 362, 0, 317, 707, 340, 215, 585, 384, 202, 589, 494, 600, 206, 712, 476, 123, 537, 352, 78, 418, 336, 84, 97, 486, 82, 416, 0, 370, 576, 421, 440, 489, 633, 158, 514, 553, 359, 499, 256, 523, 337, 6, 387, 561, 380, 577, 671, 0, 58, 571, 330, 422, 183, 122, 76, 356, 645, 129, 544, 305, 654, 611, 199, 227, 212, 565, 350, 0, 176, 479, 262, 459, 460, 570, 391, 209, 172, 231, 22, 444, 509, 557, 100, 622, 242, 529, 616, 446, 214, 141, 506, 166, 61, 419, 696, 0, 221, 309, 239, 594, 287, 92, 124, 318, 281, 456, 111, 603, 128, 213, 313, 363, 426, 267, 0, 613, 195, 635, 20, 680, 621, 624, 23, 150, 65, 442, 301, 614, 39, 56, 66, 232, 271, 31, 109, 0, 224, 481, 114, 706, 260, 107, 405, 45, 700, 682, 40, 244, 485, 702, 303, 469, 709, 543, 249, 545, 402, 715, 0, 145, 367, 248, 33, 36, 626, 156, 220, 676, 567, 302, 541, 334, 379, 464, 121, 18, 200, 35, 462, 70, 161, 483, 71, 52, 0, 372, 513, 465, 314, 108, 62, 507, 392, 49, 48, 364, 320, 643, 471, 492, 190, 351, 0, 505, 119, 686, 663, 463, 131, 169, 42, 361, 288, 650, 490, 332, 323, 10, 694, 0, 690, 290, 193, 5, 503, 615, 447, 605, 225, 668, 77, 699, 293, 160, 657, 658, 554, 285, 83, 580, 0, 689, 251, 191, 596, 652, 389, 41, 276, 487, 610, 315, 500, 357, 0, 59, 501, 277, 105, 21, 27, 254, 527, 106, 439, 620, 345, 701, 473, 448, 705, 168, 0, 208, 710, 263, 272, 443, 550, 420, 425, 34, 519, 245, 132, 139, 147, 695, 602, 457, 532, 197, 656, 0, 264, 325, 292, 348, 157, 38, 243, 653, 398, 152, 424, 655, 14, 144, 143, 564, 0, 289, 253, 64, 16, 417, 235, 86, 268, 207, 452, 55, 247, 385, 1, 279, 331, 578, 430, 37, 261, 432, 187, 177, 230, 349, 0, 583, 259, 536, 13, 640, 590, 347, 637, 431, 79, 338, 558, 435, 25, 455, 708, 300, 651, 546, 0, 133, 319, 265, 43, 599, 153, 171, 93, 395, 102, 346, 222, 555, 458, 312, 399, 450, 406, 24, 453, 604, 178, 0, 478, 582, 87, 403, 625, 327, 388, 278, 612, 269, 298, 353, 477, 162, 591, 533, 0]</t>
  </si>
  <si>
    <t>X_n715</t>
  </si>
  <si>
    <t>[0, 221, 309, 594, 287, 176, 479, 262, 459, 460, 570, 92, 281, 239, 671, 696, 111, 128, 280, 664, 118, 0, 157, 313, 213, 306, 603, 58, 350, 456, 124, 391, 318, 571, 370, 601, 714, 240, 72, 164, 386, 237, 363, 432, 0, 400, 294, 568, 630, 704, 317, 61, 419, 416, 166, 577, 141, 214, 446, 561, 421, 396, 412, 525, 154, 4, 74, 236, 234, 0, 581, 354, 535, 691, 423, 470, 480, 629, 429, 495, 96, 646, 707, 335, 116, 576, 506, 616, 529, 242, 509, 22, 654, 231, 172, 414, 444, 0, 326, 607, 617, 685, 120, 90, 226, 211, 502, 69, 258, 556, 6, 305, 209, 557, 565, 0, 270, 223, 46, 146, 138, 597, 415, 12, 371, 669, 512, 496, 440, 82, 633, 553, 499, 183, 600, 712, 476, 129, 544, 100, 0, 342, 497, 489, 158, 380, 422, 523, 667, 418, 340, 411, 374, 493, 516, 466, 454, 648, 404, 408, 542, 75, 8, 230, 0, 167, 366, 51, 593, 628, 687, 631, 194, 97, 336, 113, 359, 76, 645, 611, 337, 68, 0, 136, 360, 486, 387, 622, 227, 28, 203, 163, 531, 165, 679, 587, 677, 282, 9, 505, 289, 0, 330, 514, 73, 619, 180, 662, 94, 427, 175, 316, 409, 201, 228, 649, 579, 71, 248, 273, 465, 477, 0, 641, 238, 95, 50, 393, 137, 598, 30, 434, 186, 99, 181, 78, 256, 104, 206, 199, 0, 212, 84, 475, 311, 634, 488, 219, 196, 297, 182, 528, 665, 190, 314, 5, 274, 307, 656, 0, 112, 551, 192, 569, 428, 647, 198, 3, 159, 134, 355, 413, 474, 310, 390, 80, 627, 661, 539, 547, 323, 625, 0, 362, 110, 606, 520, 572, 639, 368, 369, 103, 215, 284, 574, 202, 216, 636, 173, 494, 356, 122, 123, 537, 352, 688, 642, 47, 562, 257, 0, 372, 367, 101, 515, 683, 195, 275, 125, 341, 344, 672, 255, 407, 511, 589, 89, 189, 32, 0, 389, 10, 503, 225, 490, 463, 131, 504, 351, 663, 686, 513, 119, 692, 681, 0, 563, 534, 482, 632, 328, 436, 585, 609, 384, 142, 538, 552, 673, 333, 522, 592, 451, 57, 179, 17, 218, 161, 0, 580, 41, 285, 291, 658, 169, 615, 447, 83, 193, 52, 290, 145, 376, 0, 484, 184, 339, 666, 127, 530, 377, 508, 365, 266, 517, 713, 438, 67, 304, 468, 308, 394, 433, 81, 0, 153, 155, 233, 373, 461, 295, 174, 573, 54, 449, 63, 378, 91, 618, 130, 437, 588, 655, 0, 325, 126, 140, 524, 210, 250, 205, 540, 7, 321, 584, 229, 2, 586, 170, 232, 610, 0, 105, 605, 332, 42, 35, 674, 117, 608, 44, 675, 510, 445, 85, 53, 98, 283, 358, 109, 613, 501, 0, 596, 26, 27, 554, 106, 657, 668, 650, 20, 680, 107, 498, 410, 19, 678, 246, 31, 264, 0, 467, 271, 595, 188, 659, 296, 375, 60, 623, 491, 252, 560, 660, 135, 381, 621, 682, 392, 33, 254, 0, 267, 487, 276, 694, 251, 277, 652, 21, 191, 168, 0, 689, 420, 620, 160, 77, 699, 635, 706, 39, 559, 217, 66, 15, 690, 426, 500, 0, 548, 441, 638, 614, 224, 492, 361, 345, 439, 527, 473, 695, 448, 13, 705, 443, 197, 349, 0, 383, 575, 322, 711, 397, 670, 299, 151, 703, 329, 566, 88, 204, 29, 382, 56, 260, 14, 0, 156, 405, 624, 148, 241, 644, 526, 698, 324, 401, 549, 684, 286, 518, 472, 11, 301, 40, 402, 450, 0, 483, 49, 121, 464, 334, 115, 702, 485, 23, 150, 149, 185, 697, 65, 442, 469, 543, 114, 481, 626, 715, 0, 70, 18, 200, 676, 545, 220, 249, 693, 45, 700, 709, 303, 244, 567, 302, 541, 379, 48, 507, 0, 108, 62, 36, 462, 364, 320, 643, 471, 288, 293, 245, 637, 431, 79, 139, 132, 701, 147, 590, 519, 34, 425, 640, 602, 0, 406, 259, 279, 536, 435, 558, 403, 399, 327, 278, 388, 347, 338, 457, 532, 550, 578, 37, 0, 331, 385, 1, 272, 0, 269, 612, 298, 87, 582, 25, 0, 312, 478, 455, 521, 55, 430, 315, 0, 343, 247, 353, 0, 263, 59, 24, 0, 708, 0, 604, 0, 710, 0, 102, 458, 0, 207, 222, 162, 0, 300, 453, 452, 0, 555, 0, 346, 133, 0, 38, 268, 0, 651, 93, 0, 86, 546, 395, 533, 591, 171, 599, 43, 0, 261, 0, 243, 208, 187, 319, 265, 0, 143, 0, 144, 564, 253, 64, 16, 417, 235, 178, 583, 177, 424, 152, 398, 653, 357, 348, 292, 0]</t>
  </si>
  <si>
    <t>[0, 213, 280, 671, 287, 414, 544, 645, 129, 476, 600, 206, 712, 231, 172, 570, 460, 459, 262, 479, 176, 221, 0, 664, 128, 309, 594, 92, 124, 318, 281, 456, 239, 696, 111, 603, 164, 342, 118, 0, 292, 306, 350, 141, 214, 446, 509, 444, 391, 209, 22, 654, 305, 611, 557, 622, 380, 571, 506, 419, 58, 386, 357, 655, 0, 240, 317, 61, 416, 166, 577, 616, 529, 565, 242, 100, 337, 6, 330, 158, 633, 514, 73, 489, 496, 429, 400, 497, 282, 0, 683, 234, 33, 49, 411, 68, 97, 113, 359, 78, 537, 183, 199, 212, 422, 387, 561, 82, 576, 396, 370, 0, 326, 601, 502, 69, 336, 667, 76, 227, 256, 499, 99, 486, 440, 116, 421, 707, 704, 714, 72, 0, 495, 646, 211, 556, 84, 198, 3, 475, 186, 562, 159, 311, 585, 104, 494, 356, 122, 523, 181, 553, 0, 630, 393, 634, 368, 255, 369, 384, 609, 123, 418, 428, 434, 203, 163, 360, 512, 335, 0, 340, 352, 688, 436, 142, 589, 552, 377, 666, 134, 47, 30, 619, 598, 194, 258, 96, 581, 0, 568, 226, 669, 28, 647, 569, 413, 32, 642, 215, 574, 89, 511, 407, 673, 173, 636, 328, 482, 534, 192, 90, 629, 294, 0, 371, 631, 687, 355, 103, 284, 189, 202, 538, 216, 365, 530, 632, 474, 137, 257, 50, 12, 120, 685, 138, 691, 0, 480, 607, 412, 563, 127, 508, 63, 522, 675, 44, 252, 333, 510, 445, 339, 592, 628, 427, 597, 516, 0, 75, 165, 74, 470, 366, 593, 95, 180, 531, 662, 94, 493, 374, 415, 525, 617, 535, 0, 46, 648, 454, 466, 316, 711, 608, 660, 560, 449, 266, 517, 378, 53, 91, 484, 184, 451, 639, 57, 179, 51, 154, 146, 423, 0, 354, 270, 408, 223, 404, 409, 182, 175, 488, 672, 67, 130, 618, 540, 250, 437, 310, 572, 126, 112, 587, 0, 515, 539, 362, 606, 308, 588, 296, 623, 713, 491, 85, 438, 205, 304, 219, 297, 201, 228, 649, 551, 167, 641, 0, 596, 695, 528, 579, 80, 520, 125, 573, 341, 468, 210, 7, 375, 548, 60, 344, 196, 542, 0, 218, 238, 81, 295, 394, 17, 140, 524, 54, 321, 188, 441, 322, 117, 397, 549, 684, 575, 286, 698, 358, 98, 229, 174, 433, 233, 661, 236, 0, 155, 4, 170, 586, 461, 2, 275, 584, 283, 659, 383, 644, 135, 670, 299, 151, 526, 324, 217, 467, 195, 613, 0, 264, 152, 243, 38, 426, 681, 692, 376, 363, 237, 313, 500, 267, 157, 653, 398, 325, 348, 564, 144, 0, 679, 109, 110, 390, 498, 638, 382, 88, 674, 301, 682, 472, 518, 185, 697, 401, 329, 11, 566, 204, 29, 559, 595, 19, 410, 678, 373, 0, 8, 314, 248, 547, 36, 624, 56, 381, 241, 65, 703, 149, 244, 161, 665, 71, 190, 504, 0, 208, 710, 315, 690, 9, 136, 677, 101, 367, 274, 686, 465, 145, 119, 505, 610, 59, 0, 143, 349, 424, 187, 37, 580, 41, 5, 663, 273, 307, 372, 513, 290, 263, 14, 0, 230, 177, 432, 261, 487, 276, 501, 52, 193, 83, 251, 168, 272, 86, 268, 178, 235, 417, 64, 253, 289, 0, 108, 635, 20, 271, 260, 107, 680, 700, 303, 485, 23, 150, 442, 621, 614, 148, 39, 66, 246, 232, 31, 0, 224, 627, 15, 706, 249, 693, 543, 709, 45, 405, 40, 702, 115, 334, 302, 676, 545, 402, 220, 156, 481, 35, 715, 483, 0, 503, 351, 463, 62, 643, 320, 464, 379, 121, 541, 567, 469, 200, 18, 48, 462, 70, 114, 626, 0, 694, 191, 277, 652, 105, 10, 323, 131, 169, 42, 492, 471, 364, 392, 507, 0, 16, 546, 651, 453, 331, 259, 279, 457, 21, 389, 26, 443, 689, 578, 430, 656, 55, 452, 207, 604, 583, 0, 532, 13, 554, 291, 605, 225, 657, 332, 699, 293, 288, 361, 490, 615, 447, 285, 197, 0, 1, 385, 536, 420, 254, 448, 439, 345, 160, 650, 77, 668, 658, 27, 550, 0, 705, 473, 425, 34, 527, 106, 519, 620, 245, 637, 701, 147, 590, 558, 435, 0, 395, 93, 300, 247, 312, 582, 338, 25, 708, 450, 406, 521, 24, 555, 0, 265, 153, 87, 388, 79, 431, 132, 139, 347, 640, 602, 478, 458, 343, 133, 0, 319, 533, 43, 599, 171, 162, 591, 477, 353, 269, 612, 298, 399, 278, 327, 625, 403, 455, 346, 222, 102, 0]</t>
  </si>
  <si>
    <t>[0, 15, 565, 378, 4, 178, 534, 401, 266, 0, 392, 611, 428, 276, 731, 404, 0, 117, 7, 397, 514, 0, 273, 455, 471, 0, 368, 51, 290, 239, 570, 469, 0, 609, 436, 228, 0, 613, 636, 356, 461, 0, 431, 164, 170, 726, 27, 0, 691, 255, 206, 318, 530, 0, 689, 43, 247, 0, 346, 541, 62, 415, 377, 315, 0, 430, 94, 459, 118, 366, 149, 0, 646, 479, 316, 96, 0, 410, 607, 330, 0, 176, 3, 192, 120, 0, 292, 285, 128, 0, 543, 416, 294, 494, 568, 0, 296, 685, 175, 725, 65, 249, 150, 0, 233, 375, 387, 81, 132, 49, 450, 241, 61, 0, 226, 608, 521, 79, 87, 0, 380, 56, 616, 235, 402, 0, 271, 53, 592, 438, 0, 282, 644, 610, 532, 501, 0, 477, 31, 690, 561, 0, 320, 342, 687, 207, 0, 694, 382, 384, 594, 0, 298, 540, 668, 264, 0, 617, 379, 539, 33, 0, 556, 84, 29, 729, 234, 0, 653, 73, 323, 162, 525, 0, 159, 224, 258, 5, 0, 360, 180, 449, 184, 253, 0, 713, 321, 236, 0, 196, 399, 12, 244, 426, 468, 480, 0, 374, 697, 495, 136, 0, 586, 639, 324, 0, 545, 672, 334, 715, 10, 678, 0, 467, 614, 679, 72, 0, 147, 447, 327, 2, 712, 637, 211, 38, 0, 47, 293, 591, 154, 37, 0, 40, 553, 9, 656, 577, 481, 270, 0, 603, 655, 562, 538, 0, 652, 456, 357, 0, 671, 621, 549, 388, 0, 580, 119, 112, 670, 571, 0, 489, 302, 101, 182, 643, 272, 0, 123, 300, 250, 57, 0, 588, 36, 651, 18, 229, 412, 675, 181, 0, 215, 441, 550, 451, 114, 0, 232, 39, 537, 193, 223, 0, 615, 202, 551, 696, 493, 0, 717, 222, 131, 703, 0, 413, 631, 699, 632, 0, 648, 466, 692, 76, 446, 0, 353, 605, 486, 0, 102, 407, 108, 721, 0, 195, 248, 121, 0, 513, 533, 411, 0, 345, 86, 518, 452, 141, 0, 88, 8, 304, 657, 263, 702, 0, 417, 727, 343, 93, 0, 666, 547, 620, 484, 0, 130, 474, 329, 354, 371, 600, 0, 683, 338, 634, 590, 0, 409, 194, 573, 0, 336, 23, 310, 268, 542, 286, 0, 189, 596, 168, 0, 137, 75, 635, 454, 0, 24, 219, 465, 516, 520, 705, 129, 0, 555, 406, 587, 478, 46, 0, 133, 723, 385, 706, 0, 328, 307, 633, 13, 0, 325, 475, 103, 528, 246, 0, 25, 92, 569, 20, 676, 432, 0, 42, 391, 167, 322, 0, 59, 78, 269, 395, 0, 708, 17, 482, 0, 19, 476, 647, 619, 0, 443, 287, 291, 421, 0, 210, 278, 680, 370, 0, 663, 709, 720, 464, 506, 658, 0, 240, 214, 732, 414, 158, 146, 0, 487, 237, 548, 629, 0, 55, 418, 231, 598, 662, 0, 260, 367, 400, 145, 376, 0, 109, 127, 6, 97, 665, 0, 698, 369, 220, 0, 190, 187, 504, 359, 519, 0, 358, 95, 238, 124, 0, 295, 262, 512, 140, 0, 422, 179, 578, 165, 63, 681, 52, 0, 90, 403, 333, 303, 0, 319, 511, 183, 122, 0, 197, 508, 177, 704, 623, 496, 0, 645, 205, 261, 463, 674, 433, 256, 458, 0, 389, 730, 21, 688, 523, 0, 160, 348, 490, 0, 435, 654, 527, 0, 213, 440, 254, 349, 326, 0, 362, 485, 174, 684, 155, 624, 363, 32, 0, 317, 148, 337, 30, 252, 275, 0, 560, 526, 305, 152, 0, 612, 332, 156, 437, 85, 0, 110, 82, 457, 48, 134, 0, 686, 602, 492, 552, 355, 41, 351, 64, 0, 559, 11, 448, 442, 718, 419, 0, 722, 218, 627, 677, 0, 383, 28, 230, 138, 398, 0, 208, 405, 622, 331, 502, 71, 171, 0, 299, 582, 628, 0, 531, 554, 626, 0, 135, 536, 498, 650, 472, 0, 567, 529, 347, 522, 0, 585, 340, 444, 163, 488, 0, 510, 34, 576, 83, 361, 0, 695, 425, 499, 50, 0, 312, 341, 566, 153, 563, 393, 503, 0, 14, 386, 344, 216, 204, 660, 0, 173, 89, 201, 142, 284, 69, 0, 581, 77, 453, 0, 172, 242, 445, 0, 583, 669, 546, 714, 394, 497, 0, 557, 1, 313, 245, 0, 125, 281, 509, 209, 0, 439, 460, 667, 649, 0, 579, 483, 424, 169, 0, 115, 575, 212, 339, 711, 0, 217, 710, 381, 462, 661, 0, 423, 203, 259, 104, 58, 0, 111, 45, 221, 700, 0, 225, 107, 116, 251, 0, 642, 26, 113, 99, 67, 0, 151, 257, 35, 289, 0, 427, 311, 16, 0, 593, 625, 682, 199, 0, 364, 470, 335, 373, 0, 309, 584, 105, 0, 640, 606, 564, 54, 0, 198, 301, 618, 144, 0, 185, 66, 283, 60, 0, 500, 524, 350, 601, 574, 0, 288, 100, 106, 707, 80, 0, 157, 143, 589, 91, 420, 0, 638, 728, 279, 0, 716, 22, 597, 664, 0, 191, 188, 515, 314, 0, 227, 186, 572, 68, 0, 491, 535, 161, 0, 98, 352, 558, 44, 0, 396, 277, 673, 0, 659, 408, 274, 0, 595, 74, 372, 0, 434, 390, 599, 0, 200, 473, 693, 0, 544, 641, 280, 0, 166, 306, 267, 0, 243, 719, 505, 429, 0, 507, 308, 701, 0, 365, 139, 604, 0, 630, 265, 724, 517, 0, 70, 126, 297, 0]</t>
  </si>
  <si>
    <t>X_n732</t>
  </si>
  <si>
    <t>[0, 115, 536, 419, 0, 557, 582, 597, 0, 716, 585, 135, 277, 0, 22, 386, 299, 352, 0, 595, 14, 483, 173, 396, 0, 659, 642, 70, 0, 58, 579, 259, 113, 503, 152, 0, 563, 344, 69, 212, 575, 26, 524, 203, 0, 673, 252, 337, 238, 0, 191, 67, 339, 711, 216, 566, 153, 245, 0, 275, 340, 48, 341, 444, 442, 718, 383, 0, 134, 85, 424, 313, 201, 156, 458, 0, 369, 349, 331, 552, 502, 492, 0, 500, 104, 142, 650, 0, 74, 560, 437, 433, 463, 0, 372, 420, 350, 116, 50, 714, 499, 0, 423, 99, 515, 701, 667, 0, 612, 110, 393, 163, 21, 0, 664, 89, 1, 204, 303, 0, 317, 305, 28, 284, 674, 167, 0, 109, 127, 177, 254, 347, 0, 295, 403, 488, 30, 0, 558, 52, 148, 559, 169, 0, 312, 709, 256, 472, 628, 0, 358, 63, 11, 660, 0, 478, 332, 230, 457, 645, 0, 90, 688, 448, 138, 0, 422, 389, 523, 730, 498, 0, 519, 82, 526, 261, 278, 0, 124, 681, 262, 205, 720, 140, 658, 0, 727, 708, 504, 578, 0, 359, 103, 482, 307, 452, 0, 181, 46, 475, 680, 371, 620, 141, 0, 506, 464, 391, 246, 13, 0, 528, 587, 93, 484, 0, 102, 547, 600, 189, 0, 555, 633, 325, 0, 493, 168, 596, 345, 0, 76, 474, 329, 721, 370, 210, 0, 202, 666, 42, 418, 0, 692, 354, 17, 0, 489, 248, 675, 533, 550, 0, 130, 406, 632, 631, 413, 0, 417, 343, 466, 0, 215, 699, 57, 545, 0, 615, 518, 696, 513, 0, 121, 407, 456, 0, 441, 302, 86, 250, 9, 101, 0, 656, 553, 551, 412, 651, 36, 0, 195, 652, 357, 0, 603, 538, 229, 549, 481, 38, 0, 671, 562, 18, 643, 577, 0, 446, 108, 300, 211, 712, 0, 447, 272, 182, 637, 334, 0, 697, 123, 388, 10, 468, 0, 40, 621, 270, 184, 480, 0, 561, 586, 639, 467, 588, 0, 614, 655, 715, 426, 12, 0, 525, 679, 327, 2, 678, 729, 0, 360, 324, 374, 438, 0, 672, 162, 449, 234, 180, 0, 495, 196, 72, 244, 0, 399, 668, 539, 79, 226, 0, 73, 323, 253, 501, 0, 685, 690, 540, 33, 0, 713, 617, 298, 653, 0, 648, 321, 84, 296, 0, 285, 471, 53, 136, 0, 477, 31, 29, 0, 175, 610, 644, 608, 0, 521, 532, 264, 379, 0, 15, 514, 282, 479, 0, 404, 316, 65, 150, 96, 0, 236, 249, 725, 7, 4, 565, 392, 0, 592, 117, 292, 646, 0, 276, 611, 455, 0, 273, 401, 570, 378, 0, 271, 87, 731, 397, 178, 534, 239, 266, 0, 469, 428, 228, 290, 636, 0, 609, 27, 436, 368, 0, 318, 94, 377, 315, 726, 164, 356, 0, 170, 51, 255, 120, 459, 416, 0, 543, 568, 541, 431, 0, 613, 206, 62, 81, 235, 430, 0, 530, 149, 118, 346, 380, 0, 607, 387, 192, 294, 0, 461, 330, 366, 494, 3, 233, 0, 384, 616, 176, 0, 43, 375, 415, 49, 132, 450, 241, 0, 691, 207, 224, 591, 402, 61, 0, 222, 154, 687, 56, 320, 0, 247, 689, 410, 0, 258, 670, 37, 571, 0, 580, 193, 342, 47, 5, 159, 0, 717, 223, 293, 112, 657, 24, 0, 119, 703, 537, 133, 0, 286, 619, 573, 232, 0, 382, 39, 304, 310, 0, 131, 263, 590, 88, 23, 677, 0, 676, 20, 520, 8, 268, 634, 0, 683, 409, 702, 432, 0, 338, 465, 291, 19, 0, 129, 569, 25, 635, 707, 0, 269, 395, 219, 0, 698, 59, 92, 705, 336, 0, 542, 647, 214, 421, 287, 0, 220, 158, 487, 137, 0, 75, 194, 78, 476, 0, 454, 240, 732, 146, 265, 0, 548, 414, 531, 0, 443, 122, 97, 665, 516, 0, 554, 319, 594, 227, 0, 106, 237, 511, 0, 183, 6, 704, 64, 0, 508, 326, 490, 151, 0, 197, 348, 527, 160, 0, 172, 496, 257, 604, 0, 32, 435, 624, 623, 0, 77, 311, 100, 0, 581, 627, 682, 0, 593, 362, 218, 684, 41, 355, 155, 440, 0, 363, 654, 351, 213, 0, 695, 453, 626, 0, 522, 485, 686, 567, 622, 174, 0, 242, 722, 361, 529, 71, 0, 625, 394, 83, 405, 0, 35, 16, 694, 0, 583, 669, 497, 576, 602, 0, 439, 546, 460, 34, 0, 564, 309, 199, 429, 0, 445, 208, 425, 509, 281, 0, 629, 209, 710, 171, 198, 0, 427, 217, 606, 364, 0, 661, 54, 381, 700, 618, 0, 126, 297, 505, 0, 125, 251, 157, 0, 706, 640, 111, 724, 693, 0, 98, 308, 723, 0, 385, 288, 630, 80, 0, 517, 462, 649, 470, 221, 0, 507, 283, 144, 373, 0, 662, 306, 185, 139, 0, 510, 225, 66, 301, 289, 0, 105, 335, 584, 0, 314, 143, 91, 45, 0, 589, 107, 574, 0, 390, 188, 599, 0, 60, 601, 434, 0, 398, 638, 267, 0, 274, 408, 44, 68, 0, 719, 128, 260, 166, 0, 333, 95, 190, 179, 0, 598, 512, 55, 145, 0, 367, 400, 231, 165, 0, 147, 376, 187, 663, 728, 0, 486, 411, 328, 0, 161, 280, 0, 322, 535, 279, 0, 605, 641, 0, 572, 200, 243, 0, 491, 353, 544, 0, 186, 556, 451, 114, 473, 0, 365, 0]</t>
  </si>
  <si>
    <t>[0, 130, 93, 721, 371, 600, 680, 0, 141, 727, 452, 478, 475, 103, 391, 464, 0, 76, 354, 406, 46, 307, 0, 181, 587, 168, 329, 345, 114, 0, 246, 278, 482, 370, 474, 446, 0, 17, 596, 632, 413, 0, 620, 42, 528, 658, 0, 588, 489, 302, 407, 101, 518, 675, 0, 147, 484, 411, 328, 0, 493, 533, 250, 551, 0, 615, 343, 86, 9, 0, 57, 248, 696, 553, 549, 656, 481, 0, 189, 547, 666, 550, 0, 202, 102, 195, 0, 357, 631, 699, 0, 441, 633, 555, 0, 451, 417, 692, 651, 447, 0, 215, 466, 513, 545, 0, 671, 229, 412, 121, 0, 614, 272, 108, 577, 712, 38, 12, 0, 480, 2, 211, 643, 18, 562, 538, 0, 36, 327, 388, 300, 334, 0, 603, 123, 621, 10, 0, 561, 655, 40, 321, 0, 679, 182, 652, 0, 672, 639, 637, 678, 0, 456, 467, 495, 236, 0, 697, 270, 72, 525, 0, 360, 426, 184, 715, 324, 0, 298, 180, 468, 449, 399, 196, 0, 374, 586, 592, 0, 438, 713, 648, 693, 0, 84, 162, 244, 234, 0, 653, 73, 323, 729, 668, 226, 0, 53, 379, 29, 33, 87, 0, 79, 617, 271, 556, 0, 253, 540, 539, 0, 690, 264, 532, 725, 249, 0, 296, 521, 477, 31, 0, 404, 608, 644, 610, 501, 0, 316, 685, 282, 96, 0, 150, 175, 65, 4, 378, 397, 731, 0, 292, 471, 285, 0, 479, 7, 534, 178, 15, 0, 392, 276, 514, 117, 0, 565, 570, 611, 691, 0, 266, 401, 239, 27, 0, 356, 377, 290, 228, 428, 0, 530, 315, 459, 62, 726, 170, 368, 469, 0, 641, 491, 353, 136, 243, 0, 609, 120, 436, 0, 273, 455, 689, 133, 0, 210, 322, 486, 13, 0, 636, 164, 415, 94, 294, 416, 0, 422, 231, 418, 506, 325, 0, 318, 3, 81, 192, 255, 431, 0, 167, 720, 359, 709, 140, 187, 179, 124, 0, 613, 51, 206, 494, 118, 450, 0, 387, 366, 149, 0, 461, 430, 346, 568, 541, 56, 241, 0, 662, 55, 708, 728, 0, 380, 233, 375, 616, 132, 49, 235, 61, 0, 598, 376, 605, 0, 663, 504, 523, 512, 52, 0, 261, 688, 205, 681, 645, 0, 190, 90, 358, 0, 367, 95, 238, 145, 0, 317, 389, 295, 0, 543, 207, 687, 591, 0, 519, 148, 262, 578, 400, 0, 252, 333, 21, 433, 674, 463, 256, 165, 152, 0, 176, 224, 330, 0, 260, 535, 473, 646, 0, 403, 63, 730, 332, 526, 612, 0, 607, 320, 342, 37, 112, 0, 337, 303, 312, 398, 0, 156, 11, 448, 230, 82, 458, 0, 30, 110, 305, 0, 410, 43, 544, 0, 594, 258, 402, 159, 0, 384, 47, 293, 580, 0, 5, 670, 154, 382, 0, 560, 444, 472, 138, 559, 0, 223, 39, 304, 537, 0, 419, 437, 457, 0, 571, 131, 573, 657, 0, 119, 193, 703, 395, 0, 336, 520, 268, 634, 232, 0, 222, 263, 619, 465, 23, 0, 536, 85, 442, 650, 488, 0, 134, 313, 566, 204, 163, 718, 498, 28, 0, 717, 590, 219, 8, 88, 0, 24, 286, 516, 269, 310, 338, 137, 0, 628, 660, 341, 383, 0, 683, 409, 702, 432, 0, 59, 647, 194, 542, 20, 0, 414, 511, 78, 705, 0, 129, 25, 421, 122, 183, 127, 214, 0, 676, 92, 569, 291, 0, 240, 454, 635, 0, 146, 109, 177, 97, 665, 732, 0, 19, 476, 6, 326, 158, 629, 0, 287, 698, 237, 661, 0, 369, 319, 508, 348, 0, 299, 284, 142, 201, 0, 135, 340, 1, 153, 393, 0, 487, 220, 548, 0, 197, 623, 254, 349, 704, 0, 490, 527, 213, 496, 0, 654, 351, 160, 0, 582, 48, 563, 169, 216, 245, 0, 485, 492, 502, 331, 622, 41, 0, 275, 386, 89, 424, 711, 0, 440, 155, 624, 355, 552, 567, 363, 0, 390, 575, 339, 344, 104, 0, 218, 602, 497, 394, 71, 684, 174, 0, 203, 26, 212, 69, 483, 173, 503, 0, 462, 115, 14, 585, 22, 0, 125, 107, 67, 113, 0, 642, 579, 372, 500, 0, 405, 529, 576, 347, 686, 0, 308, 557, 597, 0, 649, 601, 99, 259, 0, 373, 188, 350, 515, 524, 0, 510, 445, 242, 172, 0, 60, 574, 91, 701, 420, 0, 361, 499, 710, 171, 0, 105, 599, 144, 116, 0, 251, 460, 209, 34, 0, 423, 595, 638, 279, 0, 554, 627, 157, 0, 425, 439, 669, 714, 509, 0, 58, 659, 558, 396, 0, 74, 716, 352, 0, 673, 277, 98, 0, 664, 274, 161, 227, 0, 143, 66, 470, 618, 667, 0, 408, 44, 280, 68, 0, 434, 306, 314, 265, 0, 185, 589, 283, 301, 0, 191, 225, 45, 281, 50, 208, 0, 166, 267, 507, 0, 724, 335, 221, 700, 0, 517, 584, 364, 0, 111, 381, 546, 722, 362, 0, 200, 186, 139, 0, 70, 126, 297, 0, 128, 572, 604, 0, 365, 719, 429, 289, 0, 640, 606, 83, 0, 198, 593, 151, 288, 706, 0, 505, 723, 247, 0, 564, 427, 694, 630, 80, 0, 309, 583, 625, 707, 0, 385, 16, 100, 0, 54, 682, 257, 0, 626, 64, 311, 75, 0, 199, 217, 453, 581, 0, 522, 695, 435, 32, 0, 531, 35, 443, 0, 677, 106, 77, 0]</t>
  </si>
  <si>
    <t>[0, 695, 613, 707, 13, 580, 424, 548, 466, 244, 94, 464, 0, 312, 190, 617, 744, 280, 697, 294, 642, 384, 0, 242, 283, 98, 452, 628, 125, 0, 310, 596, 671, 477, 293, 739, 58, 349, 0, 302, 210, 718, 623, 659, 600, 0, 633, 49, 694, 72, 266, 154, 279, 0, 99, 338, 589, 451, 249, 498, 65, 133, 690, 0, 595, 160, 231, 42, 702, 367, 212, 18, 379, 0, 681, 5, 672, 421, 647, 132, 80, 269, 295, 200, 0, 204, 557, 492, 325, 319, 513, 738, 0, 540, 708, 261, 612, 538, 95, 0, 316, 592, 315, 597, 151, 253, 328, 447, 552, 0, 191, 733, 496, 745, 683, 469, 66, 0, 511, 448, 92, 158, 173, 287, 505, 11, 0, 195, 578, 225, 247, 569, 525, 0, 674, 626, 598, 526, 439, 555, 521, 678, 0, 486, 630, 64, 503, 362, 38, 482, 248, 268, 732, 201, 648, 183, 0, 84, 307, 551, 250, 298, 442, 0, 89, 376, 21, 462, 727, 703, 0, 594, 586, 541, 698, 368, 434, 262, 203, 214, 455, 0, 241, 129, 378, 24, 149, 385, 97, 142, 20, 96, 686, 0, 232, 263, 112, 228, 19, 352, 444, 171, 0, 216, 700, 532, 491, 252, 574, 329, 0, 425, 345, 3, 246, 583, 668, 339, 166, 359, 454, 0, 408, 233, 296, 603, 46, 679, 0, 164, 560, 483, 126, 722, 605, 610, 0, 382, 591, 565, 272, 264, 275, 664, 0, 313, 369, 197, 360, 450, 416, 0, 68, 484, 621, 109, 519, 428, 308, 747, 554, 0, 102, 342, 684, 407, 39, 0, 333, 326, 239, 661, 6, 218, 0, 704, 487, 74, 119, 737, 734, 535, 194, 37, 0, 70, 176, 721, 16, 567, 284, 121, 79, 76, 0, 710, 544, 116, 144, 504, 730, 0, 472, 607, 371, 140, 289, 82, 303, 604, 651, 75, 436, 0, 663, 189, 256, 476, 562, 682, 143, 101, 0, 234, 324, 553, 181, 146, 559, 524, 187, 270, 0, 331, 650, 706, 117, 221, 423, 267, 291, 390, 536, 0, 740, 387, 719, 443, 361, 501, 0, 304, 418, 568, 410, 150, 550, 572, 0, 614, 282, 509, 60, 539, 0, 299, 223, 199, 196, 646, 380, 104, 497, 0, 111, 139, 649, 36, 640, 277, 383, 0, 729, 467, 394, 456, 534, 636, 0, 157, 100, 40, 245, 510, 441, 520, 0, 500, 43, 57, 528, 516, 473, 182, 459, 0, 667, 14, 375, 341, 453, 401, 374, 0, 689, 638, 715, 59, 365, 211, 420, 317, 0, 542, 251, 713, 571, 415, 0, 395, 546, 581, 566, 22, 322, 601, 0, 644, 741, 717, 499, 71, 297, 474, 0, 63, 107, 742, 433, 629, 288, 685, 0, 137, 726, 531, 652, 257, 356, 624, 0, 192, 460, 625, 53, 611, 431, 255, 632, 712, 136, 0, 113, 490, 506, 27, 236, 728, 660, 0, 495, 118, 174, 691, 573, 634, 475, 389, 51, 292, 388, 0, 318, 402, 29, 91, 88, 134, 0, 48, 207, 405, 576, 404, 676, 35, 561, 458, 0, 748, 437, 309, 403, 522, 2, 377, 0, 213, 373, 165, 281, 563, 148, 445, 224, 56, 0, 167, 653, 152, 83, 471, 575, 0, 558, 31, 350, 229, 4, 67, 343, 641, 0, 488, 52, 687, 290, 463, 435, 429, 178, 0, 73, 675, 155, 622, 620, 570, 0, 461, 430, 147, 564, 1, 186, 105, 208, 457, 0, 344, 311, 202, 78, 321, 108, 123, 735, 523, 30, 163, 28, 470, 0, 153, 701, 693, 206, 227, 582, 619, 724, 515, 577, 0, 172, 518, 446, 627, 427, 398, 0, 114, 340, 26, 305, 254, 330, 131, 355, 677, 0, 670, 265, 530, 609, 226, 438, 162, 62, 327, 351, 93, 0, 489, 274, 188, 731, 168, 481, 169, 0, 217, 585, 517, 348, 370, 33, 635, 0, 366, 363, 655, 657, 354, 145, 314, 337, 222, 0, 332, 406, 110, 122, 120, 230, 198, 606, 0, 549, 180, 602, 184, 238, 618, 543, 645, 334, 0, 588, 688, 41, 512, 219, 364, 55, 47, 0, 696, 413, 587, 386, 271, 666, 736, 479, 300, 0, 391, 115, 714, 485, 527, 723, 656, 0, 285, 193, 449, 417, 25, 480, 0, 34, 643, 743, 381, 579, 662, 106, 215, 0, 10, 478, 346, 692, 399, 128, 392, 0, 336, 616, 124, 699, 301, 0, 637, 45, 175, 615, 81, 432, 259, 54, 0, 705, 639, 7, 414, 673, 353, 235, 411, 400, 0, 537, 306, 185, 135, 547, 0, 584, 711, 631, 320, 669, 220, 426, 69, 493, 0, 12, 508, 156, 593, 86, 159, 61, 465, 396, 0, 90, 87, 44, 468, 680, 0, 323, 161, 177, 243, 746, 103, 0, 545, 205, 590, 358, 412, 556, 0, 127, 276, 23, 179, 85, 0, 209, 240, 278, 397, 709, 0, 440, 599, 529, 273, 422, 0, 725, 357, 260, 372, 258, 0, 533, 393, 654, 665, 720, 0, 8, 9, 409, 419, 347, 141, 50, 0, 286, 502, 138, 658, 716, 237, 0, 77, 507, 514, 32, 130, 0, 170, 17, 15, 608, 335, 494, 0]</t>
  </si>
  <si>
    <t>X_n748</t>
  </si>
  <si>
    <t>[0, 270, 730, 261, 280, 125, 451, 253, 526, 127, 258, 0, 596, 690, 424, 613, 315, 158, 247, 578, 505, 200, 302, 0, 496, 745, 469, 225, 569, 626, 66, 195, 0, 310, 694, 681, 328, 513, 647, 448, 92, 173, 204, 674, 0, 369, 525, 511, 597, 42, 498, 49, 0, 580, 13, 589, 231, 151, 552, 379, 642, 384, 0, 116, 633, 72, 738, 325, 160, 671, 0, 294, 18, 421, 316, 707, 132, 287, 144, 259, 544, 0, 540, 191, 683, 249, 319, 210, 242, 0, 599, 679, 733, 592, 154, 600, 0, 215, 212, 5, 338, 133, 628, 548, 190, 95, 504, 0, 695, 739, 595, 80, 492, 447, 197, 0, 46, 11, 295, 557, 672, 65, 623, 0, 708, 283, 244, 466, 58, 450, 209, 0, 234, 697, 464, 452, 279, 702, 474, 304, 0, 494, 725, 99, 744, 312, 181, 572, 0, 54, 237, 495, 157, 60, 612, 617, 0, 130, 710, 538, 94, 349, 0, 539, 550, 146, 553, 313, 276, 0, 9, 334, 105, 509, 418, 324, 282, 614, 0, 360, 167, 624, 457, 150, 559, 524, 0, 416, 372, 356, 568, 581, 410, 510, 187, 0, 357, 8, 106, 344, 77, 601, 40, 441, 0, 547, 170, 430, 322, 520, 0, 100, 564, 306, 17, 15, 347, 0, 635, 507, 608, 260, 179, 0, 419, 286, 461, 388, 292, 51, 546, 566, 395, 0, 537, 32, 138, 69, 163, 22, 137, 0, 409, 493, 147, 475, 245, 726, 652, 208, 0, 502, 514, 711, 118, 634, 0, 257, 186, 549, 185, 311, 631, 320, 720, 0, 1, 531, 389, 174, 470, 47, 656, 0, 691, 321, 517, 696, 400, 705, 169, 426, 12, 0, 85, 669, 584, 135, 217, 180, 78, 523, 573, 28, 0, 141, 645, 370, 348, 184, 123, 108, 585, 0, 335, 637, 413, 602, 735, 202, 33, 0, 30, 238, 618, 220, 393, 716, 0, 50, 665, 93, 285, 332, 533, 0, 543, 41, 688, 300, 366, 336, 658, 0, 529, 273, 177, 205, 25, 0, 440, 23, 556, 709, 103, 0, 278, 427, 172, 392, 153, 481, 34, 0, 10, 588, 587, 512, 219, 364, 55, 0, 31, 406, 193, 351, 301, 381, 666, 271, 386, 0, 606, 736, 115, 363, 489, 558, 458, 0, 677, 222, 73, 577, 343, 373, 490, 152, 689, 0, 743, 159, 128, 110, 655, 355, 0, 377, 542, 358, 675, 570, 0, 748, 575, 746, 412, 240, 0, 397, 479, 643, 411, 465, 61, 327, 175, 670, 178, 48, 459, 480, 0, 590, 131, 391, 396, 86, 579, 0, 446, 660, 471, 213, 641, 680, 0, 235, 353, 45, 657, 265, 701, 685, 398, 0, 615, 508, 198, 168, 274, 134, 113, 64, 603, 0, 639, 7, 673, 593, 714, 518, 742, 192, 251, 0, 497, 139, 449, 687, 67, 522, 627, 2, 63, 0, 243, 374, 741, 14, 468, 545, 0, 122, 654, 422, 402, 401, 0, 653, 317, 437, 124, 156, 485, 731, 0, 662, 188, 403, 506, 318, 638, 644, 71, 0, 161, 534, 83, 288, 561, 0, 717, 488, 114, 120, 414, 699, 0, 499, 207, 515, 52, 432, 692, 81, 0, 500, 453, 309, 145, 417, 621, 329, 0, 375, 383, 649, 460, 229, 346, 616, 399, 0, 101, 473, 107, 350, 155, 693, 609, 354, 478, 527, 230, 0, 425, 519, 456, 629, 713, 0, 433, 206, 226, 26, 224, 62, 723, 337, 530, 0, 297, 341, 728, 620, 254, 582, 43, 482, 0, 340, 314, 227, 27, 467, 536, 455, 636, 0, 56, 622, 91, 104, 472, 740, 367, 293, 0, 571, 29, 4, 712, 162, 438, 330, 0, 111, 194, 331, 394, 182, 148, 431, 632, 305, 619, 0, 37, 650, 255, 576, 404, 429, 724, 290, 435, 136, 236, 0, 407, 333, 143, 611, 463, 405, 625, 0, 70, 345, 706, 380, 715, 53, 420, 445, 563, 0, 165, 676, 277, 117, 574, 164, 663, 667, 0, 729, 415, 35, 281, 88, 0, 59, 211, 365, 516, 57, 326, 501, 0, 176, 390, 646, 640, 528, 607, 221, 232, 0, 704, 682, 291, 223, 734, 214, 216, 0, 96, 560, 76, 36, 387, 0, 700, 199, 196, 721, 664, 263, 0, 87, 423, 719, 239, 491, 532, 20, 0, 747, 79, 256, 189, 535, 299, 0, 554, 342, 68, 119, 651, 75, 684, 0, 246, 661, 140, 267, 361, 443, 371, 436, 0, 586, 112, 487, 476, 82, 737, 484, 39, 0, 727, 252, 562, 289, 303, 604, 3, 0, 142, 454, 567, 121, 6, 308, 102, 0, 462, 668, 171, 264, 284, 218, 428, 591, 0, 84, 307, 339, 605, 16, 126, 74, 565, 0, 439, 24, 109, 272, 21, 703, 0, 382, 483, 722, 275, 610, 228, 0, 648, 201, 376, 385, 352, 268, 166, 19, 0, 89, 298, 129, 378, 444, 149, 203, 0, 594, 541, 262, 97, 583, 241, 732, 38, 248, 698, 503, 442, 0, 678, 630, 555, 368, 434, 359, 551, 521, 183, 0, 233, 250, 362, 598, 486, 0, 477, 718, 266, 269, 296, 0, 323, 44, 408, 90, 686, 0, 659, 98, 0]</t>
  </si>
  <si>
    <t>[0, 626, 486, 678, 630, 368, 482, 555, 439, 526, 598, 247, 0, 183, 89, 442, 64, 521, 298, 84, 0, 195, 569, 287, 173, 158, 469, 683, 92, 253, 597, 451, 613, 0, 703, 648, 698, 38, 129, 378, 268, 248, 362, 503, 0, 96, 541, 97, 454, 171, 732, 241, 434, 250, 551, 201, 0, 505, 578, 225, 745, 448, 151, 647, 328, 0, 594, 21, 203, 444, 359, 24, 166, 339, 610, 565, 263, 216, 0, 535, 604, 284, 605, 664, 668, 352, 262, 376, 586, 0, 20, 462, 19, 109, 264, 275, 149, 385, 0, 727, 307, 583, 126, 722, 16, 371, 682, 331, 0, 66, 552, 447, 733, 511, 496, 325, 421, 681, 0, 591, 428, 621, 519, 272, 483, 112, 232, 0, 532, 491, 560, 246, 252, 228, 142, 0, 11, 674, 204, 191, 316, 315, 42, 13, 424, 0, 164, 574, 721, 567, 74, 661, 0, 525, 269, 492, 592, 589, 690, 0, 194, 484, 140, 562, 218, 3, 345, 342, 0, 425, 700, 68, 308, 487, 119, 737, 37, 0, 302, 379, 18, 702, 5, 513, 132, 231, 249, 596, 0, 554, 214, 747, 6, 82, 289, 455, 0, 580, 707, 338, 80, 319, 557, 295, 633, 200, 0, 133, 160, 595, 367, 72, 694, 49, 0, 39, 333, 79, 476, 267, 361, 390, 459, 0, 70, 436, 651, 719, 256, 303, 121, 239, 0, 663, 472, 607, 443, 189, 75, 734, 326, 0, 310, 210, 212, 672, 498, 671, 65, 279, 0, 233, 382, 102, 704, 686, 167, 0, 176, 221, 423, 199, 528, 143, 740, 101, 0, 329, 407, 706, 76, 196, 36, 380, 14, 0, 242, 99, 738, 477, 98, 548, 190, 146, 0, 497, 650, 117, 291, 387, 684, 0, 383, 277, 365, 640, 223, 649, 139, 536, 636, 0, 467, 57, 646, 516, 43, 638, 685, 689, 0, 415, 534, 111, 251, 641, 0, 341, 104, 394, 473, 211, 59, 318, 0, 46, 600, 718, 154, 623, 293, 628, 0, 244, 739, 58, 659, 266, 369, 540, 0, 408, 44, 713, 571, 71, 0, 501, 113, 717, 456, 453, 83, 522, 0, 741, 460, 433, 401, 729, 0, 374, 627, 742, 506, 182, 53, 431, 255, 420, 715, 63, 0, 468, 499, 644, 471, 152, 0, 177, 590, 243, 542, 667, 0, 660, 629, 107, 288, 48, 358, 677, 0, 8, 427, 207, 317, 675, 10, 458, 0, 375, 625, 27, 91, 29, 561, 403, 489, 222, 0, 412, 373, 88, 405, 576, 611, 445, 518, 0, 178, 728, 35, 676, 402, 746, 0, 446, 435, 281, 404, 136, 236, 2, 500, 0, 558, 192, 4, 165, 563, 148, 429, 463, 52, 748, 332, 0, 490, 134, 309, 515, 67, 709, 12, 0, 31, 437, 155, 229, 350, 343, 0, 213, 622, 290, 619, 724, 488, 570, 493, 0, 575, 131, 620, 701, 355, 0, 220, 62, 632, 712, 254, 330, 206, 56, 687, 392, 0, 172, 670, 693, 227, 162, 224, 582, 577, 103, 0, 73, 340, 305, 438, 26, 188, 114, 153, 0, 406, 655, 530, 609, 314, 417, 723, 226, 0, 336, 481, 354, 145, 337, 478, 527, 120, 391, 0, 480, 87, 299, 297, 653, 398, 205, 409, 0, 273, 274, 265, 230, 432, 699, 449, 0, 300, 124, 616, 346, 122, 657, 363, 366, 169, 0, 645, 588, 7, 156, 414, 422, 692, 731, 377, 0, 413, 34, 593, 673, 399, 168, 351, 93, 0, 397, 193, 485, 198, 81, 128, 61, 0, 556, 278, 161, 23, 323, 474, 0, 665, 639, 508, 301, 353, 654, 175, 271, 0, 426, 285, 115, 714, 662, 615, 327, 465, 45, 0, 69, 110, 479, 411, 235, 579, 643, 736, 0, 393, 25, 240, 680, 90, 603, 0, 237, 716, 347, 533, 545, 276, 0, 141, 637, 587, 396, 86, 512, 0, 669, 606, 743, 159, 381, 666, 386, 0, 260, 440, 296, 450, 416, 127, 0, 106, 430, 261, 464, 466, 452, 349, 0, 313, 679, 360, 179, 85, 116, 0, 197, 209, 656, 529, 720, 0, 357, 599, 9, 419, 494, 0, 608, 50, 32, 335, 372, 725, 0, 514, 320, 138, 502, 658, 286, 0, 15, 705, 400, 688, 219, 55, 618, 631, 0, 259, 215, 507, 711, 17, 170, 0, 185, 47, 311, 602, 41, 364, 238, 0, 334, 543, 696, 33, 135, 635, 537, 0, 157, 306, 77, 130, 258, 0, 54, 544, 144, 642, 695, 708, 384, 0, 624, 539, 547, 495, 60, 710, 0, 614, 509, 730, 125, 283, 94, 294, 0, 344, 584, 180, 370, 184, 348, 585, 217, 0, 208, 461, 105, 549, 652, 137, 0, 304, 257, 524, 744, 697, 504, 0, 356, 457, 118, 1, 282, 270, 0, 234, 538, 280, 617, 312, 553, 324, 0, 388, 726, 100, 572, 95, 612, 0, 520, 22, 475, 564, 292, 0, 601, 470, 517, 321, 202, 0, 186, 108, 523, 735, 573, 30, 147, 531, 418, 0, 187, 568, 150, 181, 559, 0, 395, 28, 78, 123, 691, 163, 174, 389, 546, 410, 0, 441, 245, 566, 581, 634, 40, 0, 550, 510, 51, 322, 0]</t>
  </si>
  <si>
    <t>[0, 734, 489, 608, 606, 652, 347, 331, 264, 89, 163, 311, 480, 695, 0, 360, 303, 539, 158, 471, 375, 287, 189, 339, 276, 216, 479, 126, 21, 240, 510, 470, 253, 0, 327, 5, 633, 587, 473, 409, 330, 61, 144, 501, 393, 0, 282, 374, 210, 242, 94, 674, 579, 160, 564, 108, 361, 296, 605, 156, 525, 147, 597, 0, 421, 148, 319, 223, 733, 198, 193, 182, 562, 66, 636, 682, 273, 266, 580, 461, 596, 694, 464, 500, 0, 543, 194, 159, 527, 249, 60, 51, 190, 0, 321, 262, 667, 265, 465, 214, 175, 496, 388, 752, 641, 512, 111, 743, 435, 669, 662, 666, 358, 678, 571, 677, 298, 250, 408, 629, 180, 153, 306, 690, 0, 115, 143, 761, 492, 699, 476, 565, 534, 343, 154, 279, 59, 582, 747, 708, 377, 394, 634, 544, 755, 195, 0, 129, 670, 622, 591, 536, 651, 560, 103, 385, 681, 644, 424, 181, 246, 0, 285, 97, 54, 136, 263, 679, 519, 0, 344, 200, 372, 380, 228, 323, 243, 230, 335, 338, 241, 96, 197, 199, 202, 702, 142, 0, 208, 308, 244, 328, 300, 414, 155, 128, 305, 14, 289, 297, 759, 590, 433, 440, 704, 657, 537, 184, 294, 256, 0, 506, 24, 102, 269, 233, 0, 313, 457, 581, 531, 15, 663, 50, 252, 0, 532, 672, 88, 3, 140, 485, 238, 570, 0, 603, 201, 317, 278, 432, 738, 723, 459, 329, 423, 33, 119, 235, 554, 558, 732, 762, 169, 304, 150, 0, 286, 586, 312, 73, 40, 550, 221, 0, 488, 191, 91, 486, 650, 439, 31, 0, 272, 113, 293, 245, 168, 227, 354, 456, 610, 65, 350, 351, 0, 399, 448, 290, 548, 258, 133, 151, 83, 218, 326, 731, 215, 369, 656, 450, 569, 578, 0, 441, 211, 406, 553, 318, 10, 254, 598, 715, 172, 436, 664, 511, 405, 0, 356, 594, 427, 524, 698, 371, 472, 20, 316, 676, 259, 523, 386, 538, 110, 438, 309, 739, 757, 0, 616, 559, 505, 455, 717, 411, 696, 528, 689, 601, 186, 623, 141, 751, 706, 628, 37, 125, 207, 627, 0, 483, 599, 482, 498, 648, 19, 477, 403, 391, 518, 359, 714, 251, 222, 688, 292, 0, 637, 58, 64, 219, 355, 0, 271, 217, 573, 373, 353, 72, 257, 284, 164, 135, 332, 170, 322, 368, 226, 167, 0, 352, 171, 624, 713, 509, 449, 34, 430, 261, 434, 557, 192, 107, 400, 139, 0, 204, 645, 659, 137, 595, 631, 99, 466, 626, 619, 763, 415, 281, 370, 0, 422, 30, 100, 174, 149, 0, 722, 255, 152, 522, 756, 442, 280, 504, 660, 387, 750, 613, 474, 642, 542, 274, 183, 490, 712, 120, 726, 495, 658, 127, 710, 639, 545, 547, 283, 478, 310, 632, 0, 86, 187, 92, 567, 340, 0, 517, 123, 546, 416, 35, 469, 357, 131, 162, 365, 109, 481, 520, 725, 185, 0, 106, 675, 467, 124, 75, 701, 117, 600, 609, 205, 342, 691, 589, 744, 735, 116, 0, 229, 515, 561, 41, 56, 612, 307, 458, 720, 680, 366, 0, 237, 69, 46, 349, 0, 647, 584, 412, 325, 585, 275, 70, 376, 454, 693, 166, 345, 132, 556, 157, 703, 583, 0, 336, 25, 84, 314, 0, 76, 17, 0, 18, 38, 203, 176, 0, 78, 95, 0, 452, 460, 724, 740, 568, 727, 77, 260, 268, 535, 291, 379, 709, 234, 0, 134, 754, 742, 397, 267, 437, 101, 753, 640, 122, 398, 418, 112, 549, 248, 0, 53, 196, 23, 0, 93, 45, 334, 0, 707, 508, 551, 588, 687, 576, 130, 741, 711, 44, 165, 521, 746, 0, 392, 299, 7, 729, 81, 638, 410, 718, 604, 0, 661, 574, 621, 417, 346, 541, 716, 736, 389, 503, 665, 487, 333, 685, 671, 383, 484, 684, 428, 494, 615, 653, 348, 188, 0, 577, 419, 43, 98, 407, 426, 212, 493, 673, 497, 0, 362, 8, 4, 295, 206, 341, 0, 177, 324, 655, 649, 363, 85, 444, 572, 618, 728, 453, 396, 0, 514, 507, 382, 617, 425, 643, 530, 668, 337, 74, 646, 462, 475, 692, 697, 161, 402, 0, 468, 16, 288, 611, 105, 220, 620, 491, 630, 602, 0, 552, 145, 513, 390, 445, 529, 32, 749, 236, 566, 719, 320, 516, 401, 499, 592, 745, 0, 6, 90, 232, 213, 367, 0, 1, 47, 0, 12, 29, 0, 121, 114, 378, 302, 52, 247, 239, 138, 0, 179, 526, 705, 11, 555, 178, 68, 443, 364, 395, 730, 0, 277, 48, 26, 654, 0, 146, 540, 104, 563, 429, 625, 758, 764, 683, 451, 431, 760, 765, 0, 27, 87, 0, 315, 225, 533, 593, 614, 607, 635, 384, 413, 404, 502, 301, 231, 173, 463, 209, 748, 447, 575, 686, 446, 420, 700, 737, 721, 0, 80, 57, 0, 36, 22, 0, 39, 42, 0, 49, 62, 0, 55, 71, 0, 67, 0, 79, 224, 2, 0, 82, 28, 0, 9, 0, 381, 13, 118, 270, 0, 63, 0]</t>
  </si>
  <si>
    <t>X_n765</t>
  </si>
  <si>
    <t>[0, 233, 362, 272, 84, 29, 206, 232, 167, 314, 367, 422, 0, 150, 27, 341, 340, 176, 196, 368, 203, 135, 322, 295, 149, 271, 0, 86, 17, 0, 12, 355, 573, 373, 332, 4, 0, 90, 25, 253, 0, 304, 113, 350, 92, 80, 0, 213, 53, 567, 30, 334, 336, 0, 247, 8, 226, 38, 284, 164, 252, 0, 6, 18, 348, 0, 52, 170, 217, 174, 187, 293, 286, 327, 597, 282, 0, 245, 168, 100, 353, 257, 221, 637, 227, 354, 201, 603, 195, 351, 672, 184, 294, 0, 181, 670, 622, 317, 586, 312, 610, 457, 755, 581, 278, 762, 423, 554, 235, 550, 45, 169, 456, 0, 269, 313, 424, 644, 681, 591, 544, 761, 65, 115, 532, 190, 506, 208, 0, 328, 5, 695, 492, 536, 329, 64, 0, 321, 734, 699, 634, 432, 738, 723, 459, 72, 119, 558, 732, 219, 129, 0, 3, 489, 394, 663, 582, 40, 531, 0, 246, 24, 88, 599, 0, 73, 279, 154, 651, 560, 385, 587, 470, 525, 194, 300, 147, 519, 244, 142, 441, 0, 285, 543, 374, 158, 539, 633, 480, 15, 476, 608, 303, 143, 360, 0, 76, 102, 140, 488, 0, 31, 510, 708, 747, 50, 343, 501, 690, 518, 310, 0, 486, 650, 393, 471, 377, 58, 534, 409, 54, 136, 344, 511, 0, 537, 439, 679, 606, 473, 565, 652, 240, 311, 97, 144, 263, 657, 399, 309, 0, 78, 59, 330, 569, 714, 0, 347, 331, 264, 163, 339, 375, 156, 19, 308, 352, 757, 688, 0, 438, 448, 103, 126, 479, 579, 562, 461, 674, 216, 189, 287, 421, 527, 159, 386, 648, 405, 0, 191, 110, 605, 276, 89, 33, 0, 505, 411, 553, 290, 704, 155, 200, 752, 266, 512, 641, 182, 160, 564, 242, 210, 51, 306, 211, 0, 1, 91, 498, 626, 237, 0, 455, 696, 414, 702, 153, 61, 733, 388, 636, 111, 596, 433, 440, 664, 624, 477, 0, 616, 559, 578, 538, 249, 21, 198, 273, 358, 128, 450, 528, 713, 0, 359, 391, 403, 689, 172, 318, 548, 258, 465, 666, 669, 743, 682, 580, 193, 108, 296, 60, 590, 717, 406, 0, 361, 319, 94, 435, 496, 214, 464, 694, 223, 148, 262, 372, 436, 523, 676, 427, 509, 739, 482, 415, 0, 763, 467, 627, 356, 466, 107, 192, 207, 524, 601, 316, 259, 69, 400, 171, 0, 515, 594, 759, 323, 250, 662, 96, 66, 500, 0, 180, 629, 265, 197, 175, 571, 678, 243, 305, 85, 619, 106, 0, 46, 254, 289, 335, 408, 298, 677, 241, 338, 14, 667, 202, 0, 452, 444, 123, 478, 584, 204, 124, 557, 715, 83, 230, 228, 199, 380, 729, 0, 618, 229, 417, 735, 283, 218, 10, 297, 151, 133, 656, 638, 517, 139, 0, 632, 20, 598, 369, 326, 215, 472, 371, 698, 659, 645, 722, 561, 685, 671, 508, 410, 0, 366, 212, 346, 546, 434, 125, 261, 474, 542, 706, 628, 731, 751, 141, 449, 81, 383, 673, 507, 292, 0, 551, 99, 186, 7, 718, 615, 0, 604, 299, 684, 574, 493, 363, 623, 34, 416, 725, 744, 499, 324, 382, 592, 514, 0, 707, 484, 675, 621, 572, 595, 631, 430, 37, 642, 490, 275, 680, 185, 588, 649, 617, 0, 485, 16, 520, 137, 495, 658, 639, 127, 712, 120, 726, 274, 183, 613, 750, 387, 660, 756, 547, 365, 0, 281, 647, 442, 545, 75, 710, 280, 504, 117, 600, 152, 255, 460, 541, 655, 661, 0, 494, 428, 35, 701, 609, 469, 522, 109, 458, 720, 728, 468, 0, 251, 333, 589, 357, 41, 205, 166, 693, 454, 376, 131, 481, 412, 724, 487, 549, 630, 177, 0, 653, 396, 179, 401, 643, 716, 665, 503, 418, 691, 162, 70, 556, 727, 260, 268, 0, 392, 222, 56, 43, 426, 425, 491, 402, 526, 0, 453, 740, 342, 77, 345, 157, 585, 398, 687, 736, 161, 516, 0, 238, 497, 11, 288, 407, 112, 568, 711, 307, 612, 325, 132, 535, 291, 379, 267, 437, 165, 640, 576, 697, 0, 277, 570, 611, 530, 389, 44, 753, 668, 741, 475, 692, 220, 620, 145, 0, 2, 705, 122, 98, 419, 555, 0, 552, 48, 101, 130, 395, 0, 563, 719, 462, 445, 742, 397, 74, 337, 646, 703, 87, 0, 256, 602, 429, 26, 105, 749, 0, 47, 82, 0, 654, 730, 758, 625, 513, 320, 566, 236, 32, 529, 178, 390, 364, 443, 231, 502, 748, 0, 104, 521, 68, 301, 173, 754, 0, 116, 540, 760, 431, 451, 683, 413, 764, 577, 463, 209, 709, 447, 575, 686, 446, 404, 384, 635, 607, 583, 614, 700, 420, 0, 234, 721, 79, 737, 224, 746, 593, 533, 765, 118, 225, 745, 483, 0, 270, 71, 315, 49, 134, 0, 55, 381, 114, 0, 67, 0, 138, 302, 22, 349, 63, 378, 121, 0, 239, 9, 57, 248, 0, 28, 146, 0, 188, 42, 0, 95, 13, 0, 39, 0, 370, 36, 0, 23, 93, 0, 62, 0]</t>
  </si>
  <si>
    <t>[0, 314, 167, 150, 29, 17, 206, 232, 341, 213, 0, 233, 247, 422, 367, 90, 6, 362, 253, 0, 271, 272, 340, 176, 196, 53, 368, 203, 135, 322, 567, 334, 295, 226, 149, 269, 294, 0, 4, 170, 332, 30, 284, 164, 373, 573, 355, 252, 0, 27, 84, 246, 208, 0, 93, 12, 506, 282, 0, 36, 38, 0, 80, 92, 174, 129, 0, 304, 8, 187, 100, 327, 672, 0, 113, 245, 603, 221, 219, 550, 235, 119, 257, 353, 217, 52, 0, 293, 168, 227, 45, 554, 279, 558, 732, 762, 456, 351, 360, 0, 86, 102, 190, 599, 0, 286, 350, 354, 169, 637, 64, 423, 723, 738, 610, 312, 317, 201, 313, 532, 0, 25, 88, 441, 256, 0, 586, 457, 278, 40, 72, 329, 581, 681, 195, 0, 142, 115, 644, 755, 591, 459, 582, 154, 58, 50, 432, 622, 0, 424, 670, 531, 73, 663, 747, 343, 409, 347, 565, 377, 651, 536, 761, 488, 0, 303, 699, 394, 385, 708, 59, 33, 634, 544, 0, 597, 695, 470, 587, 560, 476, 534, 331, 264, 21, 330, 240, 158, 139, 0, 181, 734, 492, 489, 510, 473, 103, 652, 633, 539, 147, 140, 251, 707, 0, 608, 480, 606, 311, 375, 61, 287, 605, 144, 344, 263, 543, 537, 498, 0, 65, 5, 143, 184, 222, 0, 570, 482, 438, 538, 650, 679, 393, 501, 471, 15, 374, 328, 308, 238, 0, 31, 97, 519, 310, 0, 757, 616, 309, 399, 439, 300, 440, 590, 421, 189, 339, 276, 216, 89, 163, 156, 527, 525, 321, 0, 244, 194, 136, 296, 210, 242, 94, 126, 479, 579, 674, 564, 733, 108, 249, 153, 690, 448, 405, 0, 19, 54, 486, 739, 714, 0, 306, 159, 51, 60, 702, 110, 211, 485, 0, 657, 414, 155, 200, 372, 500, 175, 580, 273, 641, 636, 66, 182, 562, 160, 198, 223, 319, 361, 148, 285, 0, 450, 128, 596, 571, 678, 358, 743, 111, 266, 96, 682, 752, 388, 193, 694, 262, 180, 290, 0, 569, 704, 202, 629, 464, 214, 14, 496, 461, 512, 435, 669, 662, 666, 241, 408, 553, 0, 24, 3, 406, 688, 0, 191, 433, 759, 305, 380, 199, 667, 265, 465, 197, 338, 298, 677, 250, 335, 230, 243, 323, 228, 289, 326, 218, 297, 151, 133, 664, 713, 648, 505, 632, 292, 116, 0, 396, 299, 46, 455, 717, 411, 91, 578, 415, 349, 0, 511, 386, 318, 548, 83, 254, 369, 472, 715, 258, 528, 696, 477, 403, 391, 626, 0, 383, 729, 515, 356, 509, 676, 316, 598, 215, 10, 656, 523, 172, 436, 689, 559, 0, 123, 427, 259, 69, 624, 400, 627, 359, 763, 410, 352, 653, 0, 171, 466, 594, 107, 192, 20, 371, 731, 628, 706, 542, 751, 141, 698, 524, 207, 619, 647, 0, 239, 336, 370, 78, 483, 348, 114, 378, 302, 138, 0, 621, 645, 659, 434, 125, 430, 34, 623, 449, 186, 601, 584, 237, 0, 517, 478, 204, 557, 99, 261, 726, 274, 642, 474, 750, 490, 120, 658, 631, 722, 561, 0, 281, 392, 508, 638, 467, 518, 85, 283, 124, 551, 671, 675, 277, 0, 1, 18, 0, 453, 7, 37, 183, 712, 127, 639, 495, 416, 572, 0, 728, 744, 137, 547, 710, 280, 504, 660, 387, 613, 75, 595, 546, 229, 673, 428, 615, 0, 81, 35, 685, 0, 363, 212, 725, 520, 545, 442, 756, 701, 117, 600, 41, 609, 522, 152, 589, 255, 0, 417, 346, 680, 333, 481, 357, 469, 70, 166, 454, 693, 345, 132, 268, 275, 412, 458, 665, 0, 574, 720, 109, 56, 205, 376, 43, 260, 727, 691, 418, 724, 0, 307, 98, 612, 342, 325, 535, 157, 556, 585, 131, 162, 365, 460, 588, 735, 324, 684, 604, 0, 87, 76, 188, 0, 47, 23, 0, 514, 48, 618, 16, 493, 444, 484, 718, 248, 0, 106, 494, 661, 617, 649, 185, 643, 487, 101, 753, 0, 179, 630, 491, 499, 549, 541, 716, 112, 711, 44, 740, 426, 503, 452, 655, 468, 507, 0, 62, 39, 0, 11, 425, 26, 382, 366, 0, 95, 82, 146, 0, 2, 28, 0, 13, 57, 0, 177, 592, 402, 401, 288, 736, 687, 398, 77, 291, 379, 397, 447, 270, 0, 497, 526, 161, 697, 611, 105, 407, 568, 74, 437, 267, 390, 0, 104, 602, 563, 49, 0, 55, 22, 0, 42, 63, 0, 413, 220, 646, 32, 165, 640, 122, 389, 703, 530, 130, 576, 705, 145, 225, 0, 9, 121, 0, 67, 0, 381, 540, 552, 654, 516, 320, 395, 620, 692, 475, 741, 668, 337, 419, 462, 749, 529, 445, 742, 68, 607, 0, 745, 429, 730, 719, 566, 236, 555, 364, 178, 443, 231, 173, 209, 709, 748, 521, 625, 758, 760, 765, 134, 0, 746, 420, 446, 686, 575, 502, 463, 301, 513, 577, 764, 683, 431, 451, 384, 404, 635, 614, 583, 533, 118, 0, 71, 79, 0, 234, 737, 224, 700, 754, 593, 721, 315, 0]</t>
  </si>
  <si>
    <t>[0, 779, 606, 149, 617, 26, 271, 553, 17, 128, 268, 584, 0, 391, 736, 561, 748, 719, 390, 166, 629, 313, 575, 462, 0, 141, 753, 637, 518, 307, 284, 87, 449, 23, 429, 614, 413, 0, 270, 22, 502, 605, 5, 529, 451, 35, 688, 713, 406, 0, 273, 446, 36, 33, 402, 315, 478, 686, 697, 425, 355, 592, 45, 463, 210, 394, 389, 90, 109, 385, 427, 289, 778, 171, 258, 456, 444, 522, 695, 716, 673, 398, 533, 0, 691, 439, 430, 98, 476, 684, 580, 206, 282, 123, 598, 725, 669, 323, 228, 122, 546, 80, 358, 506, 482, 106, 393, 579, 84, 468, 454, 185, 140, 450, 119, 0, 182, 126, 74, 782, 260, 593, 124, 619, 191, 203, 419, 15, 345, 211, 362, 184, 401, 25, 10, 681, 160, 287, 729, 459, 696, 400, 531, 136, 465, 674, 0, 386, 613, 34, 634, 541, 678, 708, 727, 254, 632, 517, 332, 111, 534, 129, 319, 300, 363, 562, 219, 104, 616, 388, 555, 489, 630, 423, 364, 409, 356, 279, 366, 0, 38, 525, 535, 130, 43, 97, 336, 177, 230, 477, 342, 153, 208, 172, 235, 414, 121, 306, 341, 108, 161, 685, 543, 151, 473, 0, 443, 81, 548, 655, 609, 92, 510, 440, 396, 189, 503, 0, 139, 190, 705, 636, 308, 504, 6, 309, 664, 453, 170, 0, 438, 361, 487, 246, 40, 204, 69, 530, 41, 232, 567, 563, 252, 0, 116, 751, 55, 622, 324, 663, 31, 554, 566, 67, 540, 762, 721, 330, 621, 263, 703, 500, 493, 259, 0, 633, 73, 125, 532, 514, 764, 701, 88, 528, 20, 565, 164, 475, 274, 524, 0, 100, 583, 267, 266, 612, 467, 346, 770, 704, 329, 162, 597, 722, 93, 442, 0, 156, 290, 378, 411, 215, 424, 60, 188, 491, 649, 749, 318, 241, 715, 0, 484, 572, 653, 209, 275, 338, 620, 286, 50, 295, 360, 213, 512, 692, 0, 351, 250, 236, 767, 382, 650, 381, 627, 519, 731, 183, 0, 642, 107, 147, 412, 374, 310, 754, 102, 239, 603, 656, 492, 375, 0, 261, 585, 59, 96, 373, 577, 157, 710, 591, 14, 488, 750, 131, 0, 298, 728, 176, 497, 47, 766, 670, 178, 138, 452, 0, 660, 159, 222, 143, 651, 640, 30, 775, 155, 248, 179, 264, 0, 765, 181, 197, 426, 658, 759, 201, 198, 82, 288, 557, 641, 0, 737, 746, 556, 158, 53, 18, 193, 146, 734, 135, 407, 403, 202, 0, 365, 420, 223, 71, 49, 328, 72, 434, 539, 384, 418, 486, 376, 761, 57, 58, 278, 718, 520, 383, 0, 545, 299, 262, 780, 665, 625, 639, 458, 305, 152, 192, 344, 0, 110, 95, 196, 13, 744, 776, 777, 174, 387, 65, 42, 0, 601, 32, 652, 602, 39, 711, 483, 433, 679, 4, 397, 64, 437, 610, 675, 615, 320, 2, 507, 327, 243, 142, 302, 180, 416, 316, 277, 578, 709, 461, 63, 118, 771, 0, 272, 526, 343, 542, 552, 689, 371, 700, 304, 379, 570, 712, 0, 297, 527, 523, 638, 564, 257, 608, 68, 317, 154, 199, 714, 0, 234, 218, 757, 706, 168, 573, 311, 768, 720, 194, 445, 312, 568, 114, 77, 395, 101, 432, 326, 350, 285, 349, 200, 353, 226, 551, 509, 513, 480, 0, 265, 337, 127, 738, 623, 680, 132, 227, 455, 322, 52, 505, 0, 479, 508, 472, 242, 699, 296, 741, 646, 150, 549, 334, 240, 586, 0, 8, 76, 165, 405, 752, 357, 569, 682, 249, 735, 733, 0, 37, 494, 229, 773, 755, 217, 676, 683, 19, 370, 368, 415, 175, 321, 441, 0, 730, 9, 747, 550, 781, 214, 253, 325, 659, 431, 79, 195, 331, 0, 169, 516, 3, 16, 496, 205, 231, 28, 464, 499, 469, 340, 212, 421, 515, 723, 538, 339, 294, 672, 333, 648, 392, 600, 560, 367, 134, 662, 0, 144, 559, 220, 167, 618, 448, 537, 474, 687, 292, 244, 112, 594, 457, 85, 536, 303, 399, 75, 24, 582, 83, 251, 772, 404, 410, 51, 29, 756, 690, 0, 238, 137, 422, 547, 589, 588, 173, 91, 225, 7, 471, 763, 89, 604, 760, 11, 732, 740, 470, 148, 186, 607, 354, 216, 595, 739, 498, 0, 596, 335, 717, 447, 460, 301, 726, 571, 56, 27, 187, 0, 369, 408, 377, 495, 120, 628, 544, 283, 163, 372, 599, 99, 661, 694, 774, 645, 643, 501, 0, 347, 145, 574, 62, 758, 113, 490, 247, 21, 587, 0, 94, 742, 348, 133, 626, 435, 677, 256, 428, 44, 724, 466, 352, 654, 631, 611, 702, 0, 647, 417, 511, 436, 581, 269, 668, 233, 78, 624, 1, 0, 693, 207, 521, 667, 359, 66, 635, 380, 70, 576, 314, 48, 280, 0, 46, 245, 281, 769, 61, 237, 481, 745, 666, 0, 291, 103, 743, 698, 117, 224, 590, 54, 485, 255, 0, 558, 86, 671, 644, 276, 115, 707, 657, 105, 221, 0, 293, 12, 0]</t>
  </si>
  <si>
    <t>X_n782</t>
  </si>
  <si>
    <t>[0, 237, 576, 78, 559, 498, 702, 668, 269, 485, 742, 189, 449, 87, 0, 46, 511, 66, 581, 611, 480, 70, 48, 54, 255, 637, 518, 0, 105, 771, 117, 233, 63, 739, 256, 314, 224, 635, 440, 391, 548, 0, 23, 17, 736, 436, 435, 631, 428, 724, 654, 234, 71, 698, 590, 280, 81, 0, 86, 276, 587, 94, 417, 655, 584, 268, 128, 284, 0, 348, 115, 743, 383, 144, 728, 731, 452, 636, 141, 0, 753, 139, 308, 170, 453, 298, 381, 365, 624, 133, 677, 690, 113, 187, 0, 145, 574, 283, 44, 595, 513, 32, 118, 223, 520, 497, 650, 382, 309, 6, 307, 0, 351, 481, 657, 380, 57, 766, 670, 178, 47, 504, 705, 0, 413, 221, 644, 490, 626, 291, 1, 138, 767, 666, 0, 519, 718, 278, 58, 761, 376, 486, 384, 539, 433, 418, 711, 72, 218, 39, 602, 652, 49, 601, 420, 707, 614, 0, 774, 466, 352, 509, 220, 551, 706, 757, 168, 11, 243, 327, 507, 2, 675, 437, 397, 4, 679, 434, 483, 578, 709, 461, 328, 0, 277, 64, 416, 180, 610, 320, 615, 302, 142, 114, 77, 395, 432, 101, 568, 194, 445, 349, 200, 720, 768, 316, 311, 573, 226, 216, 99, 661, 694, 372, 441, 645, 544, 306, 0, 354, 607, 167, 353, 312, 448, 618, 687, 537, 474, 350, 285, 326, 75, 85, 457, 594, 112, 292, 244, 173, 599, 588, 169, 331, 643, 628, 501, 0, 377, 758, 756, 186, 251, 536, 303, 399, 24, 772, 148, 404, 410, 225, 516, 91, 51, 560, 321, 505, 29, 662, 586, 495, 137, 27, 0, 56, 301, 76, 589, 569, 557, 735, 367, 392, 175, 648, 600, 733, 202, 730, 479, 134, 163, 0, 596, 8, 238, 344, 37, 682, 240, 337, 297, 249, 508, 195, 3, 0, 695, 522, 289, 389, 196, 641, 712, 494, 79, 339, 538, 16, 28, 212, 732, 760, 582, 83, 740, 470, 7, 294, 672, 333, 52, 752, 0, 120, 460, 744, 527, 334, 549, 777, 13, 387, 405, 717, 0, 726, 447, 547, 95, 357, 229, 570, 776, 264, 213, 737, 583, 0, 347, 375, 130, 336, 159, 174, 265, 272, 131, 714, 422, 62, 247, 21, 0, 692, 642, 267, 493, 65, 192, 197, 322, 325, 431, 231, 340, 464, 499, 763, 469, 89, 604, 471, 496, 205, 110, 0, 9, 659, 515, 723, 747, 773, 472, 523, 181, 42, 571, 0, 617, 484, 290, 500, 93, 241, 750, 242, 755, 368, 214, 421, 0, 550, 781, 370, 415, 217, 288, 455, 227, 759, 426, 125, 156, 765, 0, 676, 253, 19, 683, 741, 150, 82, 638, 198, 656, 512, 715, 572, 0, 699, 296, 646, 132, 623, 738, 257, 658, 222, 411, 259, 0, 746, 201, 379, 304, 371, 680, 608, 317, 780, 653, 378, 73, 492, 633, 274, 0, 179, 564, 68, 552, 665, 542, 689, 343, 360, 107, 318, 266, 442, 100, 475, 0, 700, 127, 154, 625, 639, 299, 199, 545, 261, 209, 165, 0, 43, 722, 155, 53, 458, 193, 146, 734, 262, 526, 407, 403, 147, 0, 524, 324, 514, 143, 373, 640, 651, 775, 135, 305, 158, 556, 585, 0, 660, 663, 215, 749, 295, 248, 152, 96, 18, 30, 157, 10, 161, 409, 356, 751, 0, 535, 622, 685, 97, 532, 188, 491, 620, 374, 310, 710, 577, 412, 50, 0, 204, 20, 597, 60, 649, 286, 59, 488, 754, 14, 591, 239, 554, 341, 55, 0, 525, 108, 208, 467, 162, 603, 338, 275, 764, 612, 703, 701, 565, 69, 0, 164, 566, 528, 88, 424, 329, 330, 621, 770, 102, 704, 721, 477, 254, 0, 40, 151, 31, 67, 540, 263, 346, 762, 342, 153, 172, 300, 230, 177, 235, 562, 363, 681, 160, 598, 45, 393, 0, 38, 116, 543, 364, 423, 489, 555, 121, 388, 616, 414, 104, 219, 129, 111, 630, 696, 534, 459, 401, 25, 729, 287, 319, 323, 669, 362, 211, 725, 228, 122, 358, 74, 0, 487, 531, 632, 517, 332, 184, 419, 15, 345, 546, 463, 210, 394, 90, 109, 427, 778, 385, 592, 355, 482, 506, 80, 203, 282, 400, 386, 0, 246, 613, 678, 708, 727, 123, 206, 191, 106, 425, 579, 697, 258, 171, 456, 454, 478, 686, 468, 84, 315, 402, 580, 684, 185, 398, 0, 41, 465, 279, 126, 439, 34, 634, 136, 541, 619, 124, 476, 98, 444, 593, 782, 430, 260, 33, 140, 716, 673, 533, 450, 36, 119, 182, 273, 446, 713, 0, 406, 26, 719, 390, 688, 35, 313, 166, 451, 529, 0, 271, 149, 748, 5, 629, 575, 691, 366, 530, 232, 563, 252, 0, 270, 510, 674, 92, 361, 473, 561, 606, 553, 0, 245, 609, 438, 567, 605, 462, 502, 22, 0, 293, 671, 369, 647, 667, 521, 396, 779, 503, 429, 0, 443, 408, 335, 359, 281, 0, 693, 0, 190, 250, 12, 207, 61, 769, 558, 183, 0, 745, 103, 176, 627, 236, 664, 0]</t>
  </si>
  <si>
    <t>[0, 279, 74, 98, 454, 478, 686, 468, 258, 697, 84, 393, 355, 482, 506, 358, 463, 45, 210, 394, 389, 90, 109, 592, 385, 427, 289, 778, 171, 456, 444, 522, 695, 260, 0, 751, 34, 634, 136, 541, 678, 531, 619, 580, 206, 203, 598, 725, 211, 362, 228, 122, 546, 80, 191, 106, 425, 579, 315, 402, 684, 476, 185, 126, 0, 40, 151, 685, 356, 409, 130, 364, 543, 254, 517, 332, 696, 184, 401, 459, 534, 287, 25, 10, 323, 669, 345, 15, 419, 282, 123, 400, 708, 124, 593, 782, 430, 613, 439, 182, 0, 406, 26, 719, 713, 390, 273, 446, 36, 533, 398, 673, 716, 33, 140, 450, 119, 386, 116, 38, 246, 487, 0, 69, 204, 583, 475, 43, 324, 341, 423, 489, 555, 336, 121, 388, 616, 414, 104, 219, 363, 681, 319, 160, 729, 129, 111, 630, 632, 727, 108, 161, 535, 55, 525, 0, 660, 100, 633, 663, 31, 554, 566, 67, 88, 762, 342, 153, 208, 172, 300, 477, 230, 177, 562, 235, 306, 97, 274, 622, 465, 0, 232, 530, 41, 361, 691, 313, 35, 688, 451, 166, 529, 0, 259, 73, 266, 164, 540, 330, 263, 528, 565, 532, 125, 378, 500, 656, 0, 512, 159, 653, 703, 275, 467, 704, 721, 621, 20, 411, 267, 442, 484, 0, 76, 765, 692, 241, 215, 612, 597, 60, 603, 329, 346, 290, 492, 156, 572, 375, 0, 642, 750, 722, 701, 424, 764, 514, 209, 318, 264, 174, 65, 265, 0, 524, 165, 715, 493, 770, 162, 338, 188, 649, 286, 222, 197, 192, 110, 0, 181, 93, 102, 239, 491, 749, 50, 59, 147, 360, 387, 0, 344, 737, 620, 310, 754, 591, 14, 488, 374, 412, 295, 107, 272, 0, 271, 617, 149, 561, 748, 5, 629, 575, 366, 563, 92, 674, 0, 13, 426, 746, 143, 775, 373, 577, 710, 157, 96, 131, 42, 238, 0, 95, 213, 261, 585, 651, 640, 30, 155, 248, 179, 658, 479, 0, 134, 776, 759, 152, 639, 734, 625, 146, 18, 53, 196, 0, 240, 557, 744, 777, 556, 135, 193, 262, 665, 780, 542, 343, 458, 202, 441, 0, 641, 403, 407, 158, 305, 526, 299, 552, 689, 154, 545, 570, 586, 0, 569, 337, 201, 199, 127, 317, 68, 623, 738, 527, 730, 662, 0, 505, 321, 680, 257, 608, 564, 700, 371, 198, 712, 752, 37, 714, 0, 357, 379, 304, 638, 322, 334, 735, 249, 682, 589, 628, 0, 163, 331, 79, 205, 340, 212, 683, 132, 646, 150, 296, 82, 227, 288, 455, 523, 549, 0, 369, 596, 335, 438, 473, 605, 606, 553, 17, 128, 268, 0, 256, 756, 560, 773, 676, 415, 370, 19, 741, 699, 242, 472, 297, 547, 0, 631, 428, 195, 723, 781, 214, 368, 217, 9, 229, 494, 52, 508, 367, 733, 29, 0, 422, 447, 8, 567, 252, 609, 462, 502, 22, 270, 0, 145, 571, 726, 301, 120, 137, 460, 405, 717, 56, 187, 0, 544, 169, 600, 648, 392, 175, 339, 538, 659, 325, 747, 755, 550, 253, 421, 16, 148, 0, 495, 283, 51, 333, 672, 431, 515, 464, 499, 763, 469, 89, 604, 740, 471, 28, 231, 496, 294, 410, 516, 599, 694, 774, 0, 690, 588, 173, 186, 91, 3, 225, 7, 404, 772, 251, 470, 732, 11, 760, 582, 83, 24, 75, 399, 303, 536, 85, 457, 594, 112, 618, 292, 244, 607, 354, 661, 44, 724, 0, 611, 568, 416, 675, 2, 320, 507, 327, 243, 615, 302, 142, 114, 77, 395, 101, 432, 326, 285, 350, 474, 687, 537, 448, 349, 167, 216, 99, 372, 645, 466, 0, 408, 27, 377, 501, 758, 113, 62, 247, 574, 21, 742, 0, 654, 220, 757, 706, 168, 573, 311, 316, 768, 720, 64, 679, 4, 397, 437, 610, 180, 194, 445, 312, 200, 353, 226, 551, 509, 595, 352, 643, 677, 0, 48, 133, 668, 702, 435, 626, 490, 348, 635, 511, 0, 576, 559, 498, 39, 602, 761, 328, 461, 72, 711, 418, 376, 486, 384, 539, 433, 434, 483, 277, 578, 709, 218, 63, 513, 739, 269, 436, 0, 70, 78, 480, 71, 49, 32, 718, 278, 58, 57, 652, 234, 233, 581, 380, 485, 0, 590, 698, 624, 420, 383, 520, 601, 223, 118, 117, 115, 276, 0, 417, 671, 224, 743, 771, 144, 670, 497, 103, 657, 0, 558, 644, 314, 359, 647, 655, 440, 391, 779, 245, 521, 0, 183, 280, 66, 347, 667, 510, 736, 584, 396, 281, 769, 0, 293, 61, 207, 12, 255, 54, 766, 47, 365, 707, 138, 0, 745, 291, 86, 693, 46, 189, 81, 503, 429, 23, 449, 0, 443, 481, 548, 614, 413, 141, 87, 284, 753, 518, 139, 0, 237, 94, 587, 1, 731, 351, 190, 705, 637, 307, 0, 452, 105, 176, 728, 519, 6, 636, 308, 0, 170, 504, 309, 236, 298, 666, 250, 453, 0, 221, 627, 381, 178, 650, 382, 767, 664, 0]</t>
  </si>
  <si>
    <t>[0, 551, 559, 303, 609, 728, 743, 773, 720, 666, 182, 54, 40, 16, 656, 691, 146, 753, 659, 91, 0, 525, 288, 179, 383, 767, 306, 428, 36, 467, 295, 458, 222, 38, 341, 637, 573, 1, 32, 554, 0, 768, 673, 51, 498, 166, 589, 145, 390, 635, 142, 648, 264, 540, 514, 741, 316, 532, 759, 326, 0, 680, 686, 435, 276, 718, 211, 564, 409, 603, 588, 241, 408, 254, 624, 791, 173, 159, 737, 761, 0, 712, 161, 131, 584, 296, 250, 120, 374, 681, 556, 543, 630, 657, 756, 475, 410, 53, 481, 191, 0, 43, 14, 770, 337, 722, 335, 294, 512, 607, 541, 581, 701, 522, 626, 422, 136, 711, 172, 82, 0, 411, 323, 739, 58, 440, 550, 684, 484, 268, 286, 654, 744, 107, 147, 62, 633, 181, 539, 195, 0, 309, 392, 425, 623, 735, 15, 444, 94, 479, 298, 164, 640, 301, 642, 80, 207, 73, 168, 112, 0, 669, 190, 788, 474, 557, 293, 2, 25, 427, 255, 537, 689, 398, 483, 169, 391, 149, 76, 616, 0, 787, 7, 716, 503, 325, 108, 115, 490, 457, 727, 638, 92, 601, 466, 799, 496, 625, 220, 192, 0, 682, 678, 371, 202, 170, 184, 507, 117, 414, 663, 55, 122, 165, 587, 111, 502, 354, 723, 572, 0, 397, 162, 736, 606, 590, 45, 766, 110, 695, 90, 579, 56, 698, 602, 126, 356, 389, 200, 196, 0, 528, 304, 699, 604, 386, 462, 291, 160, 123, 575, 672, 226, 404, 798, 679, 328, 279, 203, 4, 0, 710, 778, 321, 719, 725, 380, 649, 751, 370, 324, 242, 760, 667, 509, 78, 549, 599, 283, 615, 0, 206, 546, 21, 260, 780, 308, 530, 243, 363, 155, 420, 209, 516, 77, 19, 365, 671, 790, 717, 0, 748, 632, 216, 731, 747, 394, 655, 382, 44, 233, 8, 307, 426, 732, 571, 696, 320, 65, 453, 0, 431, 361, 412, 529, 353, 157, 175, 289, 66, 143, 643, 526, 714, 613, 552, 792, 636, 63, 284, 0, 674, 204, 176, 366, 297, 707, 536, 384, 620, 39, 461, 797, 69, 218, 138, 621, 227, 252, 769, 0, 331, 215, 314, 338, 395, 140, 135, 372, 249, 257, 261, 208, 594, 776, 129, 274, 757, 144, 348, 0, 628, 582, 591, 521, 50, 600, 360, 468, 213, 98, 151, 74, 596, 99, 81, 393, 232, 355, 407, 0, 447, 702, 775, 762, 538, 724, 651, 30, 229, 253, 221, 125, 545, 771, 114, 128, 20, 749, 692, 0, 148, 726, 174, 102, 493, 342, 687, 752, 319, 336, 750, 31, 385, 469, 629, 269, 401, 285, 459, 0, 60, 548, 597, 351, 662, 197, 281, 730, 228, 683, 547, 24, 212, 236, 68, 677, 675, 454, 101, 0, 795, 379, 567, 171, 263, 542, 292, 779, 194, 89, 134, 282, 259, 346, 87, 424, 500, 17, 777, 0, 49, 568, 639, 622, 416, 577, 183, 88, 527, 560, 67, 765, 84, 119, 510, 495, 729, 544, 476, 0, 574, 472, 418, 660, 433, 504, 127, 358, 340, 501, 188, 214, 83, 10, 471, 733, 534, 141, 478, 0, 446, 578, 700, 376, 661, 132, 650, 116, 230, 618, 26, 451, 746, 436, 713, 754, 299, 524, 86, 0, 782, 248, 332, 555, 85, 163, 685, 783, 676, 464, 763, 439, 231, 130, 267, 57, 421, 5, 520, 0, 709, 118, 315, 29, 217, 193, 586, 224, 608, 415, 605, 465, 52, 137, 271, 491, 533, 492, 694, 0, 153, 344, 6, 251, 646, 489, 180, 570, 665, 455, 133, 688, 34, 644, 432, 198, 494, 764, 670, 0, 413, 185, 367, 322, 12, 37, 441, 598, 611, 423, 205, 518, 531, 561, 235, 523, 473, 219, 519, 0, 79, 359, 373, 23, 664, 357, 580, 592, 100, 617, 794, 378, 445, 22, 430, 438, 177, 387, 450, 0, 381, 558, 610, 258, 793, 201, 104, 486, 565, 485, 278, 634, 109, 329, 517, 452, 47, 150, 442, 0, 245, 239, 240, 273, 789, 388, 396, 429, 59, 704, 781, 645, 563, 375, 463, 612, 9, 167, 41, 0, 210, 785, 352, 585, 593, 488, 595, 443, 64, 302, 406, 705, 569, 800, 3, 562, 46, 154, 497, 0, 487, 377, 262, 631, 246, 318, 280, 505, 48, 477, 402, 576, 437, 105, 345, 223, 244, 652, 72, 0, 362, 774, 96, 641, 647, 238, 287, 313, 715, 178, 619, 470, 71, 349, 772, 513, 448, 535, 33, 0, 506, 75, 28, 186, 456, 152, 434, 369, 70, 658, 515, 256, 614, 330, 317, 61, 449, 511, 247, 0, 95, 333, 399, 460, 270, 339, 708, 745, 327, 311, 703, 312, 275, 480, 305, 27, 290, 347, 566, 0, 734, 334, 419, 237, 300, 364, 35, 508, 121, 368, 265, 482, 740, 156, 742, 627, 343, 693, 103, 0, 310, 784, 225, 697, 405, 189, 796, 113, 721, 786, 272, 124, 350, 11, 706, 106, 690, 199, 738, 0, 668, 653, 400, 158, 266, 97, 13, 403, 18, 139, 553, 417, 277, 499, 234, 187, 755, 583, 42, 0, 758, 93, 0]</t>
  </si>
  <si>
    <t>X_n800</t>
  </si>
  <si>
    <t>[0, 3, 64, 443, 167, 9, 612, 704, 645, 563, 375, 670, 133, 644, 180, 489, 332, 204, 6, 488, 0, 344, 248, 251, 665, 439, 231, 267, 57, 5, 520, 494, 198, 781, 764, 463, 595, 41, 562, 497, 0, 432, 34, 570, 688, 421, 130, 763, 464, 676, 783, 685, 646, 163, 555, 542, 567, 59, 429, 302, 0, 795, 431, 171, 263, 355, 232, 717, 17, 87, 628, 282, 521, 138, 591, 582, 346, 424, 500, 455, 0, 259, 50, 769, 227, 621, 218, 252, 134, 194, 99, 81, 292, 748, 176, 723, 572, 361, 546, 309, 0, 407, 320, 696, 571, 112, 21, 790, 393, 779, 596, 213, 613, 461, 797, 69, 600, 360, 98, 89, 0, 782, 379, 162, 7, 732, 412, 707, 636, 643, 384, 620, 526, 714, 39, 468, 151, 74, 777, 85, 0, 406, 593, 284, 297, 792, 552, 63, 66, 175, 216, 233, 671, 426, 307, 354, 202, 371, 678, 674, 0, 585, 396, 8, 632, 747, 655, 382, 77, 466, 209, 516, 143, 536, 289, 394, 157, 353, 529, 366, 0, 191, 557, 58, 82, 337, 673, 503, 170, 260, 502, 780, 530, 625, 799, 92, 420, 155, 363, 44, 0, 411, 788, 680, 195, 716, 365, 111, 308, 507, 220, 165, 490, 727, 601, 457, 587, 19, 731, 397, 0, 206, 528, 682, 787, 768, 770, 481, 761, 51, 392, 168, 192, 414, 663, 55, 638, 496, 243, 122, 0, 425, 108, 184, 117, 115, 642, 301, 146, 80, 15, 525, 288, 159, 737, 736, 551, 539, 293, 269, 0, 43, 14, 325, 623, 73, 207, 164, 640, 691, 40, 735, 166, 410, 722, 440, 2, 739, 474, 323, 0, 368, 121, 508, 785, 153, 453, 459, 65, 710, 669, 352, 705, 569, 800, 35, 46, 154, 364, 237, 0, 483, 398, 689, 719, 725, 427, 604, 484, 53, 554, 559, 32, 54, 16, 298, 753, 479, 444, 498, 0, 616, 589, 91, 659, 94, 656, 182, 720, 145, 390, 686, 335, 181, 684, 550, 25, 699, 149, 76, 0, 537, 129, 203, 279, 147, 172, 62, 633, 294, 711, 383, 637, 767, 666, 773, 743, 728, 609, 303, 0, 629, 331, 215, 380, 649, 679, 268, 341, 428, 540, 36, 306, 179, 1, 475, 435, 255, 144, 190, 0, 789, 285, 469, 385, 274, 654, 512, 276, 142, 635, 573, 38, 514, 222, 467, 295, 615, 31, 336, 0, 610, 391, 169, 348, 4, 321, 744, 107, 712, 756, 718, 173, 791, 264, 316, 532, 588, 328, 750, 0, 757, 607, 630, 648, 624, 741, 254, 759, 408, 241, 603, 606, 286, 751, 338, 101, 471, 752, 342, 0, 86, 478, 161, 657, 211, 564, 409, 458, 326, 386, 404, 776, 370, 395, 314, 319, 534, 299, 141, 0, 102, 493, 687, 10, 261, 283, 324, 196, 136, 131, 584, 296, 556, 543, 581, 541, 778, 304, 558, 0, 148, 273, 726, 401, 226, 462, 291, 422, 701, 681, 120, 798, 599, 594, 208, 692, 524, 359, 373, 0, 240, 262, 174, 672, 575, 160, 590, 626, 522, 374, 250, 766, 45, 123, 78, 549, 733, 318, 647, 0, 97, 96, 641, 369, 280, 664, 454, 447, 257, 509, 667, 200, 760, 242, 49, 23, 246, 487, 79, 0, 456, 245, 239, 110, 90, 579, 56, 698, 602, 695, 389, 249, 775, 140, 702, 544, 476, 754, 201, 0, 631, 152, 434, 278, 236, 677, 762, 253, 221, 356, 126, 20, 372, 135, 713, 313, 793, 258, 377, 0, 708, 287, 29, 224, 60, 68, 538, 114, 771, 545, 651, 30, 229, 125, 128, 749, 675, 238, 362, 0, 210, 381, 212, 24, 683, 724, 228, 730, 281, 662, 351, 547, 577, 416, 639, 568, 729, 413, 774, 0, 745, 311, 104, 446, 574, 501, 340, 510, 119, 127, 527, 88, 183, 197, 597, 548, 622, 495, 388, 0, 436, 472, 83, 214, 188, 358, 84, 560, 67, 765, 116, 504, 433, 660, 746, 315, 578, 118, 185, 0, 505, 709, 700, 376, 418, 451, 26, 618, 230, 650, 132, 605, 465, 52, 137, 611, 415, 661, 217, 0, 178, 715, 519, 694, 193, 608, 271, 12, 37, 441, 598, 22, 430, 445, 423, 205, 491, 322, 586, 0, 327, 658, 357, 492, 367, 473, 100, 523, 533, 561, 617, 531, 794, 518, 378, 438, 387, 450, 517, 0, 703, 70, 48, 486, 580, 219, 592, 565, 235, 177, 109, 634, 485, 329, 452, 47, 105, 150, 442, 0, 535, 513, 72, 71, 349, 772, 345, 437, 576, 223, 402, 477, 244, 652, 470, 619, 256, 515, 339, 0, 139, 566, 347, 290, 27, 305, 480, 275, 247, 511, 33, 449, 61, 317, 448, 330, 614, 312, 270, 0, 106, 627, 28, 186, 333, 95, 742, 399, 460, 13, 403, 18, 553, 417, 277, 499, 234, 158, 93, 0, 706, 334, 786, 693, 156, 653, 400, 266, 187, 755, 668, 189, 758, 583, 42, 0, 721, 113, 272, 350, 124, 103, 506, 75, 482, 740, 343, 796, 405, 225, 0, 310, 0, 784, 697, 265, 300, 419, 734, 11, 690, 199, 738, 0]</t>
  </si>
  <si>
    <t>[0, 497, 3, 64, 443, 167, 41, 9, 612, 463, 375, 670, 764, 494, 432, 781, 704, 595, 488, 406, 0, 593, 396, 34, 644, 688, 5, 133, 130, 464, 439, 763, 267, 57, 421, 520, 198, 563, 645, 800, 0, 570, 180, 665, 455, 676, 17, 424, 282, 50, 769, 227, 138, 621, 259, 521, 591, 582, 346, 231, 0, 352, 585, 429, 59, 251, 489, 89, 151, 134, 468, 39, 797, 69, 218, 600, 628, 87, 500, 783, 0, 6, 232, 85, 99, 384, 552, 620, 526, 714, 613, 461, 252, 360, 98, 74, 194, 163, 685, 646, 0, 567, 332, 555, 748, 779, 596, 529, 157, 175, 66, 63, 636, 643, 792, 536, 707, 297, 284, 213, 0, 302, 777, 81, 366, 353, 394, 289, 143, 516, 209, 466, 77, 655, 393, 171, 407, 782, 705, 569, 0, 248, 542, 176, 790, 632, 216, 44, 363, 457, 727, 638, 92, 601, 420, 155, 382, 747, 731, 292, 0, 355, 412, 8, 671, 233, 365, 19, 243, 625, 587, 496, 799, 165, 122, 111, 530, 260, 717, 204, 0, 263, 55, 490, 642, 301, 146, 691, 656, 40, 753, 298, 640, 164, 80, 192, 780, 307, 426, 723, 0, 344, 431, 696, 572, 732, 354, 308, 117, 220, 414, 663, 115, 207, 73, 108, 507, 184, 371, 320, 0, 202, 502, 170, 168, 325, 623, 15, 91, 94, 479, 16, 54, 659, 728, 166, 425, 392, 716, 7, 0, 795, 682, 674, 571, 112, 21, 51, 735, 444, 589, 145, 559, 390, 288, 525, 159, 53, 680, 190, 0, 361, 678, 503, 498, 32, 303, 609, 743, 773, 720, 182, 666, 383, 179, 142, 1, 181, 551, 481, 0, 379, 546, 162, 309, 14, 673, 761, 539, 337, 737, 554, 686, 410, 335, 172, 654, 550, 739, 391, 0, 770, 736, 475, 635, 573, 637, 767, 341, 306, 428, 36, 222, 467, 408, 741, 276, 712, 435, 722, 0, 397, 787, 191, 474, 768, 195, 633, 711, 147, 684, 427, 699, 203, 537, 2, 58, 557, 788, 43, 0, 440, 62, 107, 588, 458, 241, 295, 532, 759, 316, 514, 264, 38, 648, 657, 541, 512, 294, 82, 0, 144, 25, 484, 286, 744, 161, 718, 409, 326, 254, 564, 624, 540, 791, 173, 630, 756, 607, 323, 0, 255, 268, 462, 606, 136, 701, 131, 584, 556, 681, 296, 250, 374, 120, 603, 211, 543, 581, 293, 0, 689, 129, 604, 226, 196, 626, 45, 110, 90, 579, 126, 602, 698, 56, 766, 522, 422, 279, 398, 0, 269, 380, 751, 404, 389, 221, 356, 695, 123, 590, 160, 575, 672, 386, 679, 649, 328, 725, 169, 0, 148, 616, 76, 149, 778, 102, 629, 321, 4, 348, 304, 411, 669, 710, 65, 528, 206, 459, 453, 0, 274, 338, 776, 324, 20, 771, 545, 30, 229, 253, 125, 200, 667, 760, 509, 242, 291, 483, 757, 0, 49, 215, 615, 395, 208, 599, 549, 372, 724, 651, 114, 128, 749, 249, 78, 798, 594, 331, 469, 0, 471, 447, 702, 140, 775, 675, 677, 683, 228, 538, 762, 135, 257, 261, 283, 370, 692, 719, 687, 0, 548, 597, 88, 183, 197, 281, 730, 662, 351, 577, 547, 24, 212, 236, 68, 454, 314, 385, 726, 0, 664, 713, 476, 544, 729, 501, 495, 622, 416, 60, 639, 568, 101, 10, 750, 31, 534, 524, 141, 0, 86, 359, 23, 754, 299, 319, 733, 336, 752, 342, 493, 401, 174, 285, 610, 558, 789, 153, 785, 0, 318, 578, 315, 84, 765, 67, 560, 527, 127, 119, 510, 340, 188, 214, 574, 436, 29, 201, 373, 0, 246, 280, 104, 709, 118, 376, 746, 451, 418, 660, 433, 650, 116, 504, 358, 83, 472, 478, 273, 0, 487, 641, 313, 185, 446, 700, 217, 26, 618, 230, 605, 465, 52, 137, 441, 611, 22, 37, 12, 0, 369, 715, 413, 694, 193, 661, 224, 608, 132, 415, 271, 598, 430, 387, 378, 423, 205, 518, 491, 0, 258, 793, 647, 238, 287, 519, 367, 235, 617, 531, 322, 794, 445, 438, 177, 450, 517, 485, 47, 0, 388, 210, 245, 239, 377, 262, 631, 96, 434, 505, 357, 580, 586, 561, 565, 634, 329, 452, 150, 0, 79, 240, 362, 774, 152, 327, 178, 48, 492, 473, 533, 523, 100, 109, 278, 437, 105, 576, 513, 0, 300, 368, 265, 28, 456, 381, 186, 75, 506, 121, 508, 35, 46, 562, 154, 364, 237, 419, 334, 0, 482, 333, 708, 745, 703, 70, 658, 652, 244, 477, 402, 486, 219, 592, 442, 345, 223, 71, 772, 0, 740, 156, 627, 742, 95, 339, 311, 515, 256, 619, 470, 349, 72, 448, 535, 33, 449, 317, 614, 0, 690, 734, 124, 272, 103, 693, 343, 796, 653, 400, 187, 668, 405, 113, 721, 786, 350, 11, 106, 0, 234, 139, 566, 347, 290, 27, 305, 275, 247, 511, 61, 330, 312, 480, 270, 460, 225, 0, 310, 42, 755, 266, 97, 13, 403, 18, 399, 189, 93, 697, 706, 199, 738, 0, 784, 583, 277, 553, 417, 499, 158, 758, 0]</t>
  </si>
  <si>
    <t>[0, 217, 485, 80, 418, 227, 0, 700, 373, 746, 59, 595, 0, 282, 670, 153, 733, 0, 56, 617, 130, 139, 691, 0, 712, 719, 779, 786, 643, 0, 342, 609, 556, 689, 0, 598, 639, 383, 560, 0, 632, 611, 687, 573, 0, 128, 297, 487, 331, 736, 0, 563, 274, 756, 741, 0, 732, 160, 483, 309, 0, 345, 540, 248, 818, 271, 0, 758, 666, 112, 450, 810, 0, 291, 252, 321, 627, 0, 681, 748, 302, 742, 0, 615, 133, 469, 754, 0, 601, 332, 42, 323, 607, 0, 165, 329, 790, 21, 817, 0, 215, 542, 209, 682, 0, 410, 516, 407, 653, 0, 433, 170, 622, 374, 360, 0, 370, 647, 788, 375, 177, 0, 307, 152, 459, 198, 0, 510, 300, 237, 122, 0, 401, 47, 76, 114, 223, 0, 432, 705, 717, 422, 0, 79, 388, 777, 115, 580, 0, 800, 616, 730, 200, 0, 235, 350, 787, 298, 0, 473, 103, 328, 636, 603, 0, 484, 232, 532, 12, 0, 220, 276, 185, 424, 509, 0, 145, 778, 377, 151, 0, 333, 397, 678, 724, 0, 372, 134, 662, 657, 0, 61, 414, 533, 292, 6, 0, 593, 807, 261, 734, 0, 715, 202, 40, 317, 0, 672, 86, 737, 602, 0, 648, 789, 798, 513, 690, 0, 194, 523, 306, 771, 0, 389, 526, 3, 184, 98, 0, 268, 660, 52, 517, 406, 0, 770, 806, 404, 763, 0, 163, 364, 753, 310, 0, 495, 19, 146, 479, 808, 0, 440, 795, 461, 81, 0, 14, 124, 289, 189, 0, 464, 536, 633, 7, 725, 0, 471, 425, 624, 49, 497, 0, 136, 429, 18, 630, 143, 0, 30, 696, 111, 594, 396, 0, 327, 68, 50, 405, 0, 85, 295, 258, 793, 620, 0, 63, 121, 179, 367, 365, 0, 391, 301, 294, 20, 93, 0, 524, 144, 299, 695, 613, 0, 548, 269, 783, 454, 489, 0, 167, 419, 561, 27, 476, 0, 488, 107, 206, 618, 442, 0, 688, 661, 205, 131, 805, 0, 685, 444, 638, 371, 467, 0, 348, 368, 141, 796, 0, 527, 652, 204, 37, 590, 0, 557, 11, 272, 614, 0, 97, 233, 127, 574, 48, 0, 358, 812, 430, 475, 78, 0, 105, 645, 412, 596, 0, 438, 493, 322, 502, 0, 221, 249, 605, 379, 0, 15, 66, 267, 53, 413, 0, 213, 686, 477, 216, 0, 769, 315, 334, 515, 0, 501, 193, 431, 669, 799, 0, 87, 456, 174, 559, 437, 0, 265, 96, 106, 314, 683, 0, 465, 529, 351, 211, 0, 82, 382, 782, 785, 296, 0, 149, 254, 240, 709, 36, 0, 491, 398, 357, 728, 0, 338, 621, 337, 91, 218, 0, 55, 39, 117, 481, 663, 0, 352, 667, 283, 384, 0, 399, 150, 815, 528, 0, 478, 436, 505, 706, 0, 599, 551, 260, 137, 34, 0, 569, 490, 552, 44, 0, 714, 341, 713, 797, 0, 100, 635, 275, 22, 4, 0, 791, 740, 804, 658, 0, 626, 62, 567, 181, 201, 0, 589, 553, 395, 285, 109, 0, 761, 765, 318, 95, 792, 0, 344, 400, 157, 631, 0, 343, 680, 547, 64, 0, 403, 708, 54, 503, 0, 463, 434, 776, 441, 435, 0, 760, 755, 10, 207, 0, 507, 409, 803, 600, 0, 347, 104, 84, 514, 0, 303, 698, 543, 671, 794, 0, 161, 41, 234, 45, 0, 570, 579, 642, 650, 504, 57, 0, 588, 228, 118, 423, 0, 426, 641, 363, 780, 0, 814, 512, 69, 623, 575, 0, 339, 326, 427, 1, 0, 421, 362, 610, 378, 129, 0, 293, 458, 494, 673, 0, 190, 586, 558, 739, 0, 278, 246, 578, 330, 0, 704, 28, 566, 325, 244, 0, 385, 693, 576, 651, 784, 0, 24, 417, 744, 460, 32, 0, 716, 262, 208, 256, 644, 0, 415, 619, 452, 73, 582, 0, 637, 324, 480, 239, 416, 0, 549, 346, 530, 668, 726, 0, 729, 312, 774, 677, 520, 210, 0, 113, 135, 175, 336, 445, 0, 83, 142, 238, 140, 711, 0, 126, 255, 316, 51, 664, 0, 393, 640, 23, 492, 311, 0, 247, 108, 25, 287, 565, 0, 634, 197, 531, 466, 361, 0, 446, 386, 229, 313, 521, 0, 722, 251, 608, 159, 58, 0, 224, 222, 718, 591, 612, 0, 340, 581, 768, 288, 156, 0, 625, 264, 354, 266, 546, 0, 231, 281, 110, 8, 0, 176, 408, 585, 154, 0, 572, 390, 250, 355, 439, 0, 369, 402, 562, 522, 0, 257, 496, 655, 500, 0, 646, 349, 508, 101, 13, 0, 70, 158, 376, 99, 192, 0, 813, 356, 172, 420, 0, 743, 629, 2, 816, 0, 9, 92, 35, 656, 766, 0, 226, 674, 196, 749, 290, 0, 453, 263, 775, 164, 0, 470, 46, 166, 564, 472, 0, 225, 214, 320, 649, 702, 697, 0, 759, 703, 147, 772, 279, 0, 568, 801, 123, 519, 659, 0, 187, 474, 411, 592, 162, 0, 764, 43, 665, 277, 33, 0, 571, 486, 183, 757, 0, 119, 366, 230, 554, 721, 31, 0, 679, 525, 809, 781, 720, 0, 701, 518, 750, 186, 0, 394, 545, 168, 65, 762, 0, 710, 538, 236, 380, 468, 0, 188, 587, 577, 29, 0, 448, 284, 747, 541, 0, 171, 319, 155, 539, 0, 482, 219, 727, 457, 0, 604, 5, 428, 335, 0, 120, 94, 738, 89, 0, 550, 544, 77, 199, 0, 60, 447, 253, 752, 0, 694, 692, 138, 628, 0, 90, 125, 191, 71, 0, 88, 38, 731, 381, 699, 0, 676, 203, 195, 767, 535, 0, 443, 802, 180, 242, 0, 462, 723, 537, 353, 534, 0, 387, 308, 675, 735, 173, 0, 243, 751, 273, 169, 0, 178, 606, 359, 773, 148, 0, 241, 16, 597, 116, 0, 182, 498, 280, 270, 67, 0, 451, 245, 17, 72, 555, 0, 707, 811, 74, 102, 286, 0, 75, 745, 511, 654, 0, 449, 499, 304, 583, 0, 26, 584, 132, 684, 0, 506, 305, 212, 0, 392, 259, 455, 0]</t>
  </si>
  <si>
    <t>X_n818</t>
  </si>
  <si>
    <t>[0, 75, 571, 92, 766, 0, 674, 656, 361, 466, 531, 197, 0, 634, 35, 196, 749, 241, 0, 9, 226, 801, 212, 0, 757, 147, 162, 166, 568, 0, 46, 564, 539, 411, 187, 0, 119, 720, 701, 759, 659, 0, 90, 171, 519, 290, 0, 470, 123, 31, 721, 236, 550, 0, 703, 592, 230, 366, 279, 0, 462, 554, 428, 29, 474, 0, 482, 809, 772, 472, 0, 199, 381, 353, 468, 0, 186, 319, 518, 486, 0, 443, 188, 380, 457, 0, 219, 525, 781, 183, 0, 628, 191, 335, 577, 0, 587, 125, 71, 694, 0, 710, 750, 5, 731, 0, 77, 538, 534, 155, 727, 0, 88, 597, 242, 699, 679, 0, 38, 180, 654, 16, 0, 802, 537, 723, 447, 245, 0, 752, 511, 259, 684, 555, 0, 253, 584, 102, 359, 606, 0, 544, 138, 455, 692, 0, 604, 745, 116, 286, 0, 120, 762, 148, 707, 0, 60, 392, 74, 72, 0, 178, 811, 132, 773, 173, 0, 697, 751, 675, 239, 161, 0, 562, 263, 94, 387, 0, 451, 17, 65, 33, 243, 0, 58, 224, 169, 304, 0, 448, 308, 273, 521, 18, 0, 369, 420, 453, 764, 0, 535, 284, 735, 738, 356, 0, 813, 546, 203, 394, 613, 0, 585, 192, 545, 195, 767, 0, 572, 508, 320, 172, 702, 0, 499, 168, 649, 89, 665, 0, 676, 159, 629, 376, 747, 0, 313, 13, 43, 541, 277, 0, 487, 316, 445, 70, 0, 225, 608, 775, 142, 0, 408, 726, 250, 581, 0, 522, 816, 2, 158, 496, 0, 164, 101, 390, 229, 340, 0, 154, 210, 251, 349, 355, 0, 238, 492, 718, 281, 99, 0, 231, 722, 393, 113, 182, 0, 83, 51, 354, 214, 156, 0, 140, 729, 135, 264, 110, 386, 0, 257, 402, 266, 565, 0, 480, 644, 287, 222, 288, 0, 416, 460, 500, 439, 0, 637, 312, 591, 655, 0, 126, 255, 446, 23, 768, 0, 558, 549, 640, 612, 311, 0, 247, 744, 246, 774, 108, 0, 498, 25, 346, 385, 262, 0, 625, 336, 293, 45, 0, 100, 708, 503, 755, 0, 711, 256, 668, 520, 175, 0, 512, 362, 677, 530, 582, 0, 716, 784, 427, 324, 0, 761, 54, 400, 792, 650, 0, 234, 426, 325, 73, 664, 0, 176, 739, 704, 452, 579, 0, 415, 623, 458, 619, 642, 0, 296, 157, 631, 207, 0, 82, 599, 62, 95, 57, 0, 10, 244, 514, 610, 0, 463, 363, 693, 41, 0, 491, 765, 109, 551, 149, 0, 760, 326, 641, 576, 651, 0, 588, 586, 118, 8, 0, 69, 28, 566, 504, 434, 0, 673, 494, 578, 208, 0, 465, 728, 352, 403, 0, 776, 84, 409, 104, 0, 600, 441, 423, 803, 0, 344, 507, 421, 278, 417, 0, 338, 260, 740, 285, 318, 0, 769, 478, 275, 395, 201, 0, 635, 658, 567, 34, 437, 0, 347, 570, 780, 330, 339, 0, 621, 804, 589, 505, 218, 382, 0, 398, 553, 669, 493, 0, 211, 39, 22, 181, 254, 0, 213, 552, 137, 663, 0, 501, 785, 150, 436, 0, 228, 378, 575, 1, 24, 0, 743, 129, 190, 814, 0, 55, 667, 490, 782, 0, 481, 815, 569, 791, 0, 528, 44, 283, 384, 0, 351, 357, 706, 4, 0, 216, 36, 399, 337, 0, 91, 117, 709, 456, 0, 529, 683, 799, 314, 106, 0, 265, 559, 240, 174, 515, 0, 193, 431, 87, 96, 0, 379, 605, 334, 315, 0, 477, 686, 249, 221, 0, 624, 258, 78, 233, 127, 0, 430, 645, 141, 179, 371, 0, 524, 574, 412, 438, 97, 0, 396, 783, 299, 638, 444, 0, 367, 405, 561, 368, 0, 489, 50, 27, 272, 0, 678, 144, 475, 596, 0, 594, 633, 793, 11, 322, 0, 454, 442, 805, 812, 358, 0, 533, 471, 796, 557, 0, 52, 14, 425, 204, 0, 630, 131, 476, 105, 590, 0, 40, 620, 763, 189, 0, 725, 397, 479, 467, 0, 461, 419, 269, 53, 0, 317, 808, 103, 146, 49, 0, 21, 360, 185, 86, 61, 0, 603, 647, 328, 377, 798, 163, 0, 145, 209, 374, 7, 652, 0, 237, 124, 289, 523, 0, 406, 513, 517, 294, 0, 459, 198, 753, 527, 0, 422, 232, 795, 107, 0, 365, 364, 292, 424, 323, 0, 81, 737, 223, 139, 0, 300, 114, 76, 509, 695, 0, 122, 6, 532, 690, 0, 607, 778, 636, 331, 691, 0, 19, 333, 42, 733, 643, 0, 215, 47, 602, 153, 689, 0, 473, 433, 332, 274, 0, 717, 788, 130, 736, 0, 715, 111, 502, 688, 0, 661, 206, 618, 167, 389, 0, 276, 177, 375, 450, 383, 0, 789, 542, 779, 133, 0, 121, 20, 614, 37, 348, 0, 817, 12, 622, 329, 59, 0, 170, 790, 756, 786, 601, 0, 66, 267, 205, 696, 15, 0, 301, 261, 806, 526, 0, 548, 488, 536, 194, 440, 0, 98, 734, 306, 63, 0, 128, 414, 662, 268, 497, 0, 391, 136, 48, 295, 616, 0, 730, 184, 404, 593, 0, 134, 484, 724, 152, 0, 705, 660, 93, 372, 0, 302, 401, 298, 807, 0, 310, 771, 657, 350, 0, 56, 112, 469, 370, 464, 0, 540, 666, 248, 787, 85, 0, 818, 165, 754, 746, 0, 719, 682, 151, 483, 0, 648, 143, 68, 685, 770, 0, 235, 432, 510, 742, 0, 271, 617, 670, 810, 595, 0, 345, 429, 327, 30, 800, 0, 672, 495, 202, 200, 506, 0, 413, 748, 758, 3, 220, 0, 794, 732, 160, 297, 611, 0, 307, 712, 282, 321, 627, 0, 700, 373, 252, 560, 115, 0, 632, 291, 485, 217, 0, 563, 418, 639, 410, 0, 407, 80, 598, 342, 681, 0, 547, 609, 227, 741, 0, 714, 79, 687, 615, 516, 0, 309, 556, 653, 573, 0, 64, 671, 580, 388, 0, 343, 341, 797, 303, 0, 680, 777, 713, 543, 0, 305, 698, 626, 0, 26, 449, 67, 435, 0, 583, 646, 32, 280, 270, 0]</t>
  </si>
  <si>
    <t>[0, 761, 708, 503, 504, 0, 100, 400, 650, 207, 0, 631, 157, 95, 318, 0, 54, 792, 57, 642, 363, 0, 658, 285, 109, 765, 599, 0, 62, 260, 567, 505, 34, 0, 491, 201, 395, 553, 740, 0, 551, 635, 589, 22, 44, 0, 728, 490, 181, 478, 0, 296, 338, 804, 275, 569, 0, 403, 621, 791, 82, 0, 149, 254, 663, 4, 399, 0, 465, 382, 552, 528, 0, 211, 39, 667, 436, 0, 352, 137, 398, 785, 0, 437, 216, 337, 117, 815, 0, 769, 782, 91, 799, 476, 0, 501, 265, 669, 150, 559, 0, 213, 193, 283, 709, 435, 0, 351, 683, 314, 456, 0, 529, 357, 218, 706, 481, 0, 36, 384, 55, 240, 0, 686, 315, 334, 106, 0, 249, 515, 87, 96, 0, 477, 174, 431, 605, 322, 0, 267, 221, 493, 379, 0, 344, 10, 755, 84, 0, 502, 105, 645, 438, 0, 348, 53, 590, 66, 0, 463, 434, 776, 760, 161, 0, 358, 430, 596, 233, 127, 0, 131, 412, 812, 37, 685, 0, 600, 441, 507, 104, 0, 613, 661, 488, 269, 0, 206, 475, 78, 27, 163, 0, 301, 97, 294, 526, 0, 688, 614, 204, 440, 0, 107, 368, 20, 523, 0, 205, 574, 444, 272, 527, 0, 695, 141, 11, 652, 548, 0, 429, 557, 733, 741, 0, 593, 467, 48, 85, 626, 0, 347, 803, 423, 409, 0, 807, 167, 93, 63, 391, 0, 121, 638, 299, 594, 0, 524, 179, 371, 142, 697, 0, 268, 566, 325, 579, 175, 0, 49, 111, 618, 136, 15, 0, 805, 796, 419, 152, 0, 763, 189, 806, 770, 0, 143, 561, 50, 793, 633, 0, 724, 771, 497, 61, 715, 0, 327, 68, 795, 787, 0, 378, 641, 623, 514, 0, 345, 86, 536, 295, 261, 0, 18, 52, 678, 719, 0, 30, 404, 616, 672, 681, 0, 367, 258, 425, 783, 442, 0, 365, 489, 144, 454, 624, 0, 306, 405, 620, 696, 0, 364, 753, 495, 194, 0, 396, 471, 479, 124, 0, 41, 228, 570, 610, 586, 0, 510, 81, 184, 730, 389, 0, 129, 780, 244, 578, 0, 146, 630, 3, 304, 245, 0, 648, 461, 289, 484, 0, 464, 151, 717, 370, 0, 310, 19, 725, 705, 0, 660, 513, 103, 647, 7, 0, 118, 246, 494, 69, 0, 512, 362, 293, 330, 415, 0, 716, 326, 426, 234, 0, 170, 145, 40, 202, 220, 0, 575, 458, 582, 739, 32, 0, 98, 397, 360, 237, 0, 657, 377, 21, 198, 0, 278, 28, 208, 113, 416, 0, 339, 704, 576, 693, 421, 0, 427, 619, 452, 1, 0, 255, 460, 385, 651, 744, 262, 0, 726, 774, 530, 549, 140, 126, 0, 276, 14, 517, 328, 114, 0, 734, 333, 532, 165, 0, 24, 45, 644, 239, 0, 324, 480, 346, 677, 417, 0, 729, 668, 73, 256, 190, 0, 673, 558, 312, 210, 393, 0, 711, 135, 640, 520, 585, 0, 522, 664, 108, 311, 336, 0, 662, 789, 317, 540, 0, 247, 238, 25, 446, 287, 0, 134, 473, 76, 542, 0, 58, 775, 23, 51, 445, 0, 422, 808, 292, 737, 0, 350, 406, 185, 232, 0, 316, 492, 612, 411, 196, 0, 298, 414, 300, 401, 0, 83, 637, 784, 814, 0, 533, 798, 424, 778, 0, 200, 459, 122, 742, 0, 521, 229, 222, 302, 714, 0, 235, 6, 209, 509, 666, 0, 313, 565, 386, 768, 538, 0, 718, 250, 581, 251, 159, 0, 307, 47, 690, 374, 223, 0, 432, 607, 177, 788, 0, 215, 603, 636, 42, 274, 0, 722, 281, 496, 8, 0, 817, 323, 332, 139, 0, 340, 591, 264, 629, 376, 0, 248, 375, 602, 450, 331, 0, 710, 75, 266, 572, 0, 646, 176, 588, 67, 0, 70, 349, 402, 354, 0, 408, 110, 390, 508, 43, 0, 231, 500, 655, 439, 0, 625, 608, 101, 158, 156, 0, 453, 562, 813, 676, 0, 257, 355, 99, 665, 214, 0, 372, 622, 790, 329, 818, 0, 758, 56, 433, 130, 643, 0, 732, 271, 12, 153, 691, 0, 448, 369, 541, 2, 288, 0, 154, 356, 89, 192, 0, 164, 394, 172, 535, 0, 498, 649, 320, 195, 735, 0, 225, 816, 738, 277, 263, 0, 128, 601, 469, 756, 736, 0, 764, 13, 545, 203, 284, 0, 169, 33, 702, 767, 546, 0, 483, 487, 133, 689, 0, 120, 168, 747, 224, 0, 779, 112, 682, 748, 0, 173, 743, 182, 280, 583, 0, 606, 273, 675, 94, 420, 0, 387, 65, 308, 751, 555, 0, 762, 359, 17, 148, 0, 584, 102, 74, 773, 707, 0, 160, 297, 617, 754, 0, 342, 282, 670, 746, 627, 0, 800, 563, 786, 383, 615, 0, 499, 243, 72, 811, 0, 692, 286, 132, 654, 0, 632, 373, 810, 59, 227, 0, 604, 752, 745, 60, 0, 178, 455, 447, 253, 802, 0, 88, 723, 511, 138, 544, 0, 694, 392, 116, 38, 0, 628, 731, 77, 199, 0, 550, 180, 684, 16, 0, 712, 556, 252, 560, 0, 188, 462, 451, 449, 270, 0, 279, 71, 537, 259, 219, 0, 679, 518, 474, 701, 119, 0, 482, 597, 353, 242, 0, 186, 428, 191, 534, 699, 0, 171, 5, 587, 468, 0, 571, 781, 727, 335, 381, 0, 519, 750, 319, 720, 0, 443, 380, 457, 183, 0, 26, 155, 125, 554, 147, 0, 241, 757, 236, 539, 166, 0, 659, 809, 577, 525, 0, 90, 230, 29, 472, 0, 611, 485, 321, 410, 0, 9, 721, 592, 772, 759, 0, 46, 162, 703, 31, 366, 0, 187, 486, 564, 361, 466, 656, 0, 506, 680, 309, 343, 0, 413, 700, 291, 595, 418, 0, 547, 609, 80, 639, 0, 212, 801, 123, 749, 674, 0, 79, 598, 217, 388, 0, 687, 653, 516, 573, 0, 470, 226, 35, 290, 568, 0, 777, 407, 115, 580, 797, 0, 197, 531, 766, 92, 0, 305, 794, 0, 671, 713, 698, 634, 0, 64, 341, 543, 303, 0]</t>
  </si>
  <si>
    <t>[0, 327, 133, 333, 239, 24, 0, 262, 48, 178, 261, 112, 409, 0, 51, 19, 412, 66, 403, 0, 135, 170, 383, 249, 350, 392, 0, 246, 415, 229, 180, 215, 0, 282, 355, 61, 196, 323, 36, 411, 0, 347, 602, 243, 146, 110, 453, 0, 11, 224, 163, 274, 145, 0, 275, 147, 104, 89, 203, 250, 0, 608, 581, 43, 35, 194, 0, 213, 408, 200, 106, 21, 161, 0, 619, 49, 81, 312, 63, 348, 0, 260, 209, 769, 169, 26, 0, 42, 393, 413, 58, 252, 0, 192, 832, 777, 546, 4, 321, 0, 1, 193, 108, 152, 82, 0, 144, 155, 280, 521, 669, 629, 0, 167, 400, 173, 270, 84, 105, 0, 628, 648, 171, 804, 76, 695, 0, 37, 330, 519, 72, 299, 402, 0, 758, 158, 174, 678, 14, 360, 441, 0, 254, 181, 317, 472, 524, 835, 0, 309, 326, 65, 354, 818, 0, 361, 696, 300, 614, 28, 228, 0, 7, 585, 606, 793, 557, 500, 0, 386, 760, 93, 442, 373, 0, 15, 734, 435, 118, 586, 221, 0, 589, 96, 349, 182, 304, 553, 0, 764, 626, 318, 558, 668, 735, 0, 176, 786, 827, 833, 542, 763, 0, 665, 109, 588, 466, 436, 0, 131, 95, 157, 259, 292, 0, 389, 714, 805, 420, 247, 798, 0, 445, 740, 592, 368, 6, 822, 0, 771, 738, 88, 597, 612, 636, 0, 506, 569, 812, 595, 484, 736, 0, 388, 505, 102, 537, 706, 0, 520, 632, 489, 527, 508, 0, 811, 499, 100, 538, 540, 455, 0, 244, 610, 728, 516, 754, 0, 575, 800, 457, 283, 670, 571, 0, 766, 257, 353, 825, 12, 440, 494, 0, 573, 624, 136, 587, 276, 374, 0, 795, 432, 153, 156, 759, 31, 0, 17, 702, 208, 654, 531, 437, 0, 272, 704, 424, 809, 73, 555, 0, 650, 190, 417, 770, 62, 50, 0, 772, 788, 16, 380, 263, 67, 138, 0, 97, 175, 667, 456, 658, 492, 0, 483, 703, 726, 711, 444, 0, 216, 399, 691, 563, 662, 264, 0, 149, 544, 352, 235, 375, 689, 0, 33, 768, 124, 319, 539, 0, 823, 451, 231, 427, 475, 0, 529, 638, 92, 774, 46, 132, 0, 583, 41, 497, 107, 207, 647, 0, 794, 601, 720, 172, 686, 0, 745, 828, 370, 367, 692, 0, 618, 757, 460, 479, 44, 813, 0, 286, 295, 271, 829, 739, 607, 0, 54, 351, 401, 334, 38, 767, 310, 0, 814, 418, 285, 549, 535, 633, 0, 77, 211, 615, 52, 308, 0, 398, 685, 688, 137, 790, 478, 0, 820, 434, 421, 410, 363, 622, 0, 554, 727, 533, 700, 821, 646, 0, 684, 195, 631, 189, 68, 611, 0, 225, 584, 371, 512, 301, 5, 0, 476, 507, 514, 201, 199, 792, 0, 341, 219, 376, 164, 8, 562, 0, 582, 666, 775, 579, 530, 0, 404, 206, 313, 779, 99, 23, 0, 78, 121, 752, 448, 414, 289, 0, 287, 311, 474, 697, 179, 834, 0, 716, 324, 165, 382, 40, 613, 139, 0, 273, 732, 335, 315, 127, 0, 548, 674, 719, 120, 218, 314, 217, 0, 365, 395, 128, 396, 166, 338, 0, 186, 125, 117, 277, 824, 358, 0, 223, 210, 751, 20, 142, 0, 357, 198, 27, 705, 511, 0, 331, 25, 397, 560, 406, 810, 0, 234, 328, 227, 119, 322, 154, 0, 623, 551, 191, 815, 34, 661, 0, 600, 187, 718, 485, 345, 605, 0, 364, 830, 251, 141, 467, 762, 0, 362, 517, 743, 140, 559, 747, 0, 712, 297, 378, 55, 291, 202, 447, 0, 748, 722, 625, 446, 481, 683, 0, 329, 60, 742, 778, 677, 90, 0, 212, 346, 452, 730, 214, 0, 416, 465, 680, 776, 710, 197, 0, 266, 782, 644, 495, 568, 75, 0, 737, 405, 708, 430, 433, 449, 0, 450, 443, 366, 643, 578, 0, 269, 547, 593, 649, 682, 744, 0, 756, 240, 543, 556, 122, 826, 0, 621, 707, 502, 233, 673, 698, 0, 836, 477, 111, 390, 513, 525, 0, 599, 721, 717, 590, 490, 0, 439, 729, 18, 532, 785, 604, 671, 0, 177, 279, 459, 463, 307, 284, 0, 518, 230, 803, 87, 616, 791, 0, 126, 248, 381, 160, 253, 86, 0, 819, 675, 552, 801, 741, 0, 428, 509, 755, 627, 576, 0, 296, 114, 672, 510, 580, 693, 0, 258, 64, 797, 491, 642, 0, 701, 515, 356, 423, 780, 74, 0, 458, 783, 419, 802, 336, 596, 0, 659, 594, 574, 690, 657, 541, 572, 0, 464, 473, 425, 749, 566, 0, 504, 306, 305, 13, 325, 0, 394, 29, 69, 59, 151, 3, 0, 550, 94, 567, 664, 598, 0, 302, 22, 293, 56, 79, 0, 256, 715, 617, 773, 796, 183, 0, 640, 522, 679, 462, 635, 498, 0, 241, 242, 204, 70, 387, 0, 129, 486, 753, 663, 496, 0, 681, 461, 761, 468, 526, 265, 0, 45, 429, 501, 651, 534, 746, 0, 372, 528, 652, 653, 723, 724, 0, 281, 332, 47, 369, 278, 384, 0, 784, 536, 523, 816, 471, 0, 148, 39, 339, 255, 226, 80, 0, 294, 30, 83, 113, 71, 799, 0, 660, 565, 577, 699, 493, 807, 0, 750, 656, 205, 831, 808, 645, 0, 407, 168, 236, 245, 2, 85, 0, 545, 116, 343, 184, 290, 0, 713, 620, 150, 488, 9, 0, 237, 503, 561, 337, 564, 344, 0, 817, 482, 634, 123, 185, 267, 0, 765, 162, 687, 637, 298, 781, 0, 342, 316, 115, 426, 220, 0, 268, 733, 238, 641, 422, 377, 0, 188, 630, 438, 469, 591, 0, 53, 222, 340, 709, 385, 470, 0, 391, 655, 454, 232, 725, 0, 303, 609, 143, 731, 676, 288, 0, 806, 694, 570, 789, 10, 0, 639, 603, 359, 57, 98, 32, 0, 480, 487, 379, 134, 787, 101, 0, 159, 320, 91, 103, 431, 0, 130, 0]</t>
  </si>
  <si>
    <t>X_n836</t>
  </si>
  <si>
    <t>[0, 394, 431, 304, 306, 13, 3, 0, 480, 61, 133, 553, 381, 0, 162, 342, 639, 293, 56, 59, 0, 294, 407, 603, 66, 589, 504, 0, 545, 159, 268, 320, 359, 184, 0, 325, 22, 80, 281, 241, 126, 0, 79, 69, 384, 47, 302, 0, 103, 116, 95, 349, 253, 0, 151, 242, 71, 29, 86, 409, 305, 0, 387, 182, 249, 274, 248, 0, 332, 148, 226, 39, 278, 204, 0, 70, 369, 255, 339, 113, 0, 290, 303, 292, 765, 131, 0, 85, 2, 237, 98, 694, 645, 0, 101, 741, 609, 784, 236, 83, 0, 799, 168, 676, 713, 45, 806, 0, 817, 267, 10, 570, 372, 487, 0, 787, 129, 596, 91, 130, 0, 750, 288, 185, 32, 245, 30, 0, 503, 789, 482, 134, 232, 0, 486, 143, 620, 731, 561, 123, 0, 565, 205, 831, 526, 177, 616, 0, 265, 536, 522, 701, 470, 0, 660, 296, 183, 114, 672, 791, 222, 0, 343, 443, 550, 75, 57, 0, 725, 53, 316, 687, 781, 0, 379, 469, 552, 528, 656, 0, 634, 429, 652, 659, 566, 0, 344, 337, 419, 796, 591, 0, 438, 336, 693, 577, 746, 640, 0, 9, 150, 464, 802, 675, 0, 594, 783, 269, 753, 377, 0, 564, 724, 473, 568, 428, 801, 0, 808, 598, 682, 510, 515, 655, 0, 744, 621, 465, 742, 230, 238, 0, 458, 749, 580, 439, 258, 611, 0, 807, 681, 488, 819, 518, 663, 0, 493, 699, 256, 501, 576, 340, 0, 642, 425, 74, 449, 284, 366, 0, 468, 197, 836, 416, 578, 188, 0, 677, 737, 826, 653, 471, 0, 447, 547, 212, 307, 94, 534, 0, 385, 329, 214, 266, 599, 756, 0, 523, 816, 723, 498, 748, 38, 0, 572, 461, 761, 433, 643, 200, 196, 0, 683, 698, 525, 627, 651, 0, 574, 679, 715, 773, 477, 671, 0, 690, 593, 680, 722, 810, 648, 0, 661, 567, 635, 617, 430, 649, 0, 490, 481, 111, 604, 664, 462, 0, 60, 776, 785, 541, 708, 0, 491, 780, 423, 509, 532, 18, 0, 511, 747, 459, 356, 657, 710, 0, 463, 64, 502, 729, 625, 364, 0, 122, 797, 755, 233, 390, 513, 0, 673, 590, 279, 717, 543, 556, 0, 234, 297, 730, 452, 495, 446, 0, 405, 644, 721, 240, 707, 0, 623, 378, 517, 346, 362, 0, 712, 782, 55, 559, 34, 331, 0, 140, 743, 291, 119, 406, 778, 0, 548, 125, 27, 830, 467, 815, 0, 223, 186, 251, 141, 328, 705, 0, 824, 322, 227, 560, 762, 202, 0, 358, 210, 154, 25, 397, 0, 139, 127, 277, 20, 551, 0, 217, 674, 117, 128, 166, 142, 191, 0, 751, 395, 78, 273, 324, 0, 198, 338, 218, 165, 719, 357, 0, 314, 396, 335, 120, 414, 289, 404, 0, 732, 315, 752, 613, 219, 0, 398, 820, 666, 40, 382, 582, 0, 365, 121, 579, 530, 313, 779, 0, 775, 448, 376, 201, 301, 685, 334, 0, 794, 52, 46, 211, 206, 99, 0, 583, 308, 529, 792, 164, 341, 0, 716, 633, 535, 418, 286, 401, 0, 767, 77, 434, 507, 199, 8, 0, 563, 285, 646, 562, 821, 310, 0, 607, 514, 584, 601, 647, 351, 0, 5, 421, 615, 700, 790, 0, 549, 512, 371, 739, 772, 427, 0, 483, 207, 720, 829, 410, 476, 0, 62, 544, 41, 363, 727, 132, 0, 770, 399, 478, 107, 662, 0, 33, 691, 208, 263, 319, 688, 533, 0, 497, 622, 137, 352, 539, 0, 494, 417, 92, 295, 271, 172, 0, 149, 638, 774, 686, 702, 0, 768, 711, 235, 67, 257, 440, 0, 50, 375, 726, 380, 573, 118, 0, 571, 444, 124, 689, 788, 670, 0, 264, 703, 16, 353, 587, 190, 0, 138, 531, 654, 136, 825, 389, 0, 734, 244, 508, 624, 437, 0, 231, 575, 520, 283, 766, 592, 0, 15, 586, 17, 216, 540, 460, 0, 435, 484, 527, 516, 276, 800, 0, 558, 374, 489, 786, 7, 0, 225, 12, 728, 754, 457, 814, 0, 6, 822, 812, 506, 538, 0, 361, 420, 595, 736, 569, 610, 0, 650, 221, 445, 805, 833, 793, 0, 499, 632, 368, 827, 557, 386, 0, 818, 760, 588, 740, 318, 0, 475, 176, 714, 542, 606, 524, 626, 0, 555, 247, 466, 585, 354, 0, 73, 175, 554, 23, 485, 0, 809, 798, 109, 442, 309, 0, 668, 665, 436, 93, 835, 317, 0, 88, 669, 100, 451, 54, 195, 0, 521, 500, 472, 158, 695, 0, 764, 373, 763, 300, 28, 758, 0, 738, 811, 424, 97, 367, 667, 0, 546, 696, 614, 181, 254, 804, 0, 629, 228, 360, 441, 628, 280, 155, 0, 597, 326, 65, 14, 678, 0, 832, 76, 299, 519, 330, 455, 0, 612, 704, 156, 823, 44, 0, 658, 456, 174, 72, 37, 400, 169, 0, 636, 260, 209, 684, 479, 187, 0, 272, 153, 171, 167, 194, 0, 735, 402, 105, 84, 152, 393, 0, 106, 108, 173, 769, 110, 26, 0, 35, 49, 42, 413, 58, 0, 43, 777, 270, 193, 163, 89, 0, 492, 759, 619, 82, 21, 224, 0, 771, 4, 31, 370, 189, 0, 388, 252, 348, 275, 608, 144, 0, 505, 432, 757, 692, 813, 179, 0, 104, 1, 312, 581, 537, 0, 618, 602, 81, 63, 161, 323, 0, 795, 102, 146, 213, 203, 355, 0, 453, 11, 408, 147, 229, 383, 0, 745, 321, 192, 180, 411, 36, 0, 706, 243, 145, 250, 415, 0, 637, 347, 282, 246, 170, 135, 0, 298, 828, 215, 350, 392, 403, 0, 391, 96, 261, 24, 333, 0, 426, 450, 605, 68, 311, 697, 0, 834, 474, 631, 718, 345, 87, 0, 733, 641, 287, 600, 220, 0, 412, 178, 112, 239, 48, 0, 115, 19, 262, 51, 327, 0, 259, 157, 160, 0, 422, 90, 630, 454, 0, 496, 803, 709, 0]</t>
  </si>
  <si>
    <t>[0, 398, 613, 448, 382, 165, 719, 218, 0, 139, 315, 376, 164, 40, 127, 0, 219, 775, 201, 199, 792, 530, 0, 820, 579, 752, 666, 128, 395, 0, 77, 685, 414, 121, 335, 396, 0, 78, 120, 338, 277, 751, 0, 301, 8, 700, 410, 371, 52, 0, 5, 289, 434, 507, 514, 421, 0, 732, 117, 166, 20, 210, 0, 341, 308, 633, 38, 767, 0, 583, 46, 615, 584, 821, 211, 0, 607, 285, 535, 829, 727, 646, 0, 314, 324, 273, 582, 313, 779, 0, 132, 418, 601, 720, 562, 0, 794, 739, 512, 363, 478, 207, 0, 529, 295, 790, 688, 622, 549, 0, 647, 497, 533, 686, 774, 0, 334, 41, 137, 319, 352, 662, 0, 772, 544, 638, 92, 172, 107, 0, 404, 271, 235, 703, 399, 0, 563, 691, 444, 539, 702, 0, 788, 124, 711, 768, 483, 0, 149, 62, 689, 380, 208, 654, 0, 770, 437, 67, 263, 726, 375, 0, 33, 16, 136, 353, 257, 531, 417, 0, 670, 138, 624, 825, 728, 0, 17, 587, 766, 12, 374, 440, 494, 0, 310, 206, 365, 198, 186, 0, 674, 154, 322, 25, 125, 0, 190, 283, 276, 516, 508, 0, 50, 610, 754, 244, 520, 0, 573, 575, 569, 632, 527, 805, 0, 484, 592, 812, 714, 457, 800, 389, 0, 506, 489, 736, 822, 445, 0, 358, 705, 551, 142, 824, 217, 357, 0, 109, 740, 368, 833, 373, 626, 0, 554, 476, 286, 571, 231, 0, 401, 6, 786, 798, 176, 318, 0, 264, 595, 827, 420, 588, 665, 0, 15, 606, 542, 466, 247, 435, 0, 586, 216, 427, 351, 814, 54, 0, 223, 27, 397, 830, 119, 406, 0, 734, 436, 93, 524, 7, 0, 548, 251, 227, 328, 560, 511, 0, 331, 623, 467, 141, 191, 815, 0, 558, 763, 793, 442, 500, 0, 221, 557, 760, 835, 228, 361, 0, 23, 485, 716, 99, 225, 0, 234, 762, 291, 378, 55, 240, 0, 386, 254, 614, 585, 472, 181, 441, 0, 364, 747, 202, 559, 140, 743, 0, 60, 34, 517, 707, 721, 717, 0, 118, 696, 300, 317, 28, 678, 0, 214, 625, 346, 362, 266, 0, 330, 360, 14, 65, 309, 764, 0, 810, 661, 712, 297, 730, 785, 604, 0, 818, 326, 174, 72, 519, 0, 159, 268, 329, 722, 212, 446, 0, 552, 643, 447, 782, 265, 0, 680, 547, 465, 416, 366, 578, 0, 499, 354, 37, 400, 393, 106, 0, 748, 683, 452, 477, 18, 111, 0, 742, 502, 543, 532, 644, 556, 0, 509, 356, 459, 279, 778, 0, 704, 538, 158, 299, 402, 171, 0, 738, 758, 648, 76, 804, 167, 0, 650, 540, 451, 475, 175, 0, 455, 695, 42, 270, 173, 152, 0, 756, 737, 776, 390, 729, 405, 0, 100, 668, 809, 73, 555, 460, 0, 294, 811, 628, 105, 84, 108, 193, 0, 443, 599, 710, 64, 635, 0, 450, 605, 677, 345, 718, 0, 836, 621, 744, 269, 801, 518, 0, 258, 495, 423, 541, 826, 515, 0, 597, 424, 97, 684, 367, 631, 0, 672, 481, 513, 590, 567, 0, 88, 521, 312, 1, 82, 196, 0, 177, 428, 593, 649, 284, 659, 0, 155, 49, 200, 413, 58, 21, 0, 566, 819, 197, 233, 755, 0, 114, 439, 671, 797, 657, 664, 773, 0, 486, 682, 673, 122, 780, 708, 0, 629, 769, 63, 252, 163, 355, 0, 675, 525, 430, 463, 307, 574, 0, 492, 612, 669, 156, 479, 0, 663, 510, 490, 94, 462, 0, 336, 594, 698, 627, 690, 572, 0, 658, 280, 81, 348, 224, 323, 0, 753, 576, 433, 491, 617, 498, 0, 43, 213, 147, 104, 61, 274, 0, 660, 783, 449, 715, 461, 74, 0, 296, 802, 580, 679, 651, 723, 0, 816, 534, 761, 458, 419, 701, 0, 272, 31, 456, 823, 759, 546, 0, 432, 260, 209, 275, 161, 89, 0, 832, 169, 11, 408, 203, 250, 0, 596, 550, 749, 425, 523, 0, 372, 693, 642, 256, 471, 681, 0, 370, 44, 195, 667, 153, 0, 287, 697, 311, 68, 187, 230, 0, 771, 619, 229, 36, 170, 0, 493, 653, 699, 468, 464, 183, 0, 645, 536, 598, 473, 501, 807, 0, 591, 796, 568, 150, 724, 0, 709, 87, 803, 189, 474, 0, 496, 611, 813, 692, 757, 828, 0, 438, 75, 522, 577, 746, 488, 0, 745, 600, 735, 777, 194, 0, 35, 110, 146, 145, 411, 383, 0, 618, 636, 26, 180, 415, 0, 469, 640, 526, 652, 429, 0, 102, 602, 282, 246, 135, 261, 0, 222, 616, 630, 641, 834, 0, 385, 232, 528, 808, 564, 561, 0, 377, 791, 470, 205, 831, 9, 0, 741, 129, 620, 337, 344, 731, 0, 91, 784, 565, 634, 123, 0, 53, 340, 656, 185, 789, 267, 0, 637, 4, 243, 215, 249, 409, 0, 179, 115, 316, 220, 391, 0, 57, 143, 676, 482, 570, 0, 188, 422, 90, 426, 238, 687, 0, 321, 795, 392, 350, 112, 239, 0, 388, 537, 505, 581, 608, 0, 134, 45, 713, 288, 503, 32, 0, 487, 750, 694, 98, 10, 245, 0, 706, 144, 347, 412, 178, 262, 0, 609, 237, 787, 85, 339, 0, 303, 733, 454, 655, 725, 0, 290, 168, 236, 2, 83, 113, 0, 359, 817, 101, 30, 39, 255, 242, 0, 379, 320, 806, 781, 298, 162, 0, 184, 799, 278, 204, 369, 0, 342, 639, 603, 431, 103, 0, 480, 589, 66, 19, 333, 24, 0, 765, 453, 192, 403, 48, 133, 0, 148, 71, 226, 80, 332, 0, 407, 343, 116, 51, 327, 0, 545, 130, 292, 157, 95, 0, 22, 384, 47, 302, 241, 0, 304, 182, 349, 96, 259, 0, 70, 387, 29, 281, 504, 0, 131, 86, 394, 0, 253, 79, 293, 69, 56, 59, 0, 248, 325, 3, 151, 0, 126, 553, 306, 305, 13, 0, 381, 160, 0]</t>
  </si>
  <si>
    <t>[0, 241, 708, 641, 228, 120, 252, 431, 152, 60, 0, 717, 143, 118, 219, 79, 342, 6, 821, 207, 0, 142, 26, 278, 315, 553, 314, 274, 325, 546, 0, 329, 28, 126, 218, 366, 211, 398, 192, 56, 0, 359, 199, 187, 405, 100, 69, 188, 346, 24, 0, 748, 155, 21, 494, 121, 128, 166, 396, 339, 0, 292, 235, 686, 332, 224, 358, 88, 231, 834, 0, 4, 379, 141, 407, 35, 203, 598, 347, 298, 0, 736, 397, 336, 527, 441, 129, 771, 323, 511, 0, 326, 14, 307, 716, 740, 506, 812, 643, 167, 0, 504, 576, 612, 559, 723, 651, 475, 619, 306, 0, 724, 581, 683, 749, 772, 305, 499, 849, 826, 0, 787, 704, 727, 474, 818, 456, 548, 540, 610, 0, 1, 464, 827, 382, 789, 509, 699, 625, 502, 0, 450, 600, 534, 599, 586, 697, 714, 529, 249, 0, 605, 636, 796, 782, 536, 530, 718, 663, 685, 0, 855, 484, 606, 801, 550, 542, 161, 601, 127, 0, 845, 762, 445, 350, 803, 829, 730, 578, 477, 0, 682, 363, 365, 61, 215, 367, 267, 213, 424, 0, 395, 774, 814, 703, 633, 328, 183, 501, 616, 0, 847, 634, 778, 766, 430, 768, 742, 652, 735, 0, 254, 722, 761, 755, 692, 451, 689, 825, 132, 0, 615, 808, 97, 404, 655, 784, 518, 626, 87, 0, 80, 738, 242, 609, 489, 543, 843, 645, 684, 0, 822, 330, 259, 270, 679, 436, 297, 130, 115, 0, 853, 754, 260, 516, 788, 756, 193, 158, 96, 0, 30, 295, 701, 835, 145, 67, 594, 694, 282, 0, 406, 144, 184, 337, 569, 178, 417, 852, 785, 0, 493, 408, 293, 657, 597, 160, 131, 117, 627, 0, 810, 343, 438, 163, 322, 103, 371, 45, 312, 0, 23, 269, 389, 180, 190, 288, 116, 588, 691, 0, 280, 391, 198, 285, 420, 76, 266, 734, 614, 0, 234, 123, 308, 687, 603, 658, 791, 556, 532, 0, 91, 239, 317, 392, 299, 815, 344, 303, 388, 0, 185, 840, 321, 378, 423, 221, 189, 304, 104, 0, 700, 510, 426, 75, 622, 257, 459, 763, 765, 0, 81, 149, 223, 386, 341, 54, 360, 647, 291, 0, 526, 709, 759, 580, 770, 481, 630, 95, 621, 0, 385, 48, 333, 72, 31, 84, 114, 227, 370, 0, 279, 40, 58, 46, 373, 233, 380, 92, 102, 0, 752, 719, 206, 520, 776, 823, 646, 783, 654, 0, 557, 794, 488, 773, 757, 620, 795, 463, 769, 0, 169, 135, 238, 246, 268, 289, 497, 33, 3, 0, 243, 237, 99, 186, 11, 86, 340, 256, 164, 0, 817, 848, 744, 767, 444, 521, 650, 338, 480, 0, 107, 394, 401, 331, 38, 73, 175, 300, 85, 0, 779, 505, 671, 737, 824, 566, 151, 670, 541, 0, 59, 153, 174, 255, 66, 327, 159, 172, 109, 0, 838, 661, 836, 124, 662, 813, 677, 648, 629, 0, 705, 632, 429, 592, 809, 460, 751, 443, 492, 0, 414, 106, 271, 403, 555, 77, 537, 194, 253, 0, 201, 628, 440, 570, 355, 507, 310, 168, 43, 0, 83, 602, 618, 746, 465, 595, 798, 525, 786, 0, 726, 524, 659, 624, 851, 816, 462, 439, 345, 0, 558, 551, 473, 498, 490, 573, 696, 563, 64, 0, 587, 421, 707, 585, 720, 10, 830, 487, 437, 0, 688, 318, 667, 760, 503, 544, 590, 486, 434, 0, 2, 741, 640, 713, 832, 101, 672, 512, 210, 0, 182, 680, 695, 522, 495, 513, 94, 702, 7, 0, 50, 281, 649, 565, 575, 568, 547, 313, 642, 0, 369, 764, 802, 579, 797, 554, 458, 676, 733, 0, 82, 653, 698, 631, 611, 482, 799, 623, 613, 0, 725, 478, 301, 758, 361, 844, 639, 446, 712, 0, 349, 582, 753, 485, 775, 469, 428, 515, 156, 0, 780, 745, 854, 470, 678, 793, 728, 466, 781, 0, 777, 711, 15, 545, 596, 491, 517, 846, 837, 0, 479, 617, 89, 674, 804, 577, 157, 693, 731, 0, 248, 560, 607, 508, 531, 739, 571, 29, 589, 0, 276, 457, 476, 448, 828, 455, 368, 833, 425, 0, 523, 583, 461, 574, 805, 669, 452, 820, 170, 0, 528, 110, 819, 454, 229, 433, 807, 572, 790, 0, 604, 729, 177, 374, 539, 644, 245, 635, 277, 0, 409, 483, 690, 591, 442, 154, 552, 681, 710, 0, 284, 390, 319, 668, 16, 362, 387, 8, 468, 0, 148, 214, 447, 562, 561, 656, 261, 472, 467, 0, 13, 119, 222, 74, 98, 196, 55, 191, 418, 0, 12, 811, 743, 842, 32, 519, 750, 608, 435, 0, 22, 721, 273, 549, 432, 195, 806, 111, 244, 0, 841, 375, 18, 217, 232, 176, 265, 34, 63, 0, 105, 162, 660, 533, 839, 637, 800, 27, 147, 0, 205, 535, 5, 593, 675, 471, 283, 356, 204, 0, 225, 90, 36, 715, 673, 567, 500, 638, 230, 0, 831, 664, 44, 665, 706, 747, 216, 247, 146, 0, 251, 181, 666, 453, 348, 496, 427, 393, 412, 0, 732, 416, 351, 413, 263, 52, 20, 792, 250, 0, 584, 564, 139, 51, 287, 352, 226, 402, 400, 0, 171, 136, 179, 49, 134, 410, 334, 25, 113, 0, 137, 17, 208, 150, 335, 311, 133, 39, 108, 0, 357, 19, 112, 65, 538, 258, 354, 514, 850, 0, 381, 376, 125, 47, 309, 78, 53, 419, 42, 0, 68, 236, 93, 286, 212, 399, 220, 140, 290, 0, 384, 262, 240, 202, 41, 383, 316, 415, 122, 0, 70, 57, 294, 71, 62, 0, 197, 264, 200, 165, 377, 302, 422, 173, 353, 0, 209, 364, 411, 372, 9, 449, 138, 37, 324, 0, 275, 320, 272, 296, 0]</t>
  </si>
  <si>
    <t>X_n855</t>
  </si>
  <si>
    <t>[0, 691, 104, 221, 371, 312, 378, 223, 233, 135, 0, 333, 386, 341, 423, 239, 288, 116, 840, 185, 0, 647, 321, 360, 380, 92, 54, 189, 45, 373, 0, 303, 344, 304, 392, 103, 190, 91, 46, 149, 0, 169, 102, 58, 317, 180, 389, 299, 291, 30, 0, 238, 588, 163, 343, 815, 160, 131, 295, 477, 0, 1, 738, 117, 835, 322, 438, 597, 269, 289, 0, 605, 484, 193, 67, 145, 694, 701, 408, 627, 0, 242, 282, 493, 810, 594, 404, 655, 260, 395, 0, 615, 684, 735, 97, 784, 689, 756, 657, 293, 0, 855, 87, 853, 645, 843, 626, 625, 450, 241, 0, 724, 127, 451, 606, 788, 516, 808, 609, 502, 0, 14, 306, 636, 254, 430, 79, 342, 315, 641, 0, 326, 610, 699, 328, 801, 825, 722, 543, 578, 0, 748, 307, 827, 350, 782, 534, 692, 634, 464, 0, 511, 581, 772, 586, 158, 96, 754, 742, 652, 0, 142, 252, 323, 475, 536, 599, 803, 755, 518, 0, 192, 228, 305, 683, 530, 445, 132, 847, 529, 0, 120, 717, 727, 474, 550, 761, 762, 789, 619, 0, 708, 501, 633, 183, 697, 749, 21, 398, 329, 0, 155, 499, 456, 818, 796, 768, 774, 601, 249, 0, 542, 714, 548, 506, 716, 26, 35, 407, 292, 0, 80, 730, 829, 703, 766, 161, 685, 849, 431, 0, 489, 616, 704, 723, 121, 576, 845, 382, 379, 0, 203, 28, 143, 651, 559, 540, 718, 814, 778, 0, 682, 363, 359, 527, 441, 612, 643, 167, 509, 0, 752, 510, 822, 213, 339, 219, 166, 740, 736, 0, 4, 826, 787, 663, 129, 336, 128, 397, 771, 0, 391, 235, 686, 553, 118, 494, 812, 600, 56, 0, 347, 211, 274, 207, 100, 365, 198, 406, 95, 0, 123, 852, 785, 314, 6, 325, 546, 218, 126, 0, 141, 821, 405, 69, 330, 308, 556, 630, 598, 0, 532, 621, 526, 426, 614, 61, 231, 332, 187, 0, 278, 504, 396, 366, 199, 224, 358, 346, 367, 0, 700, 417, 270, 834, 88, 188, 24, 215, 267, 0, 424, 285, 259, 178, 679, 791, 622, 75, 763, 0, 298, 569, 337, 436, 115, 687, 257, 557, 65, 0, 538, 420, 76, 184, 297, 709, 580, 794, 765, 0, 234, 658, 603, 266, 130, 459, 759, 770, 671, 0, 19, 112, 280, 481, 848, 505, 654, 779, 541, 0, 258, 354, 726, 587, 838, 817, 773, 737, 719, 0, 514, 492, 7, 421, 488, 151, 783, 769, 57, 0, 850, 702, 661, 670, 824, 480, 795, 521, 463, 0, 197, 369, 744, 767, 620, 776, 206, 144, 734, 0, 137, 584, 688, 524, 443, 705, 632, 646, 60, 0, 68, 751, 707, 434, 809, 460, 629, 566, 357, 0, 836, 429, 648, 677, 823, 345, 680, 94, 277, 0, 381, 635, 725, 513, 733, 486, 592, 757, 0, 209, 248, 495, 830, 437, 659, 624, 338, 520, 0, 564, 764, 487, 585, 590, 10, 444, 650, 0, 841, 528, 802, 522, 720, 182, 662, 813, 544, 0, 851, 124, 676, 797, 478, 579, 13, 236, 0, 353, 375, 110, 777, 712, 491, 439, 760, 503, 0, 318, 667, 462, 816, 361, 554, 758, 589, 376, 0, 17, 284, 508, 837, 458, 739, 639, 446, 695, 0, 264, 560, 29, 15, 545, 844, 846, 301, 711, 0, 604, 607, 433, 807, 572, 531, 596, 517, 571, 0, 125, 729, 819, 374, 8, 362, 468, 229, 790, 0, 138, 272, 98, 74, 222, 16, 387, 454, 177, 0, 539, 319, 668, 119, 176, 196, 55, 139, 320, 0, 296, 226, 352, 232, 217, 18, 390, 644, 245, 0, 173, 364, 311, 335, 402, 265, 34, 191, 418, 0, 136, 372, 108, 78, 133, 287, 51, 150, 63, 0, 171, 384, 449, 47, 220, 399, 39, 208, 400, 0, 93, 286, 419, 212, 53, 309, 415, 302, 411, 0, 247, 179, 262, 202, 122, 316, 140, 290, 42, 0, 275, 251, 230, 412, 200, 9, 165, 377, 422, 0, 240, 41, 383, 334, 216, 283, 732, 37, 324, 0, 416, 113, 250, 351, 393, 181, 204, 62, 152, 0, 146, 147, 12, 781, 148, 356, 225, 70, 0, 294, 71, 162, 638, 792, 52, 134, 410, 25, 0, 49, 20, 427, 613, 214, 90, 105, 0, 263, 413, 666, 244, 276, 409, 82, 831, 0, 435, 500, 496, 747, 348, 453, 0, 471, 467, 50, 64, 642, 253, 22, 0, 349, 313, 111, 664, 44, 706, 0, 710, 36, 673, 567, 665, 675, 0, 452, 820, 170, 466, 786, 201, 205, 0, 2, 583, 32, 806, 27, 457, 0, 628, 479, 210, 608, 660, 593, 0, 156, 195, 5, 839, 440, 83, 0, 194, 623, 562, 261, 448, 681, 0, 109, 490, 472, 637, 800, 715, 0, 281, 750, 549, 432, 535, 533, 0, 497, 728, 805, 447, 476, 653, 0, 414, 43, 631, 515, 731, 483, 0, 106, 425, 811, 552, 617, 0, 698, 519, 273, 775, 300, 59, 164, 0, 271, 793, 442, 561, 743, 656, 0, 85, 565, 842, 721, 669, 828, 0, 523, 461, 154, 591, 854, 186, 0, 672, 485, 833, 368, 690, 574, 428, 0, 568, 753, 455, 674, 89, 649, 0, 512, 482, 577, 693, 469, 799, 0, 547, 611, 804, 470, 157, 101, 537, 0, 168, 832, 582, 745, 780, 678, 575, 0, 107, 153, 525, 595, 473, 741, 798, 0, 696, 746, 573, 465, 640, 713, 498, 558, 0, 243, 394, 563, 310, 507, 570, 618, 551, 0, 174, 403, 255, 66, 327, 355, 159, 77, 602, 0, 256, 172, 555, 175, 73, 114, 40, 279, 370, 0, 86, 246, 268, 99, 33, 11, 331, 38, 401, 0, 385, 72, 48, 388, 23, 0, 81, 227, 84, 31, 237, 3, 340, 0]</t>
  </si>
  <si>
    <t>[0, 279, 86, 3, 33, 186, 268, 246, 135, 58, 0, 256, 401, 497, 46, 238, 237, 169, 84, 72, 0, 48, 31, 223, 233, 373, 289, 99, 11, 340, 0, 370, 40, 114, 102, 341, 360, 647, 291, 149, 0, 333, 840, 304, 189, 180, 312, 91, 227, 385, 0, 92, 54, 386, 378, 423, 239, 288, 116, 317, 0, 185, 321, 392, 588, 103, 45, 190, 221, 380, 0, 303, 104, 344, 269, 299, 371, 438, 163, 597, 0, 81, 815, 343, 389, 322, 67, 594, 131, 691, 0, 243, 107, 394, 331, 255, 175, 73, 174, 831, 0, 295, 810, 293, 701, 657, 160, 117, 627, 388, 0, 30, 493, 408, 835, 694, 145, 193, 404, 788, 0, 23, 242, 282, 756, 689, 655, 784, 609, 615, 0, 684, 87, 451, 606, 825, 97, 516, 260, 853, 0, 477, 534, 801, 158, 808, 96, 754, 735, 738, 0, 395, 645, 489, 328, 692, 755, 518, 652, 502, 0, 80, 450, 843, 132, 722, 350, 633, 599, 782, 0, 511, 847, 742, 803, 183, 761, 543, 484, 605, 0, 1, 625, 626, 774, 550, 586, 749, 727, 699, 0, 14, 530, 474, 772, 829, 730, 634, 636, 855, 0, 326, 818, 536, 697, 430, 814, 768, 254, 578, 0, 306, 305, 683, 542, 796, 766, 600, 778, 127, 0, 307, 714, 501, 703, 616, 161, 685, 601, 464, 0, 581, 249, 509, 845, 445, 704, 456, 499, 559, 0, 619, 382, 789, 540, 663, 718, 762, 529, 827, 0, 849, 475, 651, 527, 612, 723, 548, 787, 724, 0, 252, 323, 643, 121, 441, 129, 576, 826, 610, 0, 642, 43, 38, 271, 85, 109, 153, 414, 59, 0, 748, 716, 740, 506, 336, 128, 166, 771, 21, 0, 628, 525, 77, 159, 403, 172, 194, 83, 205, 0, 228, 167, 736, 396, 397, 812, 504, 155, 120, 0, 431, 142, 494, 339, 219, 79, 553, 278, 717, 0, 253, 507, 327, 66, 300, 106, 22, 164, 71, 0, 56, 192, 641, 708, 4, 152, 294, 57, 60, 0, 786, 310, 168, 537, 201, 2, 349, 105, 225, 0, 28, 6, 342, 325, 546, 315, 118, 143, 26, 0, 64, 563, 602, 555, 355, 746, 558, 313, 275, 0, 162, 618, 696, 570, 573, 595, 440, 551, 230, 0, 407, 359, 207, 821, 314, 366, 218, 126, 398, 0, 379, 329, 211, 274, 405, 100, 69, 188, 187, 0, 82, 465, 640, 713, 490, 473, 12, 214, 148, 0, 613, 798, 568, 741, 498, 50, 276, 409, 90, 0, 356, 781, 466, 575, 101, 582, 832, 672, 512, 0, 197, 416, 710, 156, 698, 631, 547, 281, 204, 0, 146, 479, 210, 653, 470, 425, 745, 753, 611, 0, 292, 199, 224, 358, 24, 346, 88, 365, 203, 0, 141, 35, 235, 686, 332, 231, 834, 178, 367, 0, 251, 170, 728, 649, 565, 485, 577, 854, 780, 0, 732, 820, 623, 591, 833, 157, 775, 482, 799, 0, 822, 436, 679, 270, 330, 215, 61, 363, 682, 0, 638, 442, 368, 455, 804, 678, 469, 674, 617, 0, 184, 130, 297, 259, 417, 267, 785, 213, 347, 0, 412, 283, 457, 515, 574, 154, 842, 693, 89, 0, 435, 273, 721, 32, 690, 583, 793, 428, 731, 0, 598, 852, 569, 337, 115, 144, 266, 76, 285, 0, 181, 147, 523, 828, 669, 743, 561, 805, 461, 0, 630, 206, 734, 603, 420, 614, 687, 426, 406, 0, 384, 247, 535, 432, 549, 519, 447, 552, 483, 0, 95, 556, 308, 198, 75, 658, 463, 795, 526, 0, 123, 622, 791, 257, 719, 520, 521, 662, 444, 0, 37, 467, 637, 839, 533, 656, 562, 472, 448, 0, 700, 510, 459, 620, 823, 650, 824, 759, 752, 0, 171, 136, 216, 660, 750, 811, 261, 681, 476, 0, 779, 851, 345, 338, 776, 757, 580, 709, 621, 0, 654, 705, 737, 769, 481, 770, 763, 765, 538, 0, 244, 673, 593, 5, 800, 715, 806, 608, 452, 0, 751, 659, 624, 646, 480, 151, 794, 532, 234, 0, 671, 670, 439, 124, 813, 677, 783, 744, 488, 0, 557, 773, 566, 648, 544, 462, 816, 491, 592, 0, 351, 664, 675, 665, 567, 36, 195, 27, 111, 0, 505, 632, 767, 629, 437, 429, 443, 541, 587, 0, 460, 10, 760, 680, 446, 639, 844, 434, 702, 0, 250, 453, 348, 747, 496, 706, 44, 471, 500, 0, 817, 809, 596, 545, 361, 667, 182, 503, 848, 0, 836, 720, 522, 318, 554, 846, 94, 838, 492, 0, 7, 725, 733, 739, 15, 517, 585, 487, 661, 0, 688, 524, 797, 676, 458, 695, 590, 830, 707, 0, 138, 792, 20, 52, 263, 413, 427, 666, 393, 0, 421, 513, 495, 486, 712, 764, 802, 777, 514, 0, 248, 301, 837, 807, 29, 758, 478, 579, 726, 0, 449, 202, 240, 113, 334, 410, 134, 49, 179, 0, 589, 711, 571, 531, 790, 607, 819, 245, 277, 0, 200, 9, 165, 377, 316, 383, 41, 25, 262, 0, 369, 508, 572, 229, 433, 468, 560, 528, 13, 0, 286, 212, 302, 415, 290, 140, 122, 411, 320, 0, 296, 173, 419, 47, 39, 422, 372, 364, 324, 0, 68, 125, 108, 53, 309, 78, 399, 220, 93, 0, 34, 232, 335, 133, 150, 208, 42, 272, 353, 0, 191, 51, 352, 98, 196, 226, 311, 400, 376, 0, 110, 454, 374, 539, 177, 644, 375, 841, 381, 0, 137, 564, 390, 668, 222, 74, 16, 8, 729, 0, 236, 17, 287, 402, 55, 176, 265, 418, 604, 0, 209, 264, 62, 70, 241, 19, 112, 65, 357, 0, 850, 584, 139, 63, 217, 119, 362, 387, 319, 0, 354, 258, 424, 391, 298, 280, 0, 635, 284, 18, 0]</t>
  </si>
  <si>
    <t>[0, 541, 546, 760, 331, 283, 262, 529, 828, 39, 672, 542, 201, 32, 400, 639, 495, 638, 789, 0, 193, 444, 454, 417, 126, 510, 592, 348, 378, 722, 229, 442, 208, 111, 577, 839, 774, 0, 511, 567, 587, 364, 750, 98, 797, 267, 563, 276, 545, 559, 380, 705, 679, 0, 858, 549, 218, 63, 460, 862, 404, 311, 54, 238, 412, 189, 195, 167, 357, 214, 217, 0, 298, 723, 531, 129, 513, 558, 671, 576, 77, 151, 551, 499, 69, 544, 0, 274, 473, 744, 335, 168, 346, 213, 634, 693, 237, 235, 776, 149, 866, 0, 647, 207, 729, 512, 834, 799, 868, 691, 470, 677, 631, 115, 461, 410, 854, 422, 431, 256, 739, 289, 699, 0, 72, 341, 153, 629, 391, 613, 381, 56, 100, 669, 125, 304, 486, 140, 0, 566, 636, 205, 366, 185, 687, 646, 438, 565, 145, 852, 824, 93, 330, 619, 296, 62, 0, 458, 393, 314, 474, 817, 127, 174, 281, 4, 433, 758, 526, 673, 21, 527, 0, 188, 801, 751, 375, 756, 640, 128, 624, 781, 398, 518, 146, 766, 0, 784, 448, 553, 524, 823, 36, 15, 271, 584, 628, 305, 395, 45, 851, 255, 211, 97, 394, 0, 66, 224, 373, 517, 718, 336, 785, 464, 160, 554, 212, 349, 704, 150, 579, 369, 110, 385, 51, 0, 60, 812, 667, 850, 18, 648, 459, 326, 590, 324, 547, 696, 675, 509, 534, 418, 0, 611, 583, 821, 347, 416, 712, 390, 101, 88, 241, 5, 46, 0, 489, 711, 496, 763, 379, 399, 95, 406, 374, 585, 161, 371, 706, 6, 0, 589, 259, 187, 261, 38, 773, 102, 733, 279, 35, 608, 275, 849, 0, 397, 7, 287, 338, 537, 53, 103, 107, 528, 10, 604, 301, 813, 325, 0, 860, 520, 157, 387, 864, 240, 231, 176, 607, 500, 666, 363, 273, 427, 816, 443, 715, 0, 514, 810, 30, 652, 260, 832, 225, 121, 656, 432, 601, 737, 845, 0, 155, 104, 625, 223, 389, 681, 618, 22, 441, 570, 728, 58, 800, 122, 227, 0, 278, 516, 521, 109, 724, 312, 252, 615, 361, 736, 805, 768, 130, 536, 26, 392, 820, 343, 134, 598, 0, 282, 674, 402, 539, 173, 251, 786, 421, 440, 310, 222, 219, 362, 621, 779, 0, 651, 649, 872, 732, 593, 759, 709, 117, 847, 154, 848, 873, 246, 436, 606, 0, 655, 818, 665, 181, 162, 230, 861, 179, 623, 831, 550, 79, 249, 0, 772, 455, 795, 196, 635, 200, 50, 627, 594, 726, 747, 830, 802, 806, 44, 264, 70, 777, 658, 465, 0, 345, 108, 662, 383, 270, 749, 457, 700, 731, 826, 609, 377, 0, 198, 644, 540, 555, 42, 99, 194, 158, 25, 829, 479, 769, 87, 48, 578, 803, 265, 0, 637, 827, 320, 875, 203, 19, 742, 535, 484, 490, 430, 47, 43, 156, 27, 504, 0, 89, 682, 855, 318, 596, 9, 92, 477, 838, 548, 603, 501, 226, 290, 376, 740, 0, 49, 340, 485, 309, 353, 420, 64, 24, 113, 447, 0, 689, 3, 73, 643, 825, 365, 83, 449, 562, 676, 870, 787, 351, 0, 419, 560, 293, 68, 354, 569, 434, 515, 133, 871, 741, 407, 588, 0, 543, 123, 355, 291, 184, 105, 694, 82, 481, 233, 703, 337, 664, 359, 170, 236, 414, 0, 384, 695, 258, 169, 401, 210, 456, 202, 602, 688, 498, 804, 574, 367, 572, 745, 0, 439, 131, 668, 250, 556, 573, 239, 780, 382, 136, 654, 300, 191, 857, 0, 350, 626, 840, 1, 748, 466, 767, 435, 874, 794, 81, 468, 59, 321, 0, 771, 798, 20, 358, 28, 285, 453, 297, 753, 633, 118, 488, 112, 268, 0, 725, 757, 765, 522, 450, 164, 836, 78, 116, 65, 96, 568, 33, 244, 680, 0, 120, 368, 286, 697, 708, 811, 650, 14, 266, 683, 819, 684, 746, 0, 472, 220, 178, 775, 280, 678, 844, 532, 841, 843, 339, 147, 2, 132, 148, 714, 411, 142, 166, 0, 713, 856, 228, 84, 761, 8, 641, 292, 796, 356, 809, 86, 37, 600, 91, 328, 0, 564, 842, 94, 660, 595, 657, 653, 143, 701, 630, 0, 206, 171, 610, 139, 616, 327, 114, 734, 463, 234, 571, 476, 165, 808, 0, 55, 716, 257, 508, 342, 23, 552, 284, 254, 735, 17, 788, 396, 192, 837, 294, 0, 40, 322, 352, 846, 752, 462, 580, 475, 835, 302, 538, 388, 717, 727, 199, 663, 0, 85, 793, 57, 778, 770, 478, 74, 11, 34, 248, 413, 288, 561, 13, 686, 177, 0, 730, 533, 426, 582, 480, 67, 859, 614, 180, 75, 316, 370, 437, 505, 519, 632, 807, 0, 163, 71, 197, 605, 494, 452, 183, 29, 482, 159, 428, 525, 232, 405, 141, 622, 344, 0, 467, 762, 61, 754, 106, 575, 720, 80, 277, 685, 175, 492, 216, 661, 16, 0, 782, 209, 581, 272, 182, 52, 612, 315, 317, 299, 471, 710, 690, 0, 332, 597, 523, 507, 865, 487, 790, 506, 135, 620, 599, 502, 698, 303, 0, 306, 307, 721, 215, 323, 659, 755, 719, 334, 702, 90, 12, 137, 152, 372, 0, 815, 119, 31, 386, 425, 76, 429, 245, 172, 791, 424, 409, 497, 707, 0, 792, 313, 333, 617, 360, 243, 204, 138, 822, 124, 242, 557, 445, 190, 0, 491, 329, 743, 253, 144, 738, 308, 503, 269, 869, 764, 0, 863, 586, 186, 295, 483, 670, 692, 446, 247, 645, 0, 451, 853, 814, 41, 469, 833, 403, 319, 221, 591, 642, 0, 415, 408, 493, 423, 867, 783, 530, 263, 0]</t>
  </si>
  <si>
    <t>X_n875</t>
  </si>
  <si>
    <t>[0, 451, 853, 814, 41, 409, 247, 446, 424, 334, 137, 791, 245, 429, 497, 328, 469, 16, 807, 46, 630, 0, 415, 707, 645, 702, 719, 90, 12, 323, 471, 692, 710, 76, 833, 730, 857, 6, 789, 0, 403, 606, 49, 690, 425, 216, 740, 106, 663, 175, 317, 277, 199, 755, 299, 659, 172, 0, 350, 670, 307, 519, 61, 846, 616, 91, 52, 754, 182, 152, 372, 408, 0, 527, 715, 394, 72, 217, 321, 808, 322, 75, 180, 835, 538, 717, 727, 80, 685, 315, 612, 492, 272, 661, 637, 0, 721, 720, 37, 796, 522, 20, 327, 316, 370, 67, 352, 89, 762, 581, 51, 0, 215, 614, 575, 580, 388, 86, 664, 337, 359, 170, 476, 114, 84, 286, 139, 772, 436, 351, 0, 437, 859, 752, 165, 462, 684, 228, 654, 856, 59, 845, 483, 514, 0, 734, 475, 809, 65, 450, 765, 676, 573, 748, 771, 725, 171, 268, 779, 0, 757, 746, 697, 81, 468, 300, 633, 455, 870, 787, 842, 249, 418, 0, 598, 505, 480, 798, 239, 164, 761, 463, 600, 708, 47, 682, 795, 123, 1, 118, 488, 340, 131, 638, 647, 0, 302, 356, 292, 234, 358, 355, 780, 246, 777, 309, 250, 191, 40, 206, 0, 582, 244, 368, 668, 325, 353, 376, 382, 753, 836, 703, 594, 236, 571, 641, 8, 136, 33, 610, 0, 120, 840, 794, 78, 683, 650, 414, 501, 767, 73, 855, 623, 485, 155, 274, 0, 632, 827, 181, 651, 550, 861, 156, 490, 83, 466, 556, 0, 660, 112, 113, 24, 230, 179, 310, 282, 649, 64, 680, 0, 713, 543, 737, 79, 222, 831, 449, 568, 819, 291, 290, 343, 521, 371, 444, 373, 0, 626, 134, 562, 96, 297, 116, 266, 811, 233, 627, 726, 3, 365, 43, 440, 109, 679, 0, 278, 849, 432, 162, 97, 813, 161, 389, 681, 430, 105, 285, 14, 28, 184, 643, 825, 70, 0, 420, 689, 874, 453, 226, 548, 742, 318, 732, 443, 27, 260, 0, 481, 200, 747, 768, 838, 82, 596, 264, 674, 421, 223, 94, 533, 0, 30, 706, 665, 601, 92, 873, 402, 363, 625, 104, 338, 187, 495, 0, 435, 477, 9, 320, 196, 872, 724, 227, 608, 427, 816, 219, 658, 832, 241, 0, 386, 694, 603, 251, 122, 786, 38, 261, 60, 385, 225, 595, 467, 0, 875, 484, 203, 535, 635, 50, 130, 830, 539, 273, 509, 458, 516, 0, 5, 7, 275, 173, 709, 848, 154, 19, 806, 736, 805, 387, 864, 537, 711, 101, 193, 0, 31, 818, 121, 287, 88, 496, 860, 847, 117, 593, 0, 759, 44, 802, 615, 252, 536, 26, 58, 53, 21, 346, 362, 390, 712, 657, 85, 0, 319, 439, 426, 656, 820, 392, 361, 157, 312, 728, 773, 341, 393, 524, 237, 140, 149, 0, 143, 621, 800, 570, 441, 520, 666, 103, 675, 207, 168, 655, 504, 0, 493, 295, 812, 618, 500, 22, 607, 176, 231, 240, 18, 648, 374, 667, 279, 511, 693, 259, 465, 0, 815, 35, 107, 604, 301, 10, 850, 631, 677, 305, 547, 763, 235, 553, 0, 541, 213, 699, 517, 324, 590, 115, 395, 349, 406, 585, 528, 733, 102, 0, 531, 214, 110, 379, 399, 95, 326, 150, 704, 459, 45, 410, 470, 691, 461, 854, 212, 271, 433, 526, 673, 858, 619, 0, 119, 447, 549, 774, 336, 785, 563, 267, 276, 851, 554, 579, 255, 211, 209, 306, 0, 744, 335, 718, 696, 4, 256, 474, 823, 567, 546, 330, 205, 93, 407, 0, 384, 265, 741, 824, 198, 345, 738, 77, 298, 416, 652, 583, 0, 576, 776, 639, 348, 208, 56, 628, 584, 160, 464, 369, 15, 0, 534, 486, 36, 289, 758, 153, 281, 127, 391, 422, 195, 868, 431, 739, 357, 512, 380, 672, 0, 304, 314, 669, 629, 613, 54, 189, 722, 378, 577, 634, 129, 0, 817, 174, 381, 834, 412, 404, 460, 364, 750, 111, 262, 62, 0, 218, 63, 167, 799, 862, 98, 238, 797, 442, 229, 510, 126, 39, 0, 705, 125, 587, 839, 100, 559, 311, 545, 592, 283, 201, 760, 454, 0, 296, 518, 151, 671, 636, 400, 32, 331, 529, 828, 542, 417, 729, 566, 784, 0, 588, 695, 609, 108, 366, 558, 551, 781, 398, 624, 640, 69, 866, 0, 589, 499, 756, 448, 723, 513, 185, 687, 646, 438, 852, 540, 871, 826, 0, 169, 401, 419, 145, 803, 258, 472, 128, 375, 224, 347, 821, 810, 0, 377, 57, 293, 555, 662, 731, 644, 411, 473, 397, 751, 801, 146, 0, 163, 210, 178, 194, 565, 700, 99, 42, 456, 142, 269, 766, 66, 544, 489, 653, 564, 0, 243, 770, 202, 560, 354, 158, 479, 270, 383, 701, 186, 586, 0, 869, 716, 367, 288, 498, 434, 769, 457, 144, 188, 253, 0, 360, 17, 775, 25, 578, 133, 220, 602, 574, 342, 478, 148, 55, 686, 793, 863, 221, 867, 0, 177, 698, 280, 569, 87, 515, 749, 257, 714, 611, 329, 591, 423, 0, 503, 71, 284, 788, 841, 532, 48, 829, 68, 688, 804, 782, 642, 491, 0, 822, 159, 552, 23, 248, 34, 452, 132, 508, 572, 778, 837, 166, 764, 530, 743, 0, 557, 502, 507, 482, 147, 735, 844, 678, 413, 2, 74, 11, 192, 13, 605, 745, 783, 0, 792, 204, 232, 428, 843, 339, 254, 29, 183, 396, 561, 597, 494, 294, 197, 0, 344, 622, 141, 405, 523, 525, 865, 487, 790, 506, 135, 620, 599, 617, 0, 303, 190, 242, 124, 138, 445, 333, 308, 313, 332, 263, 0]</t>
  </si>
  <si>
    <t>[0, 451, 814, 41, 247, 446, 707, 328, 606, 394, 527, 319, 807, 408, 16, 469, 415, 853, 0, 690, 172, 791, 702, 299, 317, 37, 727, 199, 277, 755, 719, 334, 409, 497, 645, 0, 245, 424, 90, 12, 659, 175, 137, 429, 692, 49, 833, 637, 467, 0, 76, 710, 372, 152, 323, 685, 80, 717, 86, 664, 337, 359, 170, 476, 388, 106, 471, 492, 715, 0, 505, 75, 612, 575, 475, 571, 796, 356, 538, 720, 315, 663, 721, 0, 215, 52, 91, 580, 600, 809, 236, 594, 627, 233, 703, 292, 835, 316, 519, 72, 0, 403, 425, 216, 182, 754, 614, 165, 180, 370, 307, 670, 306, 278, 0, 272, 302, 463, 234, 641, 266, 650, 548, 726, 747, 768, 200, 65, 761, 114, 462, 752, 598, 0, 437, 859, 846, 327, 84, 734, 683, 14, 811, 116, 522, 386, 564, 0, 661, 61, 684, 8, 414, 481, 50, 603, 694, 501, 453, 28, 78, 450, 20, 746, 67, 46, 0, 321, 762, 616, 286, 757, 534, 416, 712, 335, 151, 551, 781, 789, 0, 808, 352, 468, 697, 164, 819, 708, 836, 568, 64, 120, 51, 0, 322, 798, 765, 228, 358, 96, 297, 435, 226, 291, 365, 681, 171, 268, 249, 0, 436, 772, 139, 856, 136, 382, 81, 83, 689, 874, 73, 875, 559, 529, 262, 0, 480, 771, 300, 753, 794, 285, 82, 477, 838, 130, 736, 92, 105, 825, 465, 730, 0, 581, 610, 740, 654, 449, 643, 184, 3, 767, 9, 196, 573, 59, 857, 779, 0, 562, 320, 596, 203, 19, 742, 635, 830, 805, 387, 848, 264, 290, 239, 376, 1, 0, 489, 748, 455, 123, 777, 674, 490, 430, 43, 355, 633, 725, 582, 632, 0, 368, 309, 855, 70, 873, 484, 535, 44, 806, 802, 536, 847, 154, 593, 786, 420, 351, 0, 191, 118, 33, 676, 318, 539, 117, 615, 864, 157, 361, 570, 122, 625, 217, 0, 250, 556, 780, 47, 732, 173, 759, 251, 58, 421, 282, 818, 680, 0, 244, 870, 466, 795, 872, 402, 709, 392, 26, 252, 312, 520, 728, 246, 162, 713, 6, 514, 0, 432, 223, 227, 812, 860, 666, 22, 607, 176, 441, 820, 800, 343, 682, 488, 668, 0, 353, 649, 109, 724, 500, 53, 35, 279, 21, 363, 310, 550, 543, 0, 40, 840, 156, 427, 273, 537, 608, 521, 444, 531, 518, 766, 0, 89, 485, 440, 604, 301, 231, 240, 18, 459, 95, 10, 107, 618, 371, 0, 193, 647, 219, 773, 379, 399, 648, 374, 585, 528, 103, 161, 623, 831, 340, 0, 658, 79, 134, 389, 667, 850, 406, 324, 211, 763, 733, 813, 104, 27, 0, 787, 179, 97, 38, 102, 110, 336, 673, 718, 207, 168, 129, 638, 0, 295, 626, 861, 222, 816, 338, 261, 496, 393, 509, 275, 845, 493, 0, 230, 60, 341, 675, 517, 214, 15, 696, 369, 547, 160, 464, 433, 36, 346, 776, 373, 0, 827, 601, 651, 443, 150, 326, 704, 45, 349, 395, 631, 677, 305, 410, 851, 212, 590, 579, 271, 526, 823, 774, 699, 711, 656, 418, 0, 274, 30, 832, 101, 88, 287, 121, 385, 181, 24, 113, 0, 325, 255, 554, 854, 115, 470, 461, 628, 584, 4, 758, 289, 474, 314, 304, 486, 679, 140, 0, 737, 153, 785, 281, 174, 391, 195, 422, 629, 669, 125, 511, 524, 187, 260, 0, 259, 458, 858, 213, 549, 729, 817, 381, 739, 868, 691, 127, 665, 155, 0, 706, 362, 357, 431, 613, 276, 563, 267, 797, 208, 442, 229, 111, 705, 567, 0, 553, 56, 256, 412, 189, 545, 98, 311, 54, 834, 167, 100, 380, 587, 634, 693, 0, 516, 225, 7, 512, 799, 238, 404, 460, 750, 378, 722, 348, 577, 63, 839, 237, 495, 0, 209, 483, 842, 94, 660, 131, 112, 595, 821, 504, 0, 367, 185, 366, 205, 546, 201, 39, 126, 510, 592, 364, 862, 218, 146, 0, 384, 871, 852, 438, 108, 283, 828, 672, 331, 32, 542, 417, 149, 0, 269, 198, 824, 687, 636, 400, 760, 454, 639, 541, 235, 390, 744, 0, 738, 345, 731, 662, 565, 646, 145, 741, 330, 558, 398, 62, 0, 296, 723, 513, 77, 576, 619, 93, 609, 826, 555, 383, 270, 194, 700, 540, 695, 407, 0, 411, 803, 419, 456, 202, 578, 829, 644, 258, 588, 624, 866, 0, 472, 401, 716, 220, 602, 560, 133, 158, 87, 515, 479, 749, 457, 42, 265, 869, 867, 0, 793, 55, 57, 508, 574, 293, 354, 434, 25, 99, 169, 671, 350, 5, 0, 503, 303, 332, 804, 498, 844, 48, 769, 688, 257, 163, 144, 0, 142, 377, 714, 148, 770, 452, 132, 413, 68, 210, 566, 224, 652, 621, 530, 783, 0, 263, 177, 686, 778, 74, 248, 2, 288, 29, 284, 280, 678, 569, 178, 448, 801, 764, 0, 166, 294, 197, 837, 478, 34, 192, 23, 254, 17, 735, 532, 775, 552, 11, 499, 298, 397, 253, 0, 85, 743, 784, 71, 342, 482, 147, 339, 843, 841, 428, 525, 232, 396, 597, 0, 642, 544, 745, 344, 622, 494, 605, 572, 13, 561, 405, 507, 183, 788, 159, 865, 487, 506, 822, 599, 243, 313, 0, 423, 491, 630, 591, 221, 815, 31, 141, 523, 135, 502, 360, 617, 333, 0, 782, 586, 119, 533, 206, 426, 849, 655, 653, 143, 439, 589, 0, 863, 701, 810, 447, 657, 241, 347, 756, 128, 751, 66, 329, 0, 792, 308, 445, 698, 620, 790, 204, 138, 124, 242, 557, 190, 0, 611, 188, 69, 640, 473, 375, 583, 186, 0]</t>
  </si>
  <si>
    <t>[0, 501, 643, 124, 442, 716, 407, 554, 528, 678, 269, 492, 480, 579, 411, 203, 549, 418, 576, 553, 567, 423, 770, 601, 836, 0, 451, 795, 69, 785, 609, 827, 434, 869, 355, 845, 331, 125, 14, 714, 532, 495, 422, 259, 475, 376, 684, 94, 0, 405, 512, 629, 438, 859, 452, 370, 426, 212, 15, 412, 891, 58, 128, 443, 395, 328, 691, 63, 17, 722, 254, 332, 0, 865, 655, 751, 284, 343, 578, 34, 839, 569, 705, 686, 781, 247, 575, 507, 558, 864, 775, 828, 709, 22, 749, 193, 440, 349, 0, 445, 881, 162, 887, 79, 244, 826, 127, 586, 417, 608, 293, 373, 767, 617, 25, 177, 147, 235, 744, 315, 698, 16, 0, 263, 286, 386, 236, 556, 692, 508, 868, 178, 796, 307, 195, 4, 893, 853, 786, 329, 246, 67, 611, 61, 38, 750, 161, 0, 48, 190, 596, 280, 100, 37, 861, 211, 799, 3, 824, 776, 639, 813, 437, 540, 860, 637, 300, 367, 760, 482, 310, 0, 70, 447, 220, 393, 318, 537, 323, 888, 831, 430, 510, 43, 778, 679, 242, 375, 794, 872, 742, 344, 163, 181, 825, 301, 446, 0, 695, 439, 399, 666, 701, 356, 740, 41, 564, 497, 92, 618, 302, 327, 110, 711, 759, 843, 27, 620, 378, 736, 406, 227, 420, 0, 84, 155, 44, 425, 60, 584, 309, 677, 299, 625, 819, 789, 628, 771, 271, 489, 559, 6, 600, 209, 365, 464, 0, 369, 780, 623, 498, 874, 91, 527, 551, 773, 334, 88, 548, 225, 166, 779, 699, 791, 670, 835, 602, 615, 494, 648, 886, 0, 240, 409, 821, 352, 312, 404, 200, 173, 98, 182, 313, 682, 862, 683, 396, 652, 424, 496, 221, 513, 292, 248, 506, 514, 160, 0, 661, 233, 667, 42, 87, 268, 179, 23, 728, 415, 800, 650, 810, 490, 782, 377, 777, 582, 298, 273, 565, 103, 126, 243, 219, 0, 688, 206, 353, 144, 880, 346, 414, 885, 156, 133, 73, 700, 697, 715, 733, 391, 522, 807, 214, 362, 758, 379, 519, 0, 93, 47, 630, 734, 288, 890, 685, 702, 518, 474, 296, 502, 560, 571, 381, 719, 164, 429, 594, 453, 477, 184, 228, 737, 0, 148, 842, 26, 71, 668, 303, 387, 359, 149, 847, 97, 18, 106, 229, 121, 433, 481, 818, 509, 581, 112, 1, 39, 216, 0, 153, 8, 763, 621, 324, 462, 289, 606, 333, 544, 118, 833, 877, 599, 857, 45, 10, 448, 591, 837, 713, 879, 372, 102, 0, 397, 747, 651, 450, 707, 883, 454, 234, 390, 593, 790, 614, 768, 539, 319, 504, 804, 213, 382, 478, 428, 806, 81, 0, 863, 727, 326, 189, 524, 122, 455, 402, 432, 516, 660, 662, 330, 472, 545, 823, 547, 350, 460, 588, 871, 500, 746, 0, 687, 656, 626, 784, 752, 265, 297, 503, 663, 681, 46, 11, 830, 892, 358, 31, 689, 226, 435, 461, 613, 538, 431, 664, 0, 563, 241, 320, 644, 675, 635, 150, 467, 380, 54, 385, 364, 384, 754, 466, 476, 570, 515, 696, 252, 261, 165, 587, 419, 360, 230, 0, 68, 471, 416, 546, 237, 159, 487, 449, 32, 761, 322, 479, 35, 849, 573, 748, 690, 109, 239, 878, 889, 493, 855, 255, 0, 647, 345, 101, 766, 838, 753, 89, 20, 361, 738, 250, 566, 603, 840, 470, 882, 287, 469, 654, 866, 725, 264, 51, 543, 0, 530, 282, 856, 811, 245, 140, 170, 636, 499, 809, 627, 657, 151, 787, 171, 792, 485, 208, 204, 844, 185, 104, 757, 0, 658, 202, 29, 130, 803, 207, 876, 848, 708, 72, 676, 13, 74, 75, 523, 769, 798, 7, 870, 279, 389, 123, 468, 731, 0, 822, 598, 57, 205, 755, 21, 266, 505, 90, 801, 158, 374, 304, 557, 224, 306, 673, 577, 86, 30, 694, 568, 649, 168, 400, 0, 526, 421, 2, 116, 873, 552, 134, 745, 632, 403, 641, 143, 83, 772, 788, 274, 96, 867, 671, 724, 295, 665, 401, 136, 0, 805, 174, 693, 732, 802, 290, 605, 616, 281, 521, 311, 583, 210, 157, 321, 33, 735, 354, 607, 167, 483, 272, 99, 0, 531, 717, 85, 774, 525, 590, 808, 316, 457, 108, 580, 394, 285, 410, 197, 366, 218, 459, 850, 132, 674, 183, 0, 465, 64, 562, 65, 232, 192, 371, 764, 669, 541, 631, 427, 718, 66, 335, 638, 114, 589, 262, 533, 53, 815, 231, 201, 875, 436, 0, 283, 336, 217, 340, 105, 534, 491, 277, 198, 339, 542, 642, 260, 529, 706, 762, 139, 117, 113, 222, 267, 368, 24, 172, 0, 834, 812, 413, 253, 257, 739, 154, 458, 816, 77, 884, 408, 314, 634, 175, 82, 817, 535, 441, 294, 622, 258, 275, 351, 0, 486, 517, 793, 135, 308, 142, 146, 338, 176, 191, 624, 52, 595, 659, 111, 604, 612, 223, 194, 398, 710, 726, 107, 730, 0, 797, 444, 180, 348, 841, 129, 291, 256, 249, 741, 363, 131, 238, 646, 56, 653, 76, 19, 645, 278, 550, 36, 756, 680, 854, 0, 12, 720, 62, 342, 672, 851, 5, 215, 814, 80, 597, 640, 270, 49, 141, 95, 846, 392, 186, 317, 729, 456, 633, 0, 55, 852, 196, 894, 325, 574, 585, 251, 169, 832, 463, 703, 341, 511, 137, 723, 120, 820, 858, 347, 0, 610, 145, 152, 712, 561, 115, 50, 721, 187, 592, 357, 188, 743, 484, 305, 783, 388, 383, 488, 276, 199, 555, 0, 704, 572, 138, 28, 619, 536, 40, 78, 59, 473, 9, 829, 765, 119, 520, 337, 0]</t>
  </si>
  <si>
    <t>X_n894</t>
  </si>
  <si>
    <t>[0, 530, 123, 174, 29, 693, 607, 525, 85, 562, 65, 232, 192, 371, 808, 316, 294, 52, 436, 739, 257, 338, 275, 0, 757, 241, 838, 844, 168, 167, 202, 694, 30, 598, 717, 774, 590, 764, 669, 154, 176, 191, 710, 107, 351, 253, 146, 99, 0, 877, 806, 101, 543, 51, 204, 649, 130, 803, 732, 816, 66, 114, 589, 408, 314, 817, 441, 535, 659, 258, 622, 458, 483, 64, 0, 805, 272, 104, 185, 568, 208, 811, 86, 354, 108, 457, 875, 201, 850, 674, 638, 183, 262, 634, 533, 335, 53, 884, 175, 0, 291, 730, 726, 256, 249, 741, 624, 541, 631, 815, 231, 718, 132, 218, 410, 57, 290, 802, 766, 416, 68, 856, 822, 142, 413, 0, 731, 360, 345, 389, 304, 205, 21, 755, 281, 616, 311, 583, 33, 735, 197, 394, 580, 77, 82, 595, 604, 223, 363, 398, 76, 0, 427, 285, 459, 366, 210, 801, 158, 90, 505, 224, 72, 708, 7, 848, 577, 673, 521, 266, 605, 207, 485, 738, 361, 89, 546, 0, 282, 889, 140, 237, 159, 20, 725, 264, 792, 171, 769, 798, 74, 13, 676, 374, 157, 321, 557, 306, 876, 870, 279, 245, 0, 462, 493, 878, 239, 487, 109, 566, 250, 627, 657, 866, 469, 882, 287, 654, 151, 787, 75, 523, 636, 170, 753, 658, 0, 324, 478, 419, 499, 809, 603, 840, 32, 748, 761, 322, 470, 479, 573, 696, 252, 261, 449, 664, 431, 112, 1, 144, 0, 471, 587, 165, 690, 476, 570, 515, 35, 849, 364, 385, 31, 226, 467, 54, 384, 466, 150, 675, 644, 746, 382, 509, 581, 880, 0, 255, 230, 320, 784, 213, 500, 752, 588, 538, 635, 754, 380, 435, 689, 358, 892, 830, 330, 402, 432, 46, 481, 39, 544, 333, 428, 0, 855, 621, 289, 118, 871, 350, 547, 613, 461, 663, 11, 823, 545, 472, 516, 122, 189, 303, 71, 737, 26, 47, 833, 397, 0, 468, 563, 606, 265, 460, 297, 503, 681, 662, 455, 524, 660, 326, 719, 390, 768, 319, 504, 804, 747, 818, 359, 387, 228, 668, 0, 353, 842, 149, 433, 651, 539, 614, 790, 727, 164, 381, 593, 234, 429, 454, 883, 106, 346, 734, 630, 214, 362, 0, 647, 81, 184, 121, 450, 707, 594, 560, 571, 502, 474, 518, 685, 453, 477, 229, 18, 847, 219, 807, 599, 857, 0, 758, 494, 292, 240, 670, 42, 522, 243, 414, 288, 391, 810, 777, 782, 377, 296, 582, 273, 702, 890, 133, 97, 216, 863, 626, 0, 206, 233, 248, 667, 780, 409, 126, 565, 715, 415, 800, 200, 98, 91, 682, 182, 313, 490, 298, 650, 700, 73, 156, 733, 885, 656, 0, 763, 45, 103, 697, 728, 312, 404, 173, 862, 527, 683, 396, 874, 23, 352, 179, 87, 835, 602, 600, 379, 519, 227, 0, 369, 365, 661, 514, 506, 615, 791, 513, 623, 225, 548, 628, 334, 773, 302, 789, 551, 424, 496, 652, 498, 821, 268, 591, 837, 0, 148, 160, 648, 84, 6, 699, 779, 221, 88, 771, 271, 299, 677, 625, 819, 618, 110, 736, 155, 794, 872, 886, 406, 163, 0, 531, 448, 10, 209, 166, 489, 327, 309, 584, 92, 497, 740, 356, 701, 60, 425, 559, 778, 378, 242, 344, 0, 464, 44, 711, 178, 796, 195, 41, 564, 853, 608, 786, 293, 893, 4, 329, 843, 27, 510, 43, 620, 679, 375, 695, 742, 181, 0, 852, 465, 8, 713, 688, 93, 16, 825, 430, 439, 759, 666, 417, 370, 127, 399, 323, 318, 447, 556, 236, 386, 286, 698, 445, 0, 372, 367, 601, 868, 888, 67, 611, 826, 212, 426, 586, 767, 373, 307, 537, 508, 220, 70, 263, 310, 301, 812, 841, 574, 0, 347, 446, 879, 482, 836, 94, 193, 315, 692, 744, 177, 244, 25, 617, 246, 61, 750, 831, 393, 687, 153, 834, 131, 341, 0, 643, 440, 749, 22, 881, 124, 162, 235, 147, 38, 79, 438, 859, 452, 58, 15, 412, 891, 128, 443, 395, 328, 684, 0, 102, 349, 760, 501, 420, 709, 161, 864, 558, 507, 575, 887, 247, 781, 686, 629, 63, 691, 492, 17, 475, 751, 48, 0, 865, 637, 376, 405, 578, 34, 254, 554, 722, 528, 678, 579, 480, 269, 705, 569, 512, 839, 343, 775, 828, 400, 180, 278, 0, 793, 655, 284, 770, 259, 422, 442, 332, 716, 407, 203, 411, 549, 553, 418, 576, 845, 567, 331, 125, 423, 495, 300, 0, 116, 190, 596, 280, 451, 437, 813, 540, 639, 860, 532, 14, 714, 869, 355, 434, 827, 609, 785, 69, 795, 776, 37, 100, 0, 295, 552, 745, 143, 772, 788, 274, 83, 799, 3, 824, 211, 861, 641, 403, 632, 134, 873, 421, 2, 517, 135, 0, 337, 486, 526, 401, 665, 283, 724, 867, 96, 198, 339, 542, 642, 260, 529, 277, 534, 491, 217, 671, 336, 340, 136, 729, 0, 633, 59, 797, 820, 444, 348, 308, 858, 276, 456, 199, 317, 186, 105, 24, 172, 368, 267, 762, 706, 139, 113, 215, 49, 0, 9, 137, 120, 78, 829, 473, 488, 555, 392, 846, 95, 141, 270, 640, 117, 222, 597, 80, 814, 5, 851, 115, 0, 12, 383, 704, 520, 119, 765, 723, 129, 619, 28, 388, 610, 0, 783, 145, 152, 62, 342, 672, 720, 561, 712, 50, 721, 187, 305, 536, 40, 0, 188, 357, 463, 703, 511, 854, 832, 55, 572, 138, 484, 743, 0, 169, 756, 251, 680, 645, 19, 194, 612, 111, 646, 238, 56, 653, 550, 36, 585, 325, 894, 196, 592, 0]</t>
  </si>
  <si>
    <t>[0, 870, 769, 523, 171, 75, 787, 657, 809, 627, 866, 654, 287, 882, 840, 603, 250, 636, 725, 264, 361, 170, 811, 51, 0, 753, 738, 566, 32, 261, 252, 696, 573, 479, 470, 761, 322, 469, 151, 74, 13, 676, 708, 798, 792, 499, 279, 485, 208, 0, 389, 245, 140, 20, 748, 35, 849, 515, 384, 385, 31, 54, 380, 467, 754, 466, 570, 476, 690, 644, 109, 159, 237, 878, 838, 0, 101, 419, 213, 165, 675, 538, 635, 150, 613, 461, 435, 226, 364, 358, 689, 892, 830, 823, 545, 472, 330, 402, 432, 516, 326, 481, 0, 889, 664, 431, 500, 588, 768, 727, 164, 189, 524, 122, 455, 662, 660, 11, 46, 681, 663, 503, 547, 350, 487, 416, 0, 855, 752, 871, 504, 804, 433, 121, 429, 234, 381, 560, 719, 390, 593, 790, 614, 539, 297, 460, 265, 587, 89, 546, 0, 230, 493, 345, 204, 766, 239, 449, 319, 651, 450, 883, 454, 571, 502, 582, 518, 453, 707, 477, 229, 784, 478, 621, 0, 581, 97, 885, 391, 103, 810, 782, 377, 777, 296, 298, 273, 474, 594, 685, 106, 18, 184, 747, 509, 382, 746, 320, 324, 856, 0, 81, 806, 462, 289, 71, 303, 112, 414, 288, 156, 800, 182, 682, 313, 490, 650, 700, 73, 702, 890, 133, 847, 149, 818, 1, 360, 0, 241, 428, 606, 144, 880, 668, 228, 387, 359, 733, 697, 715, 565, 415, 312, 200, 173, 98, 91, 527, 862, 874, 652, 728, 243, 0, 118, 630, 409, 352, 498, 424, 496, 225, 548, 334, 773, 302, 819, 789, 551, 683, 396, 404, 23, 126, 346, 39, 333, 599, 0, 863, 397, 544, 26, 807, 219, 268, 179, 821, 623, 779, 221, 628, 88, 771, 625, 271, 299, 677, 489, 166, 699, 513, 0, 857, 833, 353, 842, 737, 734, 522, 780, 87, 110, 584, 309, 327, 618, 92, 853, 497, 564, 41, 60, 559, 240, 519, 0, 448, 45, 362, 248, 292, 602, 378, 620, 43, 510, 27, 44, 6, 791, 835, 670, 42, 667, 214, 47, 216, 877, 763, 713, 0, 185, 649, 568, 694, 29, 30, 207, 205, 673, 306, 224, 557, 505, 374, 304, 72, 577, 7, 848, 876, 803, 130, 543, 471, 68, 563, 0, 255, 282, 123, 168, 844, 202, 86, 802, 605, 266, 90, 158, 801, 157, 210, 311, 521, 21, 755, 57, 290, 732, 607, 693, 0, 626, 758, 494, 615, 600, 711, 178, 425, 701, 356, 740, 195, 4, 893, 608, 293, 329, 307, 796, 666, 439, 778, 695, 0, 206, 233, 679, 430, 843, 759, 399, 786, 417, 586, 212, 370, 127, 373, 246, 67, 831, 323, 537, 318, 736, 155, 794, 84, 872, 0, 647, 167, 598, 616, 281, 583, 321, 33, 735, 285, 410, 366, 218, 459, 197, 394, 354, 764, 371, 590, 525, 483, 658, 757, 0, 379, 514, 742, 375, 242, 220, 868, 393, 888, 611, 617, 826, 767, 426, 412, 891, 15, 58, 128, 452, 859, 438, 443, 395, 0, 837, 10, 656, 344, 406, 209, 648, 886, 508, 750, 61, 177, 25, 244, 79, 629, 328, 63, 691, 269, 492, 17, 579, 0, 591, 93, 365, 661, 160, 506, 163, 227, 181, 692, 744, 235, 147, 38, 887, 781, 686, 247, 575, 507, 558, 162, 315, 286, 0, 468, 174, 774, 85, 232, 192, 808, 316, 457, 108, 580, 427, 718, 66, 850, 132, 674, 183, 638, 114, 589, 634, 817, 0, 464, 369, 825, 386, 749, 124, 70, 236, 556, 447, 161, 864, 512, 569, 705, 722, 554, 528, 678, 480, 411, 549, 418, 576, 0, 301, 148, 16, 698, 22, 881, 709, 828, 405, 775, 343, 839, 254, 34, 578, 332, 716, 407, 203, 553, 845, 567, 94, 440, 0, 8, 530, 731, 104, 272, 717, 562, 65, 669, 541, 631, 201, 231, 335, 262, 533, 408, 314, 53, 884, 815, 77, 875, 154, 0, 646, 659, 604, 595, 52, 624, 258, 622, 535, 175, 82, 441, 294, 816, 458, 436, 739, 338, 257, 253, 822, 64, 99, 805, 0, 834, 465, 812, 531, 153, 879, 420, 263, 445, 643, 193, 442, 331, 355, 434, 827, 869, 532, 259, 376, 284, 751, 601, 367, 0, 102, 501, 300, 860, 861, 824, 795, 69, 785, 609, 714, 14, 125, 495, 423, 422, 475, 770, 684, 836, 310, 687, 446, 347, 0, 552, 211, 3, 776, 403, 632, 100, 451, 280, 437, 813, 639, 540, 637, 655, 865, 596, 48, 349, 482, 760, 372, 401, 0, 135, 793, 688, 400, 142, 146, 351, 275, 176, 191, 710, 363, 612, 111, 223, 238, 194, 398, 741, 726, 107, 348, 308, 858, 0, 336, 671, 867, 96, 274, 788, 772, 83, 143, 799, 641, 745, 37, 134, 724, 295, 665, 873, 190, 116, 2, 517, 486, 0, 5, 215, 814, 597, 222, 113, 117, 139, 762, 706, 529, 260, 642, 542, 339, 491, 217, 105, 340, 283, 136, 317, 729, 526, 421, 633, 0, 820, 120, 444, 180, 841, 137, 413, 129, 291, 730, 256, 249, 645, 19, 76, 131, 56, 653, 550, 278, 854, 511, 723, 0, 456, 276, 488, 473, 9, 829, 59, 797, 78, 765, 119, 40, 463, 703, 341, 680, 251, 36, 585, 574, 325, 756, 169, 832, 536, 0, 555, 199, 337, 520, 188, 357, 55, 852, 894, 196, 592, 138, 28, 619, 572, 704, 383, 0, 186, 534, 198, 277, 392, 145, 783, 50, 721, 187, 484, 305, 743, 388, 610, 12, 0, 846, 95, 141, 49, 172, 24, 368, 267, 270, 640, 80, 851, 672, 342, 62, 720, 115, 561, 712, 152, 0]</t>
  </si>
  <si>
    <t>[0, 332, 294, 189, 11, 339, 0, 383, 23, 54, 295, 0, 428, 442, 424, 331, 0, 76, 451, 44, 184, 0, 401, 325, 791, 320, 203, 0, 389, 73, 215, 142, 0, 160, 75, 230, 205, 342, 0, 126, 358, 278, 220, 0, 384, 658, 108, 62, 109, 0, 8, 57, 96, 113, 25, 0, 290, 133, 156, 214, 0, 399, 213, 380, 115, 0, 393, 132, 232, 450, 0, 316, 324, 236, 6, 0, 355, 353, 94, 238, 34, 0, 416, 321, 375, 398, 0, 237, 221, 432, 252, 260, 0, 190, 789, 408, 344, 163, 0, 248, 859, 288, 498, 0, 188, 326, 79, 123, 148, 0, 462, 700, 556, 328, 856, 0, 227, 253, 905, 803, 522, 0, 739, 861, 813, 725, 0, 883, 144, 382, 806, 0, 614, 18, 415, 199, 0, 896, 584, 240, 314, 812, 0, 3, 206, 447, 343, 0, 694, 250, 286, 118, 0, 886, 173, 19, 119, 0, 140, 246, 219, 168, 7, 0, 599, 588, 137, 229, 565, 0, 22, 296, 351, 43, 0, 150, 112, 686, 55, 46, 0, 394, 80, 70, 309, 0, 768, 635, 480, 627, 0, 750, 639, 274, 876, 0, 523, 69, 708, 880, 576, 0, 757, 823, 620, 258, 748, 0, 604, 200, 223, 21, 0, 261, 68, 372, 53, 0, 210, 30, 217, 128, 0, 457, 329, 31, 107, 0, 149, 682, 209, 0, 352, 839, 159, 370, 0, 284, 225, 348, 12, 141, 0, 65, 58, 131, 550, 0, 636, 554, 715, 170, 515, 0, 747, 364, 26, 270, 0, 67, 553, 245, 826, 264, 0, 433, 349, 231, 717, 0, 456, 799, 20, 242, 0, 36, 39, 779, 306, 0, 510, 912, 580, 431, 493, 0, 625, 87, 873, 505, 0, 285, 95, 780, 810, 136, 0, 276, 116, 426, 61, 0, 417, 422, 838, 303, 0, 357, 99, 181, 27, 0, 581, 654, 792, 848, 0, 673, 609, 730, 473, 449, 0, 719, 437, 124, 161, 0, 177, 585, 440, 224, 0, 280, 759, 191, 249, 0, 228, 374, 674, 400, 0, 566, 552, 881, 643, 0, 910, 407, 795, 605, 0, 166, 301, 434, 598, 0, 162, 138, 743, 207, 0, 256, 535, 98, 497, 0, 726, 786, 649, 718, 835, 0, 821, 902, 574, 661, 559, 0, 419, 4, 381, 195, 0, 807, 526, 832, 840, 0, 298, 797, 777, 255, 0, 175, 762, 884, 657, 0, 824, 864, 640, 740, 0, 562, 460, 855, 313, 0, 291, 183, 828, 678, 0, 560, 621, 613, 402, 459, 0, 435, 601, 377, 146, 0, 397, 373, 169, 299, 0, 570, 129, 176, 334, 0, 847, 558, 216, 684, 267, 0, 186, 38, 755, 617, 0, 5, 151, 539, 446, 0, 606, 376, 746, 474, 608, 0, 92, 729, 841, 734, 0, 829, 579, 391, 84, 0, 549, 546, 709, 808, 0, 534, 491, 710, 615, 0, 64, 466, 842, 582, 0, 427, 776, 396, 347, 226, 0, 335, 10, 877, 766, 0, 455, 680, 265, 885, 603, 0, 308, 907, 591, 297, 0, 488, 758, 323, 671, 0, 698, 578, 503, 198, 0, 652, 244, 586, 665, 0, 530, 471, 346, 525, 262, 0, 892, 590, 706, 782, 0, 508, 745, 683, 600, 0, 775, 145, 691, 888, 0, 688, 763, 59, 47, 0, 866, 527, 894, 852, 0, 340, 63, 650, 849, 487, 0, 532, 660, 863, 741, 0, 616, 388, 619, 753, 0, 29, 196, 760, 869, 0, 651, 538, 467, 814, 0, 622, 528, 769, 568, 0, 844, 914, 518, 733, 0, 868, 820, 461, 825, 0, 185, 127, 794, 513, 771, 0, 475, 178, 646, 60, 0, 764, 765, 577, 509, 0, 685, 897, 152, 903, 0, 359, 512, 904, 266, 0, 770, 421, 882, 867, 0, 153, 836, 557, 663, 0, 423, 548, 511, 889, 0, 751, 631, 666, 499, 0, 875, 385, 307, 519, 0, 243, 85, 52, 555, 0, 800, 211, 809, 362, 0, 531, 338, 893, 692, 681, 0, 571, 788, 642, 483, 900, 0, 564, 202, 289, 371, 0, 563, 796, 707, 481, 732, 0, 722, 41, 410, 772, 0, 784, 354, 404, 874, 0, 330, 567, 121, 871, 0, 239, 66, 263, 77, 0, 365, 713, 890, 0, 13, 594, 593, 575, 0, 724, 368, 592, 37, 0, 887, 846, 793, 668, 815, 0, 367, 540, 690, 783, 0, 318, 78, 496, 478, 773, 0, 891, 500, 915, 611, 292, 0, 453, 445, 664, 744, 0, 589, 752, 629, 572, 0, 738, 597, 901, 781, 0, 103, 704, 504, 387, 0, 908, 319, 659, 476, 0, 909, 647, 802, 711, 0, 697, 490, 494, 24, 0, 702, 143, 851, 542, 117, 0, 33, 804, 637, 819, 0, 898, 194, 801, 486, 281, 0, 520, 834, 472, 774, 0, 235, 716, 822, 468, 610, 0, 45, 648, 845, 742, 0, 312, 477, 756, 628, 857, 0, 862, 409, 827, 524, 0, 906, 723, 507, 81, 102, 0, 514, 495, 721, 569, 0, 587, 369, 687, 438, 0, 641, 727, 337, 805, 271, 0, 414, 452, 865, 0, 327, 667, 254, 767, 0, 817, 458, 363, 502, 0, 444, 277, 147, 411, 0, 672, 405, 816, 430, 0, 83, 850, 317, 696, 0, 634, 454, 872, 595, 111, 0, 583, 689, 837, 632, 0, 310, 484, 517, 833, 0, 547, 135, 336, 679, 0, 602, 333, 283, 182, 0, 911, 675, 573, 677, 90, 0, 386, 247, 536, 543, 0, 811, 441, 212, 860, 737, 0, 699, 469, 879, 91, 0, 731, 858, 425, 282, 0, 485, 714, 501, 785, 463, 0, 125, 913, 89, 676, 0, 251, 350, 479, 171, 0, 638, 134, 778, 492, 506, 0, 787, 899, 626, 464, 0, 662, 521, 105, 0, 630, 489, 88, 645, 0, 761, 653, 749, 735, 618, 0, 607, 345, 701, 644, 0, 541, 798, 315, 275, 0, 379, 831, 612, 418, 0, 870, 854, 790, 596, 0, 656, 545, 695, 878, 0, 180, 172, 624, 551, 712, 0, 28, 14, 366, 378, 0, 537, 35, 623, 703, 544, 0, 241, 413, 51, 412, 655, 0, 16, 720, 843, 403, 0, 754, 853, 465, 193, 0, 895, 516, 154, 705, 0, 670, 104, 2, 50, 0, 130, 257, 818, 165, 0, 482, 218, 470, 71, 0, 305, 106, 86, 204, 0, 392, 167, 448, 139, 0, 830, 287, 110, 356, 0, 529, 179, 736, 49, 0, 40, 72, 311, 233, 0, 268, 533, 222, 633, 0, 269, 192, 100, 406, 0, 42, 322, 728, 693, 0, 395, 669, 164, 300, 0, 82, 360, 234, 9, 0, 279, 93, 272, 436, 0, 97, 158, 120, 341, 0, 197, 390, 302, 74, 0, 561, 429, 1, 32, 0, 56, 157, 101, 304, 0, 201, 48, 443, 420, 259, 0, 174, 273, 208, 0, 187, 122, 155, 15, 293, 0, 439, 361, 114, 17, 0]</t>
  </si>
  <si>
    <t>X_n915</t>
  </si>
  <si>
    <t>[0, 315, 102, 865, 597, 0, 86, 716, 521, 105, 0, 411, 575, 773, 679, 0, 421, 548, 319, 366, 0, 81, 468, 507, 147, 0, 378, 275, 336, 239, 14, 0, 277, 622, 78, 798, 0, 145, 568, 903, 781, 0, 50, 412, 452, 2, 0, 423, 41, 775, 567, 0, 652, 297, 772, 659, 0, 562, 814, 871, 478, 610, 0, 897, 769, 867, 47, 593, 0, 549, 152, 888, 121, 822, 0, 106, 688, 330, 235, 0, 244, 671, 889, 496, 0, 661, 882, 582, 901, 0, 651, 528, 467, 594, 0, 466, 538, 410, 476, 0, 175, 758, 459, 518, 0, 600, 59, 615, 511, 0, 308, 534, 829, 323, 0, 709, 497, 841, 842, 0, 763, 402, 613, 665, 0, 491, 683, 734, 745, 0, 733, 808, 835, 907, 0, 508, 902, 313, 691, 0, 640, 657, 617, 914, 0, 38, 832, 755, 710, 0, 66, 884, 621, 488, 0, 591, 729, 64, 560, 0, 586, 855, 718, 674, 0, 559, 740, 643, 546, 0, 824, 821, 840, 579, 0, 566, 649, 762, 526, 256, 0, 574, 881, 374, 191, 807, 0, 864, 400, 249, 460, 0, 166, 848, 98, 786, 0, 186, 535, 552, 434, 0, 391, 181, 92, 0, 301, 795, 792, 654, 0, 581, 726, 838, 99, 0, 202, 303, 719, 280, 0, 224, 422, 437, 598, 0, 722, 36, 417, 910, 0, 204, 51, 135, 908, 0, 912, 136, 780, 759, 605, 0, 357, 95, 124, 262, 0, 228, 580, 431, 407, 0, 84, 510, 21, 149, 0, 608, 284, 261, 225, 223, 0, 27, 859, 248, 6, 0, 306, 493, 553, 810, 0, 285, 779, 245, 826, 141, 352, 0, 717, 372, 351, 43, 0, 67, 370, 682, 161, 0, 604, 200, 68, 231, 0, 263, 723, 414, 738, 0, 471, 346, 474, 746, 588, 0, 585, 53, 144, 700, 0, 685, 349, 525, 289, 0, 348, 12, 112, 39, 264, 0, 325, 150, 159, 839, 440, 0, 22, 296, 288, 137, 0, 253, 236, 316, 376, 0, 498, 399, 213, 115, 0, 401, 380, 46, 331, 686, 0, 324, 332, 142, 44, 339, 0, 383, 294, 184, 424, 0, 18, 295, 415, 54, 0, 203, 57, 199, 189, 614, 0, 209, 55, 442, 0, 428, 73, 215, 11, 0, 320, 76, 8, 451, 0, 290, 219, 23, 791, 0, 382, 278, 237, 160, 126, 0, 156, 344, 321, 220, 75, 0, 314, 389, 94, 62, 0, 109, 221, 416, 230, 0, 133, 408, 79, 123, 398, 0, 108, 163, 34, 96, 342, 0, 394, 326, 238, 252, 205, 0, 886, 214, 353, 432, 140, 0, 694, 168, 309, 358, 25, 0, 393, 132, 375, 355, 0, 173, 70, 246, 113, 0, 148, 286, 426, 207, 0, 151, 799, 242, 118, 80, 0, 456, 276, 343, 789, 0, 206, 260, 232, 450, 0, 5, 61, 743, 250, 0, 30, 188, 20, 3, 0, 397, 381, 116, 107, 0, 616, 446, 334, 4, 0, 31, 447, 373, 131, 0, 503, 396, 828, 243, 0, 162, 7, 138, 10, 335, 0, 558, 183, 419, 128, 0, 198, 129, 65, 291, 0, 190, 329, 169, 195, 0, 766, 776, 176, 52, 0, 866, 267, 216, 299, 58, 0, 706, 427, 852, 455, 0, 211, 539, 684, 117, 0, 578, 590, 847, 678, 26, 0, 741, 660, 894, 885, 0, 550, 570, 877, 677, 0, 890, 820, 265, 226, 0, 782, 680, 196, 527, 0, 210, 863, 771, 603, 513, 809, 0, 753, 619, 892, 457, 0, 742, 388, 825, 869, 0, 359, 185, 868, 217, 0, 520, 29, 687, 91, 0, 898, 764, 532, 555, 0, 760, 765, 577, 453, 0, 874, 557, 794, 509, 790, 0, 800, 836, 512, 85, 0, 111, 837, 904, 461, 531, 0, 292, 266, 681, 127, 0, 663, 483, 404, 696, 0, 365, 713, 347, 369, 0, 514, 783, 592, 711, 0, 367, 788, 900, 281, 517, 0, 90, 362, 692, 500, 707, 0, 153, 915, 642, 675, 479, 0, 698, 601, 270, 747, 0, 312, 891, 368, 893, 338, 0, 139, 287, 602, 796, 481, 0, 695, 563, 37, 571, 0, 354, 542, 846, 749, 0, 853, 611, 668, 385, 0, 310, 793, 851, 540, 0, 702, 333, 387, 744, 0, 405, 816, 812, 0, 33, 704, 504, 283, 0, 489, 815, 724, 486, 477, 0, 386, 887, 802, 182, 0, 911, 647, 664, 767, 0, 595, 690, 495, 732, 0, 699, 620, 377, 545, 0, 516, 445, 804, 756, 0, 645, 103, 637, 721, 801, 0, 501, 879, 573, 87, 0, 469, 438, 735, 618, 0, 878, 88, 83, 0, 322, 909, 819, 551, 0, 130, 644, 785, 596, 0, 638, 817, 143, 345, 0, 258, 364, 146, 454, 0, 827, 872, 899, 463, 0, 913, 845, 254, 701, 0, 218, 648, 472, 607, 0, 257, 172, 784, 506, 0, 179, 843, 45, 492, 0, 811, 667, 628, 363, 624, 0, 676, 587, 854, 626, 0, 634, 774, 834, 536, 737, 0, 482, 171, 350, 672, 0, 403, 464, 435, 658, 240, 0, 754, 630, 632, 125, 0, 537, 720, 612, 689, 0, 418, 16, 425, 806, 0, 703, 484, 857, 327, 653, 0, 180, 441, 502, 194, 712, 0, 409, 282, 761, 860, 222, 0, 533, 458, 833, 193, 0, 251, 89, 850, 543, 0, 870, 714, 24, 895, 0, 736, 569, 317, 623, 0, 494, 430, 524, 831, 0, 787, 485, 544, 49, 0, 165, 818, 247, 465, 0, 656, 19, 625, 858, 0, 583, 212, 778, 134, 35, 0, 669, 154, 705, 470, 0, 490, 873, 119, 480, 0, 728, 164, 633, 71, 0, 269, 100, 300, 406, 0, 395, 561, 192, 693, 0, 529, 268, 429, 155, 15, 0, 379, 862, 650, 750, 0, 259, 187, 122, 32, 1, 0, 361, 293, 114, 273, 0, 641, 849, 697, 823, 384, 0, 174, 17, 48, 420, 0, 731, 274, 639, 748, 0, 42, 439, 443, 208, 201, 0, 436, 158, 74, 157, 56, 0, 101, 487, 727, 82, 0, 197, 670, 572, 304, 0, 120, 341, 9, 272, 0, 751, 337, 97, 279, 0, 234, 360, 302, 390, 0, 499, 631, 311, 233, 0, 805, 589, 28, 655, 0, 63, 505, 883, 635, 0, 752, 340, 522, 599, 627, 0, 40, 830, 305, 93, 0, 629, 725, 896, 307, 0, 271, 298, 519, 730, 60, 0, 449, 876, 757, 229, 905, 0, 356, 392, 72, 0, 875, 646, 433, 708, 636, 0, 167, 448, 104, 110, 0, 803, 564, 547, 241, 0, 541, 77, 462, 662, 0, 523, 813, 861, 255, 0, 13, 777, 584, 739, 473, 0, 666, 606, 715, 69, 0, 318, 371, 556, 328, 576, 0, 797, 856, 170, 880, 0, 413, 444, 177, 178, 475, 0, 906, 0, 554, 227, 768, 565, 844, 0, 673, 515, 770, 530, 0, 609, 0]</t>
  </si>
  <si>
    <t>[0, 139, 50, 86, 2, 204, 0, 51, 106, 412, 318, 0, 104, 413, 448, 167, 0, 14, 366, 275, 378, 0, 315, 452, 277, 738, 0, 798, 105, 521, 13, 0, 147, 610, 679, 102, 0, 336, 411, 865, 81, 0, 507, 468, 478, 716, 319, 0, 423, 78, 597, 594, 822, 0, 567, 659, 773, 781, 0, 239, 688, 308, 235, 0, 651, 421, 41, 297, 0, 575, 47, 772, 622, 0, 652, 145, 769, 901, 0, 66, 814, 671, 582, 496, 0, 548, 121, 903, 621, 534, 0, 528, 733, 867, 889, 0, 330, 914, 871, 476, 0, 758, 538, 410, 897, 0, 508, 459, 593, 511, 0, 829, 323, 600, 518, 0, 775, 615, 467, 882, 0, 549, 763, 888, 152, 0, 683, 568, 835, 491, 0, 808, 734, 586, 488, 0, 562, 665, 59, 691, 0, 64, 613, 729, 591, 0, 617, 313, 497, 526, 38, 0, 287, 908, 135, 263, 0, 244, 657, 709, 745, 0, 560, 755, 710, 907, 0, 740, 786, 402, 466, 0, 186, 579, 841, 842, 0, 824, 640, 884, 460, 0, 910, 256, 762, 546, 0, 821, 855, 718, 807, 0, 864, 902, 649, 840, 0, 832, 98, 574, 175, 0, 391, 434, 166, 661, 0, 535, 674, 374, 92, 0, 726, 552, 881, 643, 0, 301, 795, 249, 848, 559, 0, 566, 792, 400, 605, 0, 407, 191, 759, 303, 0, 581, 280, 838, 136, 0, 719, 654, 780, 228, 0, 723, 722, 289, 844, 0, 224, 357, 422, 437, 0, 417, 99, 95, 285, 0, 598, 810, 553, 580, 510, 0, 124, 431, 245, 306, 0, 181, 912, 493, 39, 0, 241, 414, 371, 547, 0, 141, 779, 826, 839, 264, 352, 0, 271, 298, 444, 541, 906, 0, 261, 159, 370, 225, 0, 67, 348, 12, 682, 0, 311, 110, 356, 40, 0, 36, 21, 149, 0, 223, 150, 424, 686, 112, 0, 685, 440, 202, 84, 262, 0, 372, 331, 46, 18, 0, 284, 339, 209, 68, 0, 295, 415, 184, 351, 0, 614, 11, 199, 380, 0, 231, 27, 200, 43, 0, 248, 859, 296, 161, 0, 213, 55, 142, 189, 0, 115, 23, 215, 57, 0, 22, 442, 54, 8, 0, 238, 278, 451, 44, 294, 0, 770, 346, 525, 608, 170, 0, 332, 76, 73, 230, 0, 428, 383, 288, 399, 0, 717, 585, 349, 604, 599, 0, 389, 96, 219, 220, 0, 791, 205, 416, 344, 0, 236, 324, 316, 53, 0, 325, 342, 358, 237, 79, 0, 75, 34, 163, 321, 408, 252, 0, 126, 160, 398, 432, 326, 0, 177, 471, 474, 715, 556, 0, 108, 94, 221, 123, 25, 0, 255, 515, 519, 564, 0, 401, 113, 353, 309, 168, 0, 290, 355, 375, 246, 426, 0, 588, 565, 137, 746, 376, 0, 6, 320, 229, 856, 0, 133, 343, 286, 132, 0, 393, 789, 148, 156, 0, 203, 658, 812, 314, 0, 109, 214, 70, 62, 0, 394, 20, 118, 232, 0, 450, 260, 242, 116, 0, 190, 447, 381, 7, 0, 456, 4, 107, 80, 206, 0, 3, 743, 61, 276, 0, 30, 31, 250, 0, 188, 140, 138, 169, 0, 291, 799, 207, 329, 0, 883, 498, 253, 768, 0, 866, 216, 195, 419, 0, 335, 828, 373, 183, 0, 26, 173, 19, 144, 0, 65, 397, 334, 299, 0, 162, 176, 852, 894, 0, 558, 267, 885, 771, 794, 0, 58, 694, 684, 539, 151, 0, 446, 129, 847, 131, 0, 570, 776, 265, 863, 603, 0, 877, 196, 427, 678, 0, 396, 660, 513, 483, 868, 0, 760, 904, 741, 10, 455, 0, 388, 681, 266, 680, 0, 764, 692, 663, 765, 0, 892, 5, 198, 590, 0, 359, 527, 825, 211, 0, 800, 563, 577, 0, 185, 461, 766, 503, 0, 616, 512, 404, 387, 0, 706, 820, 900, 869, 0, 713, 127, 619, 347, 0, 532, 509, 592, 788, 0, 753, 893, 642, 846, 809, 0, 909, 500, 368, 557, 362, 0, 504, 542, 796, 890, 0, 732, 690, 915, 668, 793, 0, 707, 37, 891, 611, 724, 0, 462, 803, 530, 307, 178, 0, 240, 905, 673, 475, 77, 0, 52, 836, 338, 571, 0, 274, 69, 609, 606, 0, 354, 744, 29, 226, 0, 880, 554, 797, 666, 0, 494, 823, 806, 700, 433, 0, 698, 578, 85, 270, 0, 874, 540, 851, 664, 555, 0, 646, 328, 227, 777, 0, 505, 384, 584, 876, 861, 576, 0, 382, 886, 217, 119, 0, 742, 802, 767, 281, 0, 435, 128, 258, 747, 0, 365, 756, 345, 506, 0, 520, 647, 804, 486, 0, 369, 243, 816, 583, 0, 620, 364, 210, 457, 601, 0, 782, 481, 704, 143, 0, 550, 783, 292, 367, 0, 872, 377, 146, 639, 0, 721, 333, 637, 153, 0, 711, 531, 283, 472, 0, 675, 834, 495, 551, 0, 687, 815, 254, 492, 0, 602, 887, 819, 182, 0, 708, 896, 635, 748, 0, 862, 523, 739, 730, 385, 0, 854, 445, 477, 801, 0, 697, 627, 725, 522, 0, 757, 873, 750, 689, 0, 469, 91, 117, 438, 0, 879, 677, 405, 430, 0, 595, 454, 87, 63, 0, 587, 573, 83, 853, 0, 90, 749, 350, 490, 0, 634, 514, 45, 363, 0, 489, 898, 784, 194, 0, 589, 60, 813, 480, 0, 473, 827, 24, 785, 0, 790, 648, 628, 517, 0, 111, 845, 458, 701, 0, 858, 409, 650, 636, 340, 0, 731, 425, 837, 479, 0, 699, 632, 913, 735, 0, 464, 88, 310, 695, 0, 714, 33, 453, 857, 624, 696, 0, 630, 524, 449, 875, 0, 89, 312, 833, 712, 0, 787, 831, 899, 911, 0, 485, 596, 850, 607, 0, 849, 626, 843, 612, 0, 501, 645, 103, 623, 703, 0, 878, 644, 171, 625, 0, 499, 629, 662, 655, 0, 618, 545, 463, 672, 676, 0, 125, 817, 536, 860, 0, 193, 737, 484, 327, 720, 0, 49, 544, 317, 16, 0, 282, 251, 641, 727, 751, 0, 656, 487, 631, 28, 0, 418, 895, 379, 752, 0, 482, 257, 653, 403, 0, 761, 811, 569, 212, 218, 0, 572, 870, 638, 516, 1, 0, 165, 130, 818, 337, 0, 754, 172, 667, 502, 543, 0, 392, 72, 305, 830, 0, 233, 805, 670, 360, 0, 386, 441, 778, 465, 0, 537, 533, 702, 247, 705, 0, 97, 269, 42, 341, 0, 736, 154, 134, 71, 0, 302, 93, 234, 9, 0, 436, 272, 82, 158, 0, 279, 74, 390, 197, 0, 529, 180, 35, 774, 470, 0, 120, 101, 304, 0, 179, 164, 300, 633, 0, 669, 192, 100, 693, 0, 439, 268, 395, 56, 0, 157, 201, 420, 259, 0, 208, 443, 17, 174, 0, 561, 322, 222, 728, 0, 48, 361, 273, 0, 122, 32, 429, 155, 0, 187, 15, 406, 293, 114, 0]</t>
  </si>
  <si>
    <t>[0, 794, 706, 311, 491, 926, 287, 887, 916, 713, 679, 739, 693, 523, 832, 673, 873, 647, 758, 371, 414, 748, 318, 444, 778, 765, 718, 392, 0, 921, 241, 413, 51, 590, 404, 0, 271, 914, 307, 512, 508, 255, 376, 625, 720, 13, 907, 601, 496, 0, 830, 356, 77, 433, 651, 384, 895, 770, 823, 227, 911, 931, 298, 385, 552, 0, 779, 480, 110, 204, 894, 764, 0, 611, 591, 340, 531, 514, 177, 178, 233, 0, 819, 272, 234, 752, 72, 283, 281, 0, 305, 917, 909, 595, 867, 812, 328, 253, 240, 119, 274, 0, 333, 604, 564, 831, 368, 725, 104, 360, 506, 0, 505, 499, 337, 60, 462, 656, 597, 836, 888, 744, 493, 449, 863, 379, 857, 729, 0, 387, 139, 629, 562, 845, 0, 37, 194, 577, 0, 892, 502, 553, 475, 684, 854, 448, 167, 0, 740, 594, 2, 566, 484, 612, 719, 878, 265, 266, 0, 759, 390, 302, 28, 279, 0, 593, 696, 536, 69, 524, 858, 430, 846, 800, 607, 876, 409, 702, 269, 0, 135, 299, 610, 334, 373, 899, 633, 634, 0, 354, 338, 127, 816, 574, 0, 436, 40, 685, 855, 676, 618, 0, 196, 216, 468, 0, 461, 544, 754, 793, 176, 267, 883, 427, 0, 773, 362, 817, 905, 474, 500, 397, 478, 151, 717, 0, 93, 48, 304, 0, 388, 446, 129, 198, 511, 642, 0, 63, 469, 522, 425, 463, 635, 782, 884, 282, 672, 695, 559, 815, 861, 0, 902, 620, 162, 580, 860, 732, 396, 546, 630, 359, 731, 834, 254, 363, 0, 211, 29, 851, 649, 458, 0, 775, 652, 42, 208, 0, 10, 662, 456, 621, 749, 335, 828, 700, 669, 756, 0, 174, 613, 158, 745, 0, 74, 98, 259, 0, 165, 251, 526, 24, 534, 0, 453, 540, 769, 556, 365, 185, 646, 0, 317, 292, 521, 705, 898, 243, 226, 489, 467, 347, 455, 5, 0, 65, 30, 0, 82, 341, 0, 870, 361, 932, 802, 791, 403, 712, 877, 257, 691, 848, 16, 853, 418, 395, 0, 763, 726, 291, 710, 364, 549, 757, 551, 581, 457, 58, 0, 920, 527, 367, 85, 52, 445, 0, 131, 805, 638, 545, 716, 258, 377, 438, 881, 247, 345, 0, 120, 741, 114, 683, 0, 465, 268, 560, 130, 557, 859, 386, 477, 609, 586, 728, 515, 273, 0, 101, 439, 784, 567, 808, 519, 443, 420, 890, 0, 485, 862, 598, 619, 542, 310, 312, 153, 0, 210, 26, 0, 180, 125, 0, 327, 809, 904, 589, 454, 435, 737, 270, 217, 0, 804, 871, 481, 494, 568, 405, 19, 369, 711, 0, 146, 547, 103, 0, 249, 617, 487, 616, 680, 667, 813, 429, 406, 171, 322, 934, 293, 852, 838, 0, 528, 143, 571, 615, 237, 761, 880, 0, 212, 596, 350, 91, 659, 0, 83, 821, 690, 87, 0, 743, 179, 32, 628, 0, 45, 441, 768, 538, 573, 539, 708, 300, 530, 492, 865, 0, 33, 218, 561, 0, 665, 603, 415, 715, 843, 331, 479, 339, 893, 128, 0, 313, 664, 698, 622, 15, 473, 814, 806, 723, 889, 872, 0, 89, 155, 0, 344, 278, 912, 677, 134, 908, 0, 117, 533, 840, 295, 507, 678, 657, 742, 321, 0, 111, 839, 12, 563, 0, 90, 172, 0, 792, 142, 592, 424, 864, 837, 776, 772, 541, 762, 822, 923, 238, 0, 199, 164, 0, 323, 407, 400, 602, 810, 374, 17, 674, 459, 0, 88, 451, 738, 632, 704, 913, 416, 0, 789, 501, 513, 644, 431, 510, 663, 245, 187, 0, 154, 222, 0, 193, 11, 935, 801, 0, 869, 246, 585, 721, 811, 874, 490, 49, 0, 35, 294, 442, 847, 380, 383, 389, 355, 353, 0, 614, 666, 398, 358, 230, 342, 929, 915, 600, 100, 0, 689, 827, 520, 897, 122, 730, 670, 348, 582, 264, 844, 306, 535, 0, 44, 205, 252, 0, 402, 707, 437, 550, 555, 930, 641, 370, 1, 682, 0, 286, 886, 774, 788, 856, 401, 570, 796, 755, 464, 332, 428, 184, 0, 39, 918, 352, 660, 703, 422, 495, 486, 636, 410, 0, 655, 242, 795, 232, 517, 623, 785, 882, 71, 572, 0, 192, 76, 0, 537, 766, 301, 280, 608, 927, 372, 351, 879, 734, 112, 0, 141, 67, 228, 0, 54, 833, 583, 722, 343, 842, 426, 503, 309, 0, 896, 866, 303, 261, 735, 472, 750, 891, 296, 159, 357, 0, 55, 675, 575, 325, 548, 236, 694, 640, 375, 0, 136, 225, 417, 460, 0, 95, 181, 256, 835, 0, 150, 223, 875, 565, 285, 434, 0, 68, 288, 606, 399, 248, 724, 284, 925, 497, 654, 709, 648, 639, 470, 0, 36, 21, 825, 0, 23, 554, 924, 798, 671, 627, 579, 260, 818, 0, 149, 746, 787, 320, 324, 316, 790, 807, 688, 919, 753, 391, 803, 786, 543, 736, 0, 189, 483, 588, 626, 903, 826, 922, 408, 0, 488, 18, 701, 692, 0, 96, 209, 432, 0, 6, 509, 231, 224, 727, 0, 771, 518, 605, 382, 314, 645, 661, 841, 22, 0, 73, 160, 0, 213, 668, 681, 290, 393, 450, 447, 780, 0, 46, 62, 714, 0, 124, 27, 686, 901, 0, 115, 113, 0, 421, 308, 906, 440, 850, 200, 244, 0, 140, 126, 733, 0, 133, 109, 504, 584, 0, 43, 203, 0, 849, 933, 569, 687, 760, 229, 144, 637, 349, 0, 214, 824, 797, 498, 394, 329, 250, 747, 624, 699, 276, 829, 0, 631, 411, 900, 885, 419, 781, 650, 25, 0, 326, 868, 751, 928, 777, 767, 161, 0, 202, 346, 262, 476, 587, 297, 0, 156, 173, 0, 239, 330, 84, 137, 0, 188, 31, 0, 20, 80, 0, 116, 183, 578, 336, 0, 532, 53, 289, 263, 525, 653, 910, 516, 0, 4, 799, 315, 319, 0, 66, 423, 452, 0, 190, 0, 529, 14, 170, 599, 0, 275, 366, 471, 7, 820, 378, 576, 783, 697, 235, 558, 277, 0, 108, 0, 207, 86, 0, 206, 658, 0, 643, 50, 195, 0, 466, 106, 412, 482, 0, 75, 0, 132, 0, 107, 0, 3, 381, 0, 138, 0, 148, 0, 61, 169, 0, 191, 0, 175, 92, 0, 220, 8, 0, 215, 0, 34, 118, 0, 147, 78, 0, 157, 0, 99, 0, 57, 0, 201, 0, 70, 81, 0, 186, 0, 221, 0, 41, 0, 105, 0, 97, 47, 0, 163, 0, 9, 0, 145, 166, 0, 123, 0, 38, 64, 0, 219, 0, 94, 0, 182, 0, 197, 0, 102, 0, 56, 0, 59, 0, 79, 0, 168, 0, 152, 0, 121, 0]</t>
  </si>
  <si>
    <t>X_n935</t>
  </si>
  <si>
    <t>[0, 731, 29, 90, 542, 0, 851, 705, 258, 481, 91, 711, 83, 0, 211, 198, 456, 551, 435, 547, 871, 0, 540, 367, 549, 716, 737, 87, 454, 589, 350, 690, 821, 881, 0, 556, 804, 710, 128, 405, 494, 538, 573, 479, 0, 453, 619, 312, 310, 768, 596, 300, 708, 539, 218, 659, 365, 292, 604, 528, 0, 511, 369, 904, 638, 270, 568, 88, 521, 0, 458, 153, 649, 388, 354, 502, 0, 33, 172, 467, 0, 773, 700, 457, 757, 364, 545, 805, 377, 117, 243, 726, 0, 763, 146, 210, 347, 0, 834, 185, 905, 621, 581, 809, 898, 769, 0, 816, 468, 26, 52, 455, 0, 669, 335, 489, 226, 291, 131, 717, 574, 831, 0, 359, 478, 397, 544, 793, 754, 474, 580, 217, 756, 0, 110, 37, 564, 0, 920, 85, 30, 732, 0, 553, 902, 267, 662, 817, 10, 446, 620, 630, 642, 0, 127, 362, 194, 0, 196, 427, 883, 610, 612, 719, 334, 373, 500, 396, 634, 0, 480, 845, 562, 338, 461, 546, 5, 860, 749, 828, 438, 646, 0, 404, 740, 475, 594, 633, 899, 299, 566, 484, 739, 854, 139, 629, 0, 368, 266, 265, 151, 878, 713, 448, 684, 894, 926, 718, 506, 0, 775, 341, 241, 887, 832, 693, 523, 679, 167, 387, 706, 0, 283, 830, 287, 413, 916, 673, 414, 921, 72, 0, 611, 204, 216, 725, 233, 779, 0, 333, 590, 51, 748, 758, 601, 778, 765, 496, 392, 311, 0, 794, 356, 491, 318, 135, 647, 444, 271, 305, 0, 360, 914, 433, 895, 376, 720, 873, 104, 0, 176, 907, 371, 625, 307, 508, 514, 911, 931, 552, 855, 390, 0, 752, 499, 337, 591, 178, 512, 255, 651, 823, 227, 656, 449, 340, 857, 685, 0, 652, 269, 597, 240, 384, 253, 770, 462, 328, 812, 298, 385, 77, 505, 0, 13, 177, 917, 302, 0, 40, 867, 836, 274, 888, 800, 846, 876, 409, 0, 682, 234, 2, 531, 595, 909, 815, 0, 60, 863, 536, 493, 744, 524, 858, 430, 607, 425, 522, 469, 696, 379, 593, 395, 745, 0, 69, 24, 463, 695, 861, 0, 613, 702, 251, 853, 282, 119, 534, 557, 712, 418, 559, 728, 361, 0, 741, 268, 932, 791, 403, 859, 884, 257, 691, 848, 672, 526, 63, 0, 890, 48, 158, 729, 0, 764, 304, 165, 635, 782, 477, 386, 877, 560, 802, 567, 515, 259, 0, 683, 743, 622, 934, 322, 406, 89, 609, 586, 784, 465, 279, 436, 0, 852, 698, 723, 628, 616, 171, 293, 617, 808, 273, 870, 420, 838, 0, 281, 676, 664, 114, 550, 827, 644, 563, 374, 98, 0, 125, 16, 0, 402, 674, 519, 510, 806, 487, 680, 667, 813, 429, 111, 618, 0, 459, 689, 513, 407, 520, 431, 663, 814, 155, 439, 759, 272, 0, 179, 32, 313, 0, 602, 810, 1, 473, 245, 897, 535, 422, 889, 0, 400, 437, 866, 357, 608, 306, 930, 555, 641, 264, 122, 249, 0, 15, 174, 0, 180, 443, 208, 0, 39, 839, 730, 348, 707, 636, 0, 896, 703, 136, 844, 12, 495, 819, 0, 130, 166, 323, 0, 892, 191, 766, 631, 501, 0, 370, 670, 734, 879, 582, 187, 0, 17, 64, 0, 301, 141, 660, 303, 285, 256, 486, 0, 244, 280, 228, 606, 288, 296, 351, 159, 0, 112, 891, 750, 472, 372, 746, 394, 309, 0, 95, 927, 124, 0, 460, 825, 225, 223, 352, 0, 82, 0, 410, 175, 181, 0, 835, 434, 709, 417, 67, 150, 0, 101, 81, 0, 68, 399, 320, 316, 735, 0, 38, 47, 0, 918, 261, 324, 149, 36, 727, 872, 0, 99, 284, 423, 0, 421, 648, 654, 565, 724, 248, 841, 22, 0, 21, 790, 661, 645, 314, 382, 637, 807, 787, 0, 868, 92, 229, 137, 875, 0, 200, 688, 605, 919, 753, 509, 925, 0, 639, 803, 391, 767, 687, 760, 349, 850, 440, 518, 231, 43, 497, 0, 786, 933, 224, 569, 346, 263, 262, 777, 308, 751, 686, 736, 0, 849, 297, 203, 27, 0, 145, 168, 0, 543, 170, 6, 0, 901, 476, 289, 144, 906, 771, 0, 503, 336, 239, 653, 928, 161, 0, 470, 319, 587, 330, 525, 558, 576, 783, 235, 697, 53, 0, 516, 452, 532, 599, 84, 277, 910, 426, 0, 411, 315, 78, 14, 799, 829, 0, 202, 643, 378, 529, 820, 471, 0, 326, 66, 366, 466, 412, 381, 275, 842, 286, 922, 408, 0, 789, 655, 658, 482, 86, 578, 900, 780, 242, 733, 0, 626, 343, 818, 20, 169, 0, 105, 537, 0, 147, 0, 186, 0, 246, 118, 70, 0, 903, 116, 195, 0, 353, 886, 61, 0, 826, 588, 355, 7, 0, 375, 666, 398, 183, 50, 0, 41, 0, 106, 885, 0, 102, 572, 488, 0, 138, 781, 419, 250, 0, 321, 252, 148, 0, 869, 113, 260, 329, 650, 276, 447, 0, 207, 31, 0, 692, 795, 4, 0, 913, 584, 699, 107, 0, 140, 80, 0, 188, 358, 704, 614, 416, 0, 132, 0, 206, 0, 96, 123, 0, 232, 450, 3, 747, 624, 0, 517, 714, 504, 797, 190, 498, 0, 585, 156, 393, 824, 133, 0, 483, 681, 668, 173, 290, 579, 0, 237, 160, 62, 722, 0, 278, 205, 214, 0, 25, 0, 801, 230, 583, 694, 671, 798, 924, 109, 0, 389, 640, 108, 774, 0, 935, 833, 675, 575, 325, 755, 464, 570, 401, 236, 796, 856, 548, 554, 627, 342, 0, 34, 344, 0, 75, 238, 701, 0, 632, 788, 882, 126, 929, 785, 623, 0, 912, 811, 380, 213, 332, 915, 428, 923, 0, 657, 837, 874, 847, 294, 442, 721, 600, 383, 76, 0, 792, 678, 490, 18, 822, 738, 0, 451, 295, 592, 843, 331, 864, 424, 541, 115, 762, 0, 742, 73, 772, 776, 339, 715, 880, 0, 492, 28, 0, 761, 677, 8, 0, 11, 209, 507, 0, 220, 212, 0, 615, 23, 893, 533, 865, 0, 54, 415, 571, 908, 0, 840, 46, 222, 0, 603, 189, 561, 530, 345, 0, 199, 164, 0, 247, 598, 441, 44, 0, 862, 327, 184, 0, 55, 665, 0, 193, 0, 142, 527, 0, 71, 317, 0, 134, 485, 0, 192, 445, 0, 154, 129, 0, 35, 254, 0, 103, 363, 0, 215, 0, 100, 0, 49, 0, 45, 0, 143, 0, 57, 0, 19, 577, 0, 221, 0, 58, 0, 65, 162, 0, 97, 0, 79, 0, 93, 0, 59, 0, 120, 0, 9, 0, 197, 0, 163, 0, 152, 0, 219, 0, 94, 0, 74, 0, 157, 0, 432, 182, 0, 56, 0, 42, 0, 201, 0, 121, 0]</t>
  </si>
  <si>
    <t>[0, 312, 804, 542, 768, 596, 538, 821, 573, 539, 164, 708, 300, 441, 327, 0, 920, 367, 881, 481, 454, 737, 435, 87, 405, 547, 350, 871, 659, 310, 0, 247, 172, 690, 218, 893, 479, 530, 0, 619, 192, 561, 415, 533, 492, 603, 507, 912, 677, 657, 0, 763, 521, 898, 711, 494, 568, 589, 146, 258, 716, 364, 270, 638, 805, 904, 809, 467, 0, 715, 295, 592, 424, 843, 339, 35, 598, 862, 665, 0, 527, 33, 83, 0, 556, 705, 438, 243, 369, 128, 549, 710, 455, 669, 0, 540, 90, 377, 545, 757, 551, 581, 580, 291, 489, 511, 0, 769, 726, 88, 226, 457, 621, 347, 0, 453, 91, 52, 749, 292, 646, 0, 445, 365, 117, 335, 828, 851, 649, 502, 0, 756, 700, 85, 26, 474, 456, 860, 0, 458, 100, 331, 837, 541, 678, 792, 278, 908, 865, 0, 362, 732, 662, 58, 198, 731, 0, 29, 210, 500, 0, 254, 154, 222, 840, 0, 642, 359, 546, 396, 905, 19, 544, 754, 878, 0, 834, 217, 373, 610, 793, 397, 478, 817, 630, 338, 0, 354, 461, 902, 468, 620, 131, 334, 899, 566, 574, 0, 773, 634, 388, 717, 5, 719, 612, 484, 299, 0, 831, 404, 816, 427, 883, 633, 267, 30, 446, 345, 0, 387, 553, 265, 684, 713, 679, 739, 854, 10, 564, 0, 65, 129, 594, 266, 740, 0, 845, 629, 475, 162, 216, 523, 693, 832, 0, 562, 196, 211, 333, 0, 892, 368, 176, 448, 673, 916, 725, 590, 233, 706, 0, 577, 194, 44, 0, 127, 110, 752, 0, 880, 761, 485, 363, 317, 212, 571, 615, 416, 701, 321, 0, 764, 151, 887, 413, 894, 926, 491, 480, 436, 0, 37, 204, 0, 604, 185, 281, 0, 360, 392, 241, 287, 139, 283, 794, 528, 692, 0, 682, 830, 104, 748, 873, 647, 414, 765, 718, 356, 0, 611, 720, 758, 318, 51, 921, 496, 311, 0, 759, 855, 505, 271, 778, 167, 234, 279, 819, 432, 0, 601, 914, 444, 625, 2, 779, 0, 103, 451, 776, 864, 772, 738, 632, 913, 237, 742, 0, 77, 907, 371, 651, 376, 255, 512, 307, 911, 917, 499, 341, 0, 506, 135, 508, 433, 823, 253, 770, 227, 385, 552, 0, 857, 909, 931, 177, 13, 0, 337, 591, 531, 836, 888, 240, 384, 895, 656, 462, 328, 812, 514, 178, 298, 305, 272, 0, 153, 344, 0, 49, 935, 375, 572, 488, 0, 72, 302, 208, 0, 618, 676, 304, 40, 775, 0, 28, 340, 685, 729, 0, 199, 11, 923, 0, 595, 60, 867, 597, 274, 858, 430, 524, 744, 493, 815, 390, 0, 238, 801, 762, 294, 847, 811, 874, 490, 142, 0, 652, 425, 607, 800, 846, 876, 409, 469, 696, 63, 536, 863, 449, 0, 8, 96, 353, 614, 0, 45, 47, 537, 0, 71, 205, 252, 0, 704, 184, 822, 442, 721, 380, 383, 358, 666, 733, 0, 269, 379, 69, 24, 791, 0, 134, 0, 193, 76, 398, 0, 593, 702, 672, 526, 251, 522, 853, 282, 534, 119, 463, 635, 884, 782, 257, 848, 0, 869, 826, 215, 0, 789, 903, 588, 389, 788, 428, 600, 332, 46, 230, 0, 209, 915, 755, 464, 570, 401, 796, 548, 833, 309, 0, 23, 623, 342, 722, 585, 246, 0, 143, 872, 0, 55, 0, 115, 882, 929, 785, 583, 774, 355, 626, 922, 0, 54, 0, 42, 48, 838, 0, 189, 889, 743, 403, 712, 877, 691, 418, 559, 745, 0, 73, 160, 0, 213, 325, 856, 236, 924, 671, 554, 575, 640, 0, 75, 0, 82, 861, 613, 439, 890, 0, 165, 695, 560, 609, 557, 859, 386, 477, 567, 741, 459, 0, 313, 268, 586, 322, 680, 667, 813, 429, 406, 111, 802, 395, 465, 0, 93, 361, 784, 420, 0, 113, 126, 0, 18, 0, 501, 674, 519, 870, 515, 728, 616, 934, 130, 932, 0, 158, 89, 443, 0, 483, 517, 627, 798, 108, 694, 675, 0, 74, 114, 273, 0, 808, 171, 125, 0, 16, 32, 293, 563, 259, 0, 683, 155, 180, 0, 220, 62, 0, 25, 681, 290, 668, 797, 824, 232, 0, 101, 174, 0, 714, 214, 579, 393, 504, 498, 394, 781, 250, 329, 450, 584, 343, 0, 408, 503, 655, 886, 132, 0, 34, 81, 0, 157, 689, 0, 98, 487, 179, 806, 374, 410, 0, 402, 249, 698, 617, 852, 664, 17, 0, 622, 15, 473, 814, 245, 663, 510, 628, 495, 323, 0, 57, 0, 187, 723, 644, 810, 407, 766, 0, 400, 602, 431, 670, 730, 839, 1, 0, 242, 276, 447, 747, 624, 699, 260, 148, 0, 122, 12, 348, 582, 264, 707, 0, 109, 156, 795, 0, 39, 897, 827, 555, 866, 486, 636, 0, 326, 421, 437, 930, 641, 370, 734, 879, 112, 0, 133, 173, 650, 818, 0, 191, 460, 631, 0, 286, 658, 885, 419, 31, 140, 0, 95, 92, 0, 513, 535, 844, 159, 520, 550, 0, 141, 67, 835, 0, 470, 868, 301, 285, 703, 352, 918, 150, 927, 660, 306, 422, 0, 120, 0, 256, 608, 472, 891, 296, 351, 68, 0, 357, 36, 21, 825, 0, 896, 124, 225, 0, 136, 223, 303, 648, 244, 0, 280, 261, 735, 22, 288, 750, 372, 0, 99, 434, 751, 319, 426, 0, 228, 417, 200, 284, 906, 736, 516, 0, 709, 27, 149, 875, 654, 0, 181, 224, 803, 297, 0, 565, 925, 724, 746, 248, 316, 399, 606, 320, 841, 645, 314, 382, 807, 43, 497, 0, 80, 183, 900, 842, 0, 509, 753, 787, 324, 6, 661, 790, 688, 605, 850, 391, 543, 686, 0, 190, 578, 799, 336, 639, 0, 107, 780, 829, 849, 0, 20, 118, 0, 188, 116, 0, 4, 381, 910, 315, 411, 0, 61, 78, 901, 0, 206, 471, 366, 239, 727, 0, 66, 599, 529, 275, 0, 84, 349, 919, 637, 229, 760, 777, 653, 423, 532, 0, 207, 86, 0, 186, 0, 482, 138, 466, 820, 452, 0, 161, 771, 933, 0, 169, 195, 412, 378, 0, 643, 106, 330, 476, 308, 0, 202, 928, 587, 0, 50, 14, 0, 53, 137, 518, 0, 3, 576, 783, 235, 558, 277, 0, 786, 262, 767, 569, 231, 440, 687, 170, 346, 289, 263, 697, 525, 0, 144, 0, 203, 175, 0, 7, 64, 0, 221, 0, 182, 0, 163, 0, 219, 0, 94, 0, 70, 145, 0, 168, 0, 123, 0, 197, 0, 105, 0, 9, 0, 147, 166, 0, 41, 0, 56, 0, 152, 0, 97, 0, 102, 0, 79, 0, 201, 0, 121, 0, 59, 0, 38, 0]</t>
  </si>
  <si>
    <t>[0, 596, 304, 326, 376, 333, 6, 164, 61, 36, 37, 0, 397, 75, 54, 367, 129, 286, 116, 256, 271, 22, 0, 123, 279, 349, 437, 438, 354, 140, 45, 231, 132, 0, 369, 447, 130, 323, 308, 179, 351, 106, 228, 60, 0, 468, 223, 423, 131, 72, 68, 337, 295, 204, 322, 0, 291, 203, 151, 178, 292, 93, 411, 263, 407, 97, 0, 199, 51, 448, 82, 335, 73, 419, 91, 290, 427, 0, 905, 220, 469, 434, 174, 445, 156, 133, 115, 90, 0, 288, 410, 180, 135, 28, 158, 59, 296, 380, 342, 0, 343, 314, 800, 341, 439, 44, 236, 285, 435, 187, 0, 214, 421, 664, 619, 15, 799, 222, 593, 303, 417, 0, 492, 5, 219, 234, 77, 741, 31, 543, 162, 403, 0, 238, 402, 86, 871, 627, 496, 854, 892, 825, 704, 0, 899, 914, 678, 832, 665, 484, 624, 388, 540, 117, 0, 375, 620, 897, 930, 947, 750, 721, 769, 208, 490, 0, 660, 41, 418, 894, 483, 670, 656, 561, 777, 557, 0, 161, 617, 521, 491, 481, 864, 546, 768, 534, 810, 0, 858, 416, 366, 19, 74, 310, 379, 394, 275, 201, 0, 79, 260, 503, 605, 374, 522, 615, 526, 715, 609, 0, 248, 152, 851, 216, 529, 857, 888, 239, 794, 478, 0, 69, 836, 673, 307, 737, 756, 309, 916, 579, 630, 0, 776, 431, 167, 613, 588, 896, 789, 699, 774, 92, 0, 450, 444, 641, 38, 46, 681, 677, 565, 488, 840, 0, 393, 683, 339, 604, 592, 870, 790, 632, 953, 753, 0, 414, 18, 735, 377, 406, 1, 644, 94, 956, 255, 0, 867, 717, 798, 252, 920, 498, 675, 574, 771, 612, 0, 608, 146, 686, 515, 197, 883, 682, 66, 40, 928, 0, 713, 121, 371, 237, 820, 940, 209, 336, 264, 232, 0, 919, 254, 300, 452, 10, 320, 736, 541, 24, 633, 0, 611, 654, 729, 420, 329, 463, 118, 221, 246, 281, 0, 944, 563, 805, 210, 328, 398, 43, 245, 299, 586, 0, 695, 283, 949, 925, 139, 224, 104, 196, 101, 569, 0, 185, 728, 200, 797, 942, 583, 312, 707, 802, 65, 0, 472, 672, 837, 775, 922, 663, 943, 173, 778, 629, 0, 430, 839, 685, 284, 278, 719, 381, 625, 821, 709, 0, 21, 501, 642, 267, 409, 226, 150, 855, 538, 645, 0, 109, 692, 785, 107, 886, 511, 931, 727, 227, 552, 0, 311, 189, 415, 477, 52, 457, 384, 340, 25, 451, 0, 829, 513, 144, 803, 723, 497, 531, 703, 898, 954, 0, 244, 879, 770, 607, 841, 119, 191, 11, 814, 693, 0, 482, 84, 743, 495, 646, 461, 647, 373, 924, 517, 0, 767, 730, 781, 796, 951, 590, 500, 827, 937, 520, 0, 887, 877, 585, 493, 659, 889, 399, 696, 833, 903, 0, 948, 780, 392, 856, 471, 113, 298, 724, 757, 872, 0, 165, 182, 262, 400, 137, 316, 241, 141, 100, 455, 0, 813, 907, 766, 177, 250, 313, 242, 55, 467, 102, 0, 502, 847, 669, 505, 194, 170, 111, 559, 321, 103, 0, 58, 249, 443, 387, 172, 253, 157, 297, 396, 946, 0, 826, 361, 462, 370, 432, 760, 240, 301, 128, 243, 0, 466, 125, 50, 48, 198, 30, 184, 440, 126, 353, 0, 610, 154, 175, 99, 634, 265, 548, 831, 382, 486, 0, 576, 701, 429, 71, 122, 706, 350, 453, 913, 551, 0, 895, 27, 514, 276, 20, 273, 166, 465, 35, 816, 0, 900, 842, 395, 39, 324, 218, 884, 3, 186, 809, 0, 567, 422, 365, 475, 202, 364, 401, 317, 233, 63, 0, 662, 763, 834, 915, 881, 904, 81, 694, 570, 346, 0, 862, 460, 153, 149, 83, 8, 205, 338, 225, 859, 0, 494, 424, 134, 7, 442, 88, 145, 78, 318, 293, 0, 718, 674, 282, 211, 23, 358, 85, 671, 259, 363, 0, 2, 428, 188, 120, 404, 650, 474, 168, 378, 537, 0, 882, 4, 277, 325, 33, 87, 12, 456, 545, 714, 0, 819, 626, 906, 716, 811, 893, 464, 190, 266, 580, 0, 127, 251, 261, 306, 70, 270, 110, 138, 163, 449, 0, 258, 950, 744, 391, 257, 408, 95, 319, 539, 547, 0, 912, 873, 788, 287, 544, 458, 652, 89, 327, 747, 0, 525, 684, 147, 413, 359, 16, 155, 533, 14, 62, 0, 56, 352, 176, 230, 571, 192, 454, 657, 830, 386, 0, 489, 193, 334, 614, 356, 143, 637, 426, 758, 553, 0, 136, 878, 487, 519, 572, 739, 600, 509, 742, 651, 0, 934, 638, 818, 918, 621, 908, 618, 47, 528, 441, 0, 838, 573, 746, 294, 76, 527, 555, 923, 599, 712, 0, 582, 425, 57, 390, 368, 235, 436, 516, 510, 96, 0, 655, 680, 485, 389, 726, 648, 733, 761, 635, 272, 0, 330, 508, 542, 160, 473, 476, 357, 385, 289, 577, 0, 823, 171, 939, 512, 927, 812, 801, 787, 302, 911, 0, 105, 32, 711, 846, 347, 362, 34, 42, 181, 459, 0, 661, 860, 808, 783, 755, 268, 305, 470, 9, 653, 0, 700, 148, 558, 850, 891, 532, 853, 601, 725, 589, 0, 628, 623, 215, 504, 793, 554, 616, 274, 535, 749, 0, 955, 479, 622, 697, 875, 631, 752, 765, 639, 560, 0, 355, 636, 80, 549, 344, 213, 345, 587, 782, 195, 0, 941, 668, 866, 708, 865, 863, 844, 602, 518, 732, 0, 446, 849, 909, 506, 566, 740, 247, 332, 405, 29, 0, 584, 720, 815, 124, 269, 594, 142, 917, 331, 217, 0, 786, 835, 710, 499, 112, 433, 550, 67, 691, 885, 0, 17, 688, 372, 64, 360, 845, 212, 206, 738, 773, 0, 575, 880, 722, 536, 932, 568, 564, 114, 315, 824, 0, 643, 523, 822, 817, 754, 676, 562, 759, 666, 480, 0, 108, 751, 874, 606, 807, 945, 705, 784, 556, 921, 0, 183, 804, 745, 98, 207, 26, 690, 926, 734, 348, 0, 49, 792, 667, 731, 687, 578, 169, 861, 0, 910, 530, 779, 603, 591, 933, 698, 938, 0, 764, 772, 53, 936, 597, 658, 902, 852, 843, 524, 0, 581, 595, 598, 806, 901, 762, 791, 952, 689, 13, 0, 649, 828, 929, 748, 280, 876, 935, 795, 507, 890, 0, 702, 848, 679, 412, 640, 229, 383, 868, 869, 159, 0]</t>
  </si>
  <si>
    <t>X_n956</t>
  </si>
  <si>
    <t>[0, 58, 22, 140, 396, 946, 148, 217, 331, 348, 49, 0, 165, 349, 131, 93, 815, 269, 749, 355, 636, 786, 0, 700, 96, 507, 54, 203, 337, 308, 6, 416, 858, 0, 643, 938, 183, 589, 830, 466, 451, 61, 376, 366, 0, 340, 415, 36, 596, 917, 584, 844, 702, 835, 386, 0, 720, 535, 91, 130, 292, 178, 447, 468, 304, 189, 0, 885, 868, 578, 124, 123, 333, 106, 116, 279, 311, 0, 159, 861, 792, 383, 725, 127, 567, 394, 45, 286, 0, 249, 297, 182, 19, 438, 164, 75, 492, 840, 142, 0, 56, 710, 603, 523, 169, 594, 423, 129, 74, 25, 0, 17, 890, 591, 581, 649, 869, 105, 494, 275, 256, 0, 628, 698, 933, 661, 229, 848, 510, 253, 477, 37, 0, 602, 822, 667, 560, 910, 595, 679, 400, 231, 437, 0, 274, 754, 598, 443, 157, 262, 384, 310, 132, 228, 0, 446, 751, 860, 828, 640, 176, 657, 50, 379, 271, 0, 666, 524, 795, 352, 172, 141, 316, 137, 52, 201, 0, 734, 480, 731, 530, 454, 198, 455, 241, 457, 387, 0, 575, 817, 606, 935, 192, 353, 364, 202, 100, 125, 0, 518, 108, 926, 874, 67, 571, 317, 401, 365, 48, 0, 676, 779, 791, 689, 876, 929, 230, 422, 126, 30, 0, 184, 440, 233, 251, 748, 13, 80, 806, 504, 687, 0, 880, 865, 941, 112, 433, 550, 412, 88, 442, 475, 0, 863, 849, 562, 762, 764, 824, 804, 424, 134, 63, 0, 655, 850, 708, 955, 759, 691, 110, 138, 78, 318, 0, 934, 215, 807, 901, 952, 499, 70, 7, 145, 293, 0, 554, 136, 823, 668, 843, 280, 195, 270, 163, 449, 0, 558, 793, 788, 882, 939, 902, 516, 425, 306, 261, 0, 742, 747, 89, 525, 652, 485, 272, 171, 639, 623, 0, 582, 57, 32, 772, 852, 909, 808, 878, 572, 327, 0, 509, 626, 739, 508, 487, 553, 866, 773, 436, 459, 0, 600, 838, 573, 932, 690, 711, 738, 347, 235, 390, 0, 258, 570, 287, 680, 635, 542, 601, 782, 34, 368, 0, 181, 98, 53, 532, 160, 891, 746, 638, 519, 950, 0, 906, 544, 458, 479, 921, 568, 936, 362, 42, 846, 0, 744, 684, 547, 658, 556, 213, 212, 345, 206, 587, 0, 330, 873, 765, 697, 722, 597, 26, 360, 845, 745, 0, 881, 537, 716, 818, 512, 783, 622, 927, 344, 207, 0, 346, 758, 712, 473, 853, 536, 653, 64, 549, 315, 0, 378, 718, 489, 631, 945, 564, 405, 9, 114, 784, 0, 915, 694, 904, 81, 186, 809, 389, 755, 506, 705, 0, 616, 763, 895, 4, 599, 875, 752, 688, 332, 29, 0, 372, 761, 555, 76, 294, 714, 3, 576, 382, 486, 0, 732, 651, 444, 450, 223, 179, 351, 354, 326, 367, 0, 912, 834, 551, 701, 453, 862, 621, 527, 733, 812, 0, 819, 842, 913, 923, 726, 577, 305, 470, 911, 566, 0, 767, 872, 831, 580, 193, 918, 357, 247, 740, 268, 0, 426, 539, 334, 143, 528, 441, 302, 787, 801, 648, 0, 908, 289, 614, 356, 2, 811, 859, 243, 877, 629, 0, 218, 33, 266, 319, 95, 533, 618, 476, 47, 385, 0, 847, 520, 766, 321, 71, 338, 413, 359, 14, 62, 0, 545, 155, 408, 428, 325, 259, 429, 103, 102, 903, 0, 826, 796, 11, 669, 128, 350, 39, 87, 190, 257, 0, 951, 770, 191, 122, 456, 120, 188, 16, 671, 363, 0, 502, 590, 548, 324, 816, 168, 464, 893, 225, 884, 0, 517, 827, 500, 505, 706, 211, 23, 277, 12, 85, 0, 730, 879, 482, 642, 381, 538, 531, 898, 833, 693, 0, 887, 886, 144, 757, 170, 559, 634, 35, 460, 404, 0, 727, 803, 814, 585, 493, 177, 514, 205, 282, 650, 0, 821, 625, 278, 841, 724, 111, 99, 8, 674, 358, 0, 692, 954, 497, 775, 501, 399, 119, 166, 474, 265, 0, 709, 703, 696, 194, 149, 465, 83, 301, 467, 937, 0, 513, 723, 719, 101, 607, 855, 889, 924, 361, 273, 0, 153, 175, 20, 370, 780, 284, 569, 21, 511, 785, 0, 907, 240, 276, 242, 250, 856, 196, 925, 805, 672, 0, 107, 659, 55, 432, 113, 84, 267, 139, 735, 663, 0, 839, 583, 210, 121, 328, 743, 392, 471, 462, 760, 0, 837, 797, 94, 406, 281, 104, 409, 647, 373, 154, 0, 943, 922, 377, 264, 150, 226, 461, 313, 298, 395, 0, 728, 633, 644, 254, 224, 245, 495, 646, 27, 391, 0, 802, 472, 586, 299, 420, 43, 398, 24, 232, 956, 0, 707, 563, 729, 329, 463, 221, 246, 632, 608, 200, 0, 944, 118, 736, 820, 320, 252, 798, 717, 146, 18, 0, 942, 371, 541, 10, 237, 940, 452, 1, 753, 490, 0, 685, 654, 686, 300, 336, 209, 515, 197, 883, 630, 0, 949, 920, 92, 40, 66, 683, 478, 609, 776, 79, 0, 414, 794, 870, 675, 682, 574, 604, 930, 393, 248, 0, 312, 592, 771, 339, 307, 309, 431, 953, 375, 69, 0, 543, 31, 161, 152, 208, 260, 896, 737, 928, 283, 0, 867, 503, 491, 699, 774, 612, 790, 522, 579, 931, 0, 255, 660, 851, 605, 167, 756, 789, 656, 673, 498, 0, 238, 534, 768, 857, 836, 864, 526, 916, 611, 919, 0, 173, 713, 715, 615, 613, 588, 239, 481, 810, 162, 0, 695, 227, 645, 529, 374, 777, 888, 670, 483, 435, 0, 778, 65, 781, 546, 561, 894, 418, 174, 741, 187, 0, 677, 721, 216, 521, 624, 484, 180, 288, 220, 77, 0, 641, 681, 430, 244, 552, 829, 109, 610, 948, 813, 0, 469, 832, 665, 897, 947, 769, 557, 617, 46, 403, 0, 38, 41, 750, 388, 620, 914, 496, 402, 445, 90, 0, 5, 219, 234, 871, 540, 627, 678, 854, 214, 51, 0, 97, 410, 285, 15, 799, 222, 593, 892, 825, 117, 0, 565, 899, 86, 704, 664, 619, 421, 303, 434, 905, 0, 185, 900, 662, 147, 637, 0, 199, 158, 380, 296, 59, 417, 439, 44, 236, 343, 0, 156, 135, 314, 341, 800, 28, 342, 419, 290, 73, 0, 72, 323, 411, 263, 335, 133, 82, 115, 448, 407, 0, 291, 0, 60, 369, 68, 151, 427, 295, 322, 204, 397, 488, 0]</t>
  </si>
  <si>
    <t>[0, 264, 254, 729, 686, 463, 329, 420, 495, 409, 150, 0, 377, 146, 717, 682, 592, 604, 820, 736, 118, 541, 0, 406, 798, 300, 452, 320, 237, 940, 515, 675, 632, 0, 339, 771, 574, 883, 197, 10, 209, 246, 121, 633, 0, 546, 768, 673, 66, 774, 737, 790, 794, 608, 94, 0, 644, 1, 252, 40, 92, 699, 612, 683, 307, 483, 0, 232, 281, 371, 221, 870, 656, 670, 534, 756, 588, 0, 654, 805, 210, 398, 43, 245, 299, 646, 101, 607, 0, 283, 336, 928, 498, 561, 894, 777, 239, 916, 79, 0, 611, 920, 613, 896, 789, 857, 888, 836, 864, 630, 0, 944, 925, 328, 224, 104, 226, 461, 471, 856, 392, 0, 18, 260, 529, 216, 615, 167, 374, 418, 624, 484, 0, 829, 735, 393, 953, 522, 309, 481, 897, 665, 496, 0, 956, 431, 478, 579, 557, 605, 526, 491, 388, 832, 0, 430, 867, 776, 609, 715, 503, 521, 930, 947, 678, 0, 46, 414, 753, 617, 851, 721, 620, 540, 41, 152, 0, 695, 248, 208, 769, 871, 914, 627, 854, 892, 593, 0, 227, 837, 719, 139, 24, 586, 267, 743, 84, 785, 0, 728, 200, 797, 663, 278, 196, 855, 924, 538, 625, 0, 681, 919, 490, 161, 660, 899, 117, 750, 222, 15, 0, 65, 942, 569, 284, 381, 889, 373, 313, 493, 803, 0, 641, 255, 31, 238, 421, 704, 825, 799, 59, 296, 0, 949, 563, 501, 642, 21, 723, 511, 513, 645, 730, 0, 713, 312, 685, 583, 922, 841, 399, 531, 497, 931, 0, 107, 672, 647, 113, 298, 177, 780, 696, 814, 827, 0, 898, 119, 724, 659, 250, 55, 467, 757, 951, 847, 0, 948, 709, 886, 590, 833, 770, 821, 775, 707, 802, 0, 543, 69, 402, 86, 664, 619, 417, 303, 380, 158, 0, 565, 162, 375, 810, 285, 44, 439, 28, 91, 419, 0, 517, 954, 500, 11, 482, 879, 727, 472, 943, 552, 0, 109, 887, 796, 877, 191, 585, 703, 144, 693, 173, 0, 907, 766, 505, 170, 361, 462, 242, 194, 781, 610, 0, 187, 435, 214, 236, 341, 800, 342, 314, 174, 469, 0, 219, 220, 741, 180, 156, 135, 335, 73, 290, 411, 0, 97, 90, 133, 434, 410, 343, 445, 77, 403, 38, 0, 102, 111, 276, 370, 432, 760, 240, 937, 520, 826, 0, 486, 895, 842, 551, 502, 872, 903, 692, 839, 244, 0, 382, 128, 634, 273, 20, 154, 301, 559, 321, 103, 0, 234, 288, 51, 115, 448, 82, 427, 263, 292, 130, 0, 881, 913, 669, 514, 149, 465, 265, 548, 576, 694, 0, 904, 243, 99, 175, 166, 83, 153, 27, 706, 429, 0, 185, 5, 199, 151, 337, 178, 93, 323, 308, 179, 0, 258, 71, 395, 211, 205, 8, 460, 35, 453, 570, 0, 291, 203, 322, 204, 407, 68, 223, 72, 131, 351, 0, 742, 651, 662, 677, 778, 813, 819, 763, 834, 873, 0, 61, 164, 23, 404, 39, 122, 3, 716, 744, 525, 0, 862, 816, 474, 282, 674, 350, 701, 915, 6, 36, 0, 906, 186, 218, 324, 33, 428, 325, 277, 650, 831, 0, 37, 106, 333, 228, 423, 468, 447, 295, 905, 444, 0, 330, 626, 358, 120, 188, 87, 85, 259, 809, 882, 0, 747, 788, 718, 81, 168, 456, 12, 464, 363, 4, 0, 450, 397, 123, 75, 369, 60, 116, 256, 438, 286, 0, 327, 287, 378, 671, 225, 893, 190, 266, 319, 95, 0, 346, 509, 950, 537, 859, 338, 257, 408, 16, 934, 0, 554, 655, 600, 838, 89, 739, 714, 544, 458, 508, 0, 623, 572, 684, 811, 545, 359, 155, 391, 884, 793, 0, 274, 767, 629, 900, 616, 912, 518, 628, 844, 817, 0, 562, 878, 147, 614, 143, 356, 413, 2, 519, 652, 0, 504, 487, 547, 580, 334, 539, 193, 818, 489, 746, 0, 863, 639, 638, 758, 426, 62, 14, 533, 618, 553, 0, 140, 45, 271, 354, 376, 367, 54, 492, 488, 840, 0, 331, 917, 596, 129, 326, 437, 22, 19, 231, 132, 0, 779, 171, 573, 485, 680, 294, 918, 637, 476, 47, 0, 754, 215, 136, 823, 542, 272, 849, 759, 560, 880, 0, 558, 891, 923, 621, 76, 599, 389, 712, 865, 606, 0, 105, 415, 394, 379, 74, 366, 349, 279, 304, 416, 0, 507, 603, 731, 807, 939, 512, 635, 874, 480, 698, 0, 955, 160, 473, 555, 908, 289, 528, 441, 385, 787, 0, 595, 479, 622, 927, 755, 527, 765, 783, 941, 666, 0, 850, 708, 532, 726, 801, 357, 247, 740, 808, 860, 0, 96, 946, 858, 189, 201, 310, 275, 477, 52, 25, 0, 926, 901, 866, 875, 733, 268, 305, 470, 302, 764, 0, 676, 853, 761, 648, 577, 812, 911, 566, 932, 598, 0, 524, 806, 668, 722, 506, 631, 752, 697, 909, 751, 0, 687, 843, 536, 653, 945, 688, 372, 332, 9, 405, 0, 165, 451, 384, 457, 400, 137, 241, 316, 253, 249, 0, 835, 640, 762, 902, 921, 601, 852, 791, 661, 355, 0, 700, 269, 786, 466, 340, 262, 182, 157, 297, 567, 0, 58, 172, 387, 125, 353, 494, 830, 885, 229, 749, 0, 127, 657, 48, 30, 184, 455, 100, 141, 50, 443, 0, 848, 689, 876, 412, 516, 422, 126, 365, 440, 198, 0, 530, 690, 784, 568, 705, 564, 29, 114, 26, 597, 0, 691, 782, 212, 213, 344, 549, 64, 315, 207, 745, 0, 589, 56, 352, 63, 293, 233, 317, 364, 202, 475, 0, 952, 929, 499, 804, 772, 53, 936, 556, 910, 734, 0, 795, 581, 80, 658, 360, 845, 206, 587, 550, 828, 0, 571, 230, 251, 134, 449, 138, 7, 401, 78, 318, 0, 792, 890, 591, 935, 280, 773, 98, 345, 738, 711, 0, 454, 679, 13, 112, 32, 235, 306, 270, 442, 145, 0, 584, 643, 124, 861, 17, 108, 822, 446, 575, 578, 0, 824, 748, 195, 362, 347, 181, 34, 368, 436, 582, 0, 649, 667, 933, 602, 523, 169, 348, 815, 732, 535, 0, 459, 57, 390, 42, 846, 67, 433, 725, 183, 868, 0, 383, 176, 192, 163, 425, 261, 70, 110, 88, 424, 0, 148, 142, 594, 720, 938, 159, 49, 702, 510, 636, 0, 396, 311, 217, 869, 710, 386, 0]</t>
  </si>
  <si>
    <t>[0, 116, 488, 864, 232, 300, 782, 596, 263, 470, 76, 839, 581, 45, 845, 257, 0, 154, 493, 858, 428, 84, 527, 239, 711, 479, 327, 945, 26, 8, 589, 0, 970, 68, 725, 182, 118, 753, 457, 518, 921, 275, 259, 258, 607, 288, 0, 262, 879, 756, 779, 163, 473, 201, 96, 194, 829, 268, 498, 140, 0, 230, 662, 629, 81, 686, 349, 807, 229, 445, 348, 20, 105, 235, 500, 0, 142, 576, 172, 915, 785, 270, 200, 920, 355, 534, 796, 314, 837, 619, 0, 33, 720, 475, 803, 557, 563, 392, 968, 246, 326, 307, 788, 476, 816, 0, 318, 535, 627, 621, 899, 443, 951, 185, 696, 755, 456, 632, 256, 0, 21, 905, 354, 10, 387, 60, 671, 777, 540, 364, 431, 236, 806, 593, 0, 292, 764, 173, 51, 548, 888, 598, 212, 302, 380, 382, 844, 735, 874, 111, 0, 397, 977, 80, 791, 672, 876, 36, 289, 278, 362, 939, 11, 344, 0, 516, 602, 161, 499, 798, 264, 924, 66, 947, 709, 244, 480, 188, 494, 109, 0, 468, 461, 846, 559, 908, 749, 821, 89, 855, 125, 676, 502, 341, 701, 0, 271, 4, 283, 745, 542, 706, 930, 304, 770, 395, 156, 130, 510, 41, 0, 886, 925, 372, 532, 523, 804, 954, 633, 217, 19, 203, 919, 195, 69, 0, 9, 417, 660, 286, 643, 700, 491, 162, 752, 512, 220, 165, 878, 85, 0, 330, 269, 536, 600, 75, 894, 646, 971, 813, 957, 537, 308, 966, 0, 797, 948, 306, 487, 959, 196, 601, 346, 30, 681, 656, 944, 529, 673, 356, 0, 228, 247, 835, 937, 714, 48, 978, 406, 916, 638, 57, 340, 5, 391, 900, 0, 67, 293, 667, 24, 322, 386, 713, 721, 56, 956, 926, 454, 727, 0, 146, 508, 603, 497, 866, 922, 611, 775, 890, 931, 654, 492, 841, 867, 892, 504, 734, 465, 704, 226, 748, 913, 932, 827, 810, 731, 568, 58, 872, 889, 934, 699, 0, 631, 972, 61, 495, 651, 120, 410, 708, 166, 712, 432, 199, 321, 0, 16, 679, 599, 655, 265, 860, 218, 311, 252, 786, 49, 376, 136, 277, 0, 881, 15, 637, 724, 197, 757, 459, 853, 942, 335, 170, 880, 62, 666, 0, 818, 723, 345, 848, 209, 25, 902, 751, 112, 687, 935, 692, 353, 0, 678, 171, 477, 35, 547, 301, 551, 722, 606, 595, 574, 390, 438, 0, 474, 117, 153, 294, 174, 23, 762, 946, 273, 28, 422, 674, 893, 442, 0, 875, 525, 27, 449, 108, 423, 119, 439, 73, 383, 812, 684, 227, 0, 580, 851, 64, 371, 690, 420, 413, 936, 503, 907, 778, 973, 680, 412, 0, 615, 466, 485, 110, 124, 415, 427, 556, 974, 901, 597, 3, 469, 668, 0, 215, 591, 630, 811, 400, 823, 158, 92, 513, 582, 65, 969, 186, 39, 0, 808, 538, 558, 139, 249, 276, 238, 79, 733, 357, 524, 325, 40, 787, 176, 648, 441, 586, 455, 836, 44, 184, 347, 404, 729, 379, 1, 652, 870, 617, 131, 107, 394, 103, 145, 0, 99, 741, 716, 331, 822, 332, 840, 560, 820, 781, 233, 831, 549, 517, 0, 121, 287, 316, 31, 240, 183, 514, 411, 102, 743, 626, 962, 462, 447, 0, 272, 478, 928, 83, 702, 854, 418, 74, 862, 77, 726, 929, 0, 541, 511, 885, 310, 147, 688, 587, 94, 526, 167, 137, 37, 509, 408, 0, 750, 903, 134, 506, 63, 767, 444, 190, 86, 370, 641, 254, 150, 640, 460, 82, 792, 719, 187, 129, 205, 416, 274, 819, 407, 219, 93, 434, 789, 683, 155, 809, 47, 396, 144, 385, 657, 594, 320, 32, 255, 604, 241, 402, 0, 224, 299, 369, 590, 911, 319, 760, 113, 250, 912, 338, 695, 248, 0, 634, 329, 290, 148, 489, 865, 202, 381, 281, 570, 799, 138, 17, 0, 160, 169, 771, 644, 426, 847, 765, 898, 384, 773, 430, 649, 336, 440, 776, 769, 0, 689, 533, 198, 761, 458, 669, 685, 728, 554, 313, 279, 578, 419, 351, 577, 181, 555, 564, 88, 955, 366, 393, 223, 887, 72, 814, 204, 715, 521, 833, 605, 933, 815, 0, 12, 906, 157, 471, 707, 213, 483, 573, 505, 133, 50, 943, 95, 0, 566, 832, 917, 251, 904, 368, 873, 467, 583, 658, 177, 718, 677, 367, 317, 421, 0, 115, 522, 208, 192, 565, 87, 106, 964, 736, 628, 663, 759, 481, 22, 377, 834, 151, 0, 824, 298, 698, 645, 90, 206, 650, 482, 569, 561, 42, 122, 793, 923, 295, 437, 868, 869, 7, 693, 553, 0, 572, 253, 952, 697, 624, 842, 614, 843, 545, 2, 323, 405, 375, 584, 328, 882, 877, 623, 334, 975, 237, 179, 54, 152, 857, 740, 642, 830, 143, 180, 424, 682, 746, 579, 0, 472, 70, 451, 452, 519, 661, 363, 52, 871, 772, 703, 399, 612, 795, 114, 178, 635, 216, 609, 282, 737, 961, 127, 231, 610, 732, 389, 653, 949, 128, 825, 675, 414, 191, 0, 333, 123, 97, 520, 794, 940, 342, 433, 242, 453, 401, 730, 694, 0, 927, 359, 266, 91, 55, 207, 744, 958, 567, 838, 324, 507, 358, 221, 710, 43, 613, 305, 550, 664, 515, 193, 766, 914, 859, 14, 976, 717, 852, 774, 910, 768, 446, 303, 490, 608, 588, 909, 312, 783, 168, 501, 245, 670, 800, 0, 141, 214, 337, 622, 571, 805, 616, 963, 388, 585, 297, 895, 0, 802, 464, 429, 486, 738, 647, 636, 897, 132, 285, 763, 135, 78, 352, 528, 339, 747, 850, 309, 373, 98, 436, 0, 435, 350, 343, 315, 531, 378, 425, 659, 234, 100, 754, 189, 758, 856, 0, 918, 849, 38, 211, 967, 896, 784, 543, 450, 953, 539, 592, 149, 0, 261, 960, 360, 665, 863, 222, 374, 484, 175, 6, 29, 625, 705, 0, 267, 71, 280, 46, 496, 618, 210, 884, 409, 104, 817, 883, 13, 284, 0, 365, 801, 544, 941, 546, 950, 742, 126, 575, 164, 448, 639, 59, 0, 18, 938, 159, 826, 463, 691, 243, 398, 53, 828, 891, 739, 225, 0, 780, 620, 296, 552, 530, 790, 562, 34, 861, 403, 361, 101, 260, 965, 0, 291, 0]</t>
  </si>
  <si>
    <t>X_n978</t>
  </si>
  <si>
    <t>[0, 145, 750, 903, 533, 715, 761, 814, 223, 393, 564, 555, 669, 181, 577, 351, 419, 578, 279, 657, 416, 641, 792, 347, 789, 683, 434, 93, 144, 396, 88, 47, 155, 809, 366, 955, 887, 72, 521, 833, 0, 111, 689, 506, 538, 558, 139, 504, 870, 1, 640, 460, 719, 379, 729, 441, 184, 404, 187, 129, 407, 219, 385, 313, 819, 274, 205, 370, 320, 594, 255, 604, 444, 241, 402, 685, 458, 204, 198, 0, 134, 63, 767, 103, 394, 190, 32, 728, 554, 82, 254, 150, 652, 86, 107, 131, 617, 787, 40, 176, 648, 586, 455, 836, 44, 932, 827, 810, 731, 568, 872, 325, 733, 79, 238, 276, 249, 934, 867, 508, 808, 0, 699, 889, 357, 524, 58, 226, 704, 465, 734, 892, 841, 492, 654, 931, 748, 913, 890, 775, 611, 922, 866, 497, 596, 782, 300, 232, 864, 488, 116, 0, 603, 845, 45, 470, 263, 76, 839, 8, 970, 428, 230, 397, 257, 0, 589, 858, 581, 945, 327, 26, 753, 118, 84, 142, 874, 977, 390, 886, 0, 666, 535, 33, 258, 662, 259, 68, 725, 182, 457, 756, 269, 412, 356, 701, 500, 109, 816, 0, 344, 493, 262, 607, 627, 905, 576, 629, 879, 275, 720, 80, 9, 308, 966, 0, 330, 140, 354, 735, 518, 479, 711, 899, 925, 195, 797, 215, 154, 0, 516, 247, 69, 602, 256, 921, 81, 846, 417, 477, 818, 631, 580, 16, 0, 468, 11, 161, 779, 349, 239, 876, 937, 293, 67, 171, 615, 474, 391, 900, 0, 271, 461, 235, 372, 878, 536, 835, 136, 277, 227, 875, 893, 0, 228, 972, 85, 41, 593, 621, 806, 559, 499, 673, 61, 880, 690, 121, 0, 318, 881, 537, 62, 35, 547, 919, 660, 15, 371, 684, 466, 851, 95, 668, 0, 117, 723, 10, 172, 473, 671, 600, 495, 345, 574, 413, 422, 110, 440, 0, 517, 143, 776, 973, 485, 606, 322, 75, 203, 948, 667, 301, 674, 678, 442, 0, 64, 24, 306, 894, 791, 443, 915, 163, 527, 30, 28, 907, 591, 186, 39, 0, 469, 716, 595, 812, 813, 651, 646, 510, 19, 475, 933, 605, 815, 0, 420, 936, 383, 415, 529, 714, 348, 785, 803, 387, 487, 376, 484, 365, 0, 532, 236, 844, 686, 105, 498, 807, 201, 270, 804, 335, 124, 503, 224, 298, 0, 99, 447, 462, 526, 4, 217, 286, 410, 170, 630, 957, 741, 680, 288, 0, 146, 264, 924, 632, 951, 60, 382, 633, 120, 969, 65, 743, 272, 0, 464, 453, 160, 49, 798, 246, 265, 582, 541, 180, 566, 693, 553, 661, 352, 0, 343, 824, 273, 197, 908, 165, 427, 3, 287, 626, 549, 572, 486, 409, 0, 438, 757, 551, 48, 971, 557, 20, 445, 196, 73, 27, 811, 331, 321, 842, 0, 523, 364, 229, 194, 821, 252, 724, 822, 597, 233, 962, 634, 522, 424, 0, 191, 401, 386, 166, 556, 637, 525, 408, 585, 429, 705, 59, 0, 421, 727, 831, 848, 708, 672, 185, 96, 268, 713, 944, 946, 102, 192, 266, 0, 718, 926, 57, 777, 380, 563, 431, 643, 220, 712, 862, 242, 0, 400, 459, 853, 954, 130, 749, 829, 200, 326, 302, 156, 92, 847, 208, 0, 730, 21, 388, 579, 694, 802, 639, 34, 291, 436, 98, 403, 0, 38, 297, 963, 392, 456, 283, 781, 929, 509, 448, 0, 377, 778, 77, 183, 153, 974, 721, 978, 696, 942, 332, 794, 0, 895, 353, 329, 726, 31, 901, 770, 432, 199, 342, 97, 189, 0, 540, 619, 920, 855, 108, 820, 514, 74, 411, 248, 17, 148, 169, 832, 609, 115, 0, 941, 562, 959, 939, 289, 125, 676, 745, 560, 137, 917, 746, 361, 0, 135, 452, 151, 943, 478, 788, 314, 968, 395, 406, 209, 722, 840, 433, 0, 261, 884, 786, 56, 837, 476, 218, 454, 25, 240, 316, 290, 90, 740, 0, 826, 37, 695, 513, 439, 5, 916, 278, 307, 147, 251, 114, 682, 861, 0, 636, 675, 645, 22, 771, 644, 299, 418, 167, 854, 491, 162, 752, 66, 940, 0, 830, 834, 295, 157, 638, 173, 534, 355, 796, 755, 888, 947, 362, 700, 912, 138, 0, 624, 178, 389, 368, 12, 426, 338, 423, 902, 762, 174, 89, 36, 601, 123, 0, 339, 769, 437, 152, 122, 865, 51, 598, 212, 346, 23, 449, 823, 702, 906, 317, 904, 7, 414, 0, 670, 2, 653, 481, 50, 502, 930, 480, 764, 709, 188, 548, 512, 956, 158, 698, 0, 697, 869, 759, 570, 119, 294, 340, 292, 304, 542, 691, 267, 0, 647, 897, 245, 825, 871, 877, 471, 281, 599, 494, 244, 656, 341, 311, 751, 250, 799, 642, 843, 952, 359, 253, 472, 0, 828, 706, 112, 928, 707, 367, 614, 0, 927, 91, 545, 42, 663, 133, 113, 319, 688, 687, 679, 681, 860, 83, 94, 0, 949, 635, 206, 773, 590, 885, 935, 655, 310, 692, 911, 587, 760, 381, 202, 0, 467, 213, 483, 573, 765, 511, 369, 489, 384, 898, 649, 658, 923, 857, 43, 0, 451, 216, 569, 565, 628, 736, 106, 964, 177, 430, 583, 336, 677, 505, 873, 0, 70, 323, 703, 612, 399, 231, 868, 179, 54, 793, 482, 650, 87, 561, 975, 334, 623, 328, 584, 282, 237, 375, 737, 127, 710, 774, 852, 850, 0, 738, 838, 567, 324, 507, 795, 358, 221, 859, 909, 588, 608, 976, 717, 914, 766, 193, 613, 550, 664, 515, 303, 446, 768, 910, 882, 305, 961, 405, 732, 610, 772, 128, 52, 958, 55, 207, 744, 0, 101, 260, 373, 309, 747, 528, 490, 14, 312, 783, 285, 763, 78, 132, 800, 501, 168, 363, 519, 790, 0, 104, 0, 552, 0, 965, 0, 620, 0, 530, 0, 296, 0, 71, 0, 758, 0, 918, 0, 625, 0, 243, 0, 849, 0, 463, 0, 159, 0, 398, 0, 333, 0, 280, 0, 891, 0, 175, 0, 575, 0, 883, 0, 164, 0, 967, 0, 225, 0, 780, 0, 817, 0, 29, 0, 18, 0, 374, 0, 210, 0, 739, 0, 742, 0, 754, 0, 46, 0, 496, 0, 13, 0, 450, 0, 126, 0, 284, 0, 616, 0, 953, 0, 938, 0, 546, 0, 618, 0, 592, 0, 53, 0, 784, 0, 805, 0, 141, 0, 211, 0, 665, 0, 360, 0, 950, 0, 801, 0, 544, 0, 571, 0, 435, 0, 222, 0, 856, 0, 896, 0, 539, 659, 337, 0, 543, 0, 6, 0, 100, 0, 863, 0, 960, 0, 350, 0, 149, 214, 425, 0, 315, 378, 531, 520, 622, 234, 0]</t>
  </si>
  <si>
    <t>[0, 833, 521, 715, 72, 887, 393, 223, 814, 555, 564, 955, 366, 809, 47, 88, 396, 155, 683, 789, 434, 144, 93, 219, 407, 657, 279, 419, 385, 351, 577, 181, 313, 685, 669, 458, 204, 761, 198, 533, 145, 0, 111, 750, 538, 134, 63, 238, 190, 32, 594, 320, 370, 641, 254, 150, 455, 729, 404, 187, 129, 719, 792, 1, 640, 82, 460, 205, 416, 274, 819, 578, 554, 728, 255, 604, 402, 241, 444, 103, 767, 506, 689, 903, 0, 558, 139, 249, 276, 357, 79, 394, 107, 131, 733, 617, 86, 652, 870, 379, 347, 184, 44, 836, 586, 441, 648, 176, 787, 40, 731, 872, 325, 524, 889, 867, 934, 699, 508, 808, 0, 603, 841, 492, 892, 654, 931, 734, 465, 504, 704, 226, 568, 58, 810, 827, 932, 748, 913, 890, 775, 611, 922, 866, 497, 864, 845, 858, 215, 500, 0, 230, 327, 479, 263, 470, 76, 839, 45, 232, 300, 782, 596, 488, 116, 0, 428, 84, 581, 8, 26, 945, 457, 68, 662, 874, 818, 412, 438, 0, 493, 262, 970, 725, 182, 118, 753, 711, 239, 527, 473, 275, 33, 228, 0, 886, 816, 99, 271, 878, 576, 879, 756, 921, 518, 259, 629, 627, 258, 607, 0, 589, 142, 354, 256, 621, 349, 163, 498, 194, 96, 326, 920, 270, 109, 0, 140, 977, 905, 735, 915, 779, 201, 268, 229, 807, 951, 264, 161, 442, 0, 391, 474, 30, 355, 200, 829, 968, 60, 105, 899, 593, 417, 535, 397, 171, 0, 35, 837, 796, 314, 445, 20, 686, 172, 81, 803, 10, 235, 602, 257, 0, 318, 516, 269, 195, 41, 846, 806, 559, 203, 536, 797, 678, 288, 0, 390, 293, 919, 660, 75, 791, 387, 443, 720, 80, 9, 247, 344, 0, 330, 85, 11, 475, 632, 185, 348, 246, 619, 540, 798, 667, 547, 668, 966, 0, 875, 301, 322, 651, 529, 19, 510, 948, 925, 835, 227, 881, 0, 69, 461, 563, 785, 392, 696, 302, 456, 236, 306, 376, 277, 67, 16, 0, 631, 972, 844, 924, 557, 672, 671, 777, 749, 217, 286, 487, 62, 356, 701, 0, 900, 764, 173, 534, 476, 36, 821, 633, 499, 595, 880, 477, 468, 666, 0, 893, 684, 937, 646, 372, 532, 130, 382, 876, 364, 939, 902, 851, 0, 615, 674, 61, 600, 894, 908, 431, 156, 386, 971, 485, 580, 0, 517, 92, 491, 362, 788, 307, 755, 380, 4, 24, 495, 15, 422, 591, 0, 117, 120, 700, 51, 598, 212, 947, 752, 643, 714, 673, 136, 537, 723, 0, 440, 716, 708, 5, 244, 709, 888, 125, 66, 954, 335, 383, 345, 690, 0, 64, 371, 812, 273, 410, 48, 770, 638, 292, 289, 278, 283, 523, 813, 0, 308, 466, 110, 574, 170, 406, 745, 548, 188, 480, 706, 721, 712, 469, 0, 146, 242, 342, 940, 433, 933, 605, 815, 520, 794, 337, 214, 531, 0, 973, 186, 503, 936, 551, 804, 959, 162, 395, 89, 855, 676, 418, 582, 39, 0, 413, 28, 73, 942, 220, 601, 978, 944, 702, 597, 3, 331, 842, 0, 680, 969, 957, 606, 757, 165, 166, 848, 415, 525, 233, 549, 541, 298, 0, 272, 778, 637, 427, 197, 49, 432, 956, 346, 304, 930, 494, 57, 311, 776, 0, 917, 634, 224, 265, 599, 502, 656, 341, 512, 916, 946, 811, 630, 741, 420, 0, 160, 124, 199, 713, 56, 196, 542, 340, 681, 679, 935, 885, 462, 154, 0, 447, 626, 743, 65, 724, 853, 762, 926, 252, 112, 655, 147, 95, 321, 0, 522, 74, 820, 823, 928, 218, 454, 23, 119, 459, 400, 822, 831, 962, 0, 121, 90, 295, 77, 83, 310, 860, 751, 294, 108, 158, 556, 781, 287, 0, 315, 378, 571, 622, 805, 97, 123, 453, 421, 401, 21, 730, 616, 0, 907, 27, 332, 209, 786, 174, 687, 692, 423, 449, 901, 560, 408, 169, 192, 266, 0, 151, 832, 509, 102, 513, 183, 31, 240, 25, 439, 974, 153, 722, 0, 727, 17, 929, 316, 514, 840, 760, 319, 688, 511, 590, 369, 943, 143, 0, 682, 424, 329, 248, 862, 167, 94, 587, 911, 489, 773, 384, 898, 377, 834, 698, 115, 0, 7, 566, 290, 37, 137, 726, 411, 426, 281, 113, 213, 865, 430, 649, 152, 670, 0, 148, 299, 695, 338, 912, 854, 250, 526, 381, 202, 765, 718, 471, 793, 0, 694, 824, 191, 388, 963, 333, 141, 425, 659, 234, 539, 343, 350, 222, 0, 693, 624, 843, 869, 642, 22, 317, 133, 505, 677, 583, 573, 847, 483, 478, 799, 644, 0, 149, 435, 592, 100, 896, 754, 189, 758, 579, 585, 464, 297, 0, 952, 180, 830, 122, 964, 658, 177, 336, 873, 50, 906, 157, 707, 570, 138, 12, 771, 0, 253, 553, 208, 857, 482, 569, 106, 736, 663, 628, 467, 367, 368, 904, 481, 251, 0, 303, 910, 877, 882, 623, 334, 975, 561, 87, 565, 759, 206, 650, 42, 923, 437, 868, 645, 545, 825, 697, 414, 746, 353, 0, 429, 802, 895, 625, 38, 211, 967, 784, 543, 450, 960, 665, 618, 0, 486, 572, 472, 675, 614, 949, 323, 732, 389, 653, 179, 54, 740, 237, 375, 961, 737, 282, 584, 305, 328, 774, 490, 852, 717, 221, 710, 635, 178, 795, 2, 128, 769, 897, 0, 863, 360, 374, 953, 856, 918, 29, 849, 409, 884, 6, 175, 261, 0, 59, 451, 519, 661, 52, 871, 772, 703, 610, 405, 231, 127, 43, 613, 550, 664, 515, 768, 446, 193, 766, 914, 588, 859, 358, 609, 216, 399, 612, 507, 363, 958, 55, 800, 528, 339, 309, 0, 950, 53, 705, 104, 164, 126, 484, 210, 496, 46, 280, 71, 267, 0, 738, 373, 850, 747, 352, 647, 636, 245, 501, 132, 135, 78, 763, 285, 783, 608, 976, 14, 909, 312, 168, 838, 324, 114, 567, 744, 207, 91, 359, 452, 70, 927, 639, 562, 0, 780, 965, 828, 398, 243, 790, 34, 448, 817, 575, 883, 742, 0, 801, 544, 941, 284, 13, 691, 403, 463, 546, 225, 365, 0, 18, 938, 159, 296, 552, 98, 436, 861, 530, 891, 739, 826, 0, 260, 291, 361, 101, 620, 0]</t>
  </si>
  <si>
    <t/>
  </si>
  <si>
    <t>A_n32_1</t>
  </si>
  <si>
    <t>A_n36_1</t>
  </si>
  <si>
    <t>A_n38_1</t>
  </si>
  <si>
    <t>A_n44_1</t>
  </si>
  <si>
    <t>A_n62_1</t>
  </si>
  <si>
    <t>B_n44_1</t>
  </si>
  <si>
    <t>B_n49_1</t>
  </si>
  <si>
    <t>B_n56_1</t>
  </si>
  <si>
    <t>E_n100_1</t>
  </si>
  <si>
    <t>E_n75_1</t>
  </si>
  <si>
    <t>E_n75_2</t>
  </si>
  <si>
    <t>E_n75_3</t>
  </si>
  <si>
    <t>Golden_n240_1</t>
  </si>
  <si>
    <t>Golden_n320_1</t>
  </si>
  <si>
    <t>Golden_n360_1</t>
  </si>
  <si>
    <t>Golden_n480_1</t>
  </si>
  <si>
    <t>M_n199_1</t>
  </si>
  <si>
    <t>P_n21_1</t>
  </si>
  <si>
    <t>P_n49_1</t>
  </si>
  <si>
    <t>P_n49_2</t>
  </si>
  <si>
    <t>P_n54_1</t>
  </si>
  <si>
    <t>P_n54_2</t>
  </si>
  <si>
    <t>P_n54_3</t>
  </si>
  <si>
    <t>P_n59_1</t>
  </si>
  <si>
    <t>P_n75_1</t>
  </si>
  <si>
    <t>Taillard_n100_1</t>
  </si>
  <si>
    <t>Taillard_n100_2</t>
  </si>
  <si>
    <t>Taillard_n100_3</t>
  </si>
  <si>
    <t>Taillard_n150_1</t>
  </si>
  <si>
    <t>Taillard_n150_2</t>
  </si>
  <si>
    <t>Taillard_n150_3</t>
  </si>
  <si>
    <t>Taillard_n75_1</t>
  </si>
  <si>
    <t>Taillard_n75_2</t>
  </si>
  <si>
    <t>Taillard_n75_3</t>
  </si>
  <si>
    <t>X_n100_1</t>
  </si>
  <si>
    <t>Instância</t>
  </si>
  <si>
    <t>n clientes</t>
  </si>
  <si>
    <t>BKS</t>
  </si>
  <si>
    <t>Custo vrp_20</t>
  </si>
  <si>
    <t>Gap vrp_20</t>
  </si>
  <si>
    <t>Tempo vrp_20</t>
  </si>
  <si>
    <t>Custo vrp_50</t>
  </si>
  <si>
    <t>Gap vrp_50</t>
  </si>
  <si>
    <t>Tempo vrp_50</t>
  </si>
  <si>
    <t>Custo vrp_100</t>
  </si>
  <si>
    <t>Gap vrp_100</t>
  </si>
  <si>
    <t>Tempo vrp_100</t>
  </si>
  <si>
    <t>Melhor custo</t>
  </si>
  <si>
    <t>Melhor gap</t>
  </si>
  <si>
    <t>Melhor modelo</t>
  </si>
  <si>
    <t>Tempo portfólio</t>
  </si>
  <si>
    <t>Faixa tamanho</t>
  </si>
  <si>
    <t>Classe gap</t>
  </si>
  <si>
    <t>Flag auditoria</t>
  </si>
  <si>
    <t>Tempo modelo escolhido</t>
  </si>
  <si>
    <t>Ganho portfólio vs vrp_100</t>
  </si>
  <si>
    <t>N</t>
  </si>
  <si>
    <t>Gap médio</t>
  </si>
  <si>
    <t>Mediana</t>
  </si>
  <si>
    <t>≤1%</t>
  </si>
  <si>
    <t>≤2%</t>
  </si>
  <si>
    <t>≤5%</t>
  </si>
  <si>
    <t>&gt;10%</t>
  </si>
  <si>
    <t>Gap negativo</t>
  </si>
  <si>
    <t>Tempo médio portfólio</t>
  </si>
  <si>
    <t>% melhor vrp_20</t>
  </si>
  <si>
    <t>% melhor vrp_50</t>
  </si>
  <si>
    <t>% melhor vrp_100</t>
  </si>
  <si>
    <t>n médio</t>
  </si>
  <si>
    <t>Indicadores globais</t>
  </si>
  <si>
    <t>Gap médio micro</t>
  </si>
  <si>
    <t>Gap médio macro</t>
  </si>
  <si>
    <t>Mediana global</t>
  </si>
  <si>
    <t>Instâncias ≤ 5%</t>
  </si>
  <si>
    <t>N total</t>
  </si>
  <si>
    <t>Nota: gap = custo / BKS - 1. Valores negativos devem ser auditados quanto à métrica de distância e às restrições da instância antes de serem interpretados como melhoria sobre a referência.</t>
  </si>
  <si>
    <t>Dados auxiliares por Set</t>
  </si>
  <si>
    <t>Linha analítica</t>
  </si>
  <si>
    <t>Faixa</t>
  </si>
  <si>
    <t>Mín n</t>
  </si>
  <si>
    <t>Máx n</t>
  </si>
  <si>
    <t>Gap médio vrp_20</t>
  </si>
  <si>
    <t>Gap médio vrp_50</t>
  </si>
  <si>
    <t>Gap médio vrp_100</t>
  </si>
  <si>
    <t>≤50</t>
  </si>
  <si>
    <t>51-100</t>
  </si>
  <si>
    <t>201-500</t>
  </si>
  <si>
    <t>&gt;500</t>
  </si>
  <si>
    <t>n</t>
  </si>
  <si>
    <t>Best gap</t>
  </si>
  <si>
    <t>Gap20</t>
  </si>
  <si>
    <t>Gap50</t>
  </si>
  <si>
    <t>Gap100</t>
  </si>
  <si>
    <t>Método</t>
  </si>
  <si>
    <t>Mediana gap</t>
  </si>
  <si>
    <t>Tempo médio (s)</t>
  </si>
  <si>
    <t>Tempo total (s)</t>
  </si>
  <si>
    <t>N melhor solução</t>
  </si>
  <si>
    <t>% melhor solução</t>
  </si>
  <si>
    <t>Observação</t>
  </si>
  <si>
    <t>Checkpoint individual.</t>
  </si>
  <si>
    <t>Portfólio 3 checkpoints</t>
  </si>
  <si>
    <t>Executa os três checkpoints e escolhe a solução de menor custo.</t>
  </si>
  <si>
    <t>Trade-off do portfólio</t>
  </si>
  <si>
    <t>Redução média do gap vs vrp_100</t>
  </si>
  <si>
    <t>Multiplicador de tempo vs vrp_100</t>
  </si>
  <si>
    <t>Ganho médio em pontos percentuais</t>
  </si>
  <si>
    <t>Instância X</t>
  </si>
  <si>
    <t>Rank n</t>
  </si>
  <si>
    <t>Rank gap</t>
  </si>
  <si>
    <t>Correlação tamanho × gap no Set X</t>
  </si>
  <si>
    <t>Spearman ρ</t>
  </si>
  <si>
    <t>Pearson r</t>
  </si>
  <si>
    <t>REF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</si>
</sst>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\x"/>
    <numFmt numFmtId="166" formatCode="0.000"/>
  </numFmts>
  <fonts count="5">
    <font>
      <sz val="11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4"/>
      <color rgb="FFFFFFFF"/>
      <name val="Carlito"/>
    </font>
    <font>
      <i/>
      <sz val="11"/>
      <color rgb="FF7F6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0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4" borderId="0" xfId="0" applyFont="1" applyFill="1" applyAlignment="1">
      <alignment vertical="center"/>
    </xf>
    <xf numFmtId="0" fontId="4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Gap médio</c:v>
          </c:tx>
          <c:invertIfNegative val="1"/>
          <c:cat>
            <c:strRef>
              <c:f>Analise_Sets!$A$2:$A$9</c:f>
              <c:strCache>
                <c:ptCount val="8"/>
                <c:pt idx="0">
                  <c:v>A</c:v>
                </c:pt>
                <c:pt idx="1">
                  <c:v>B</c:v>
                </c:pt>
                <c:pt idx="2">
                  <c:v>E</c:v>
                </c:pt>
                <c:pt idx="3">
                  <c:v>F</c:v>
                </c:pt>
                <c:pt idx="4">
                  <c:v>M</c:v>
                </c:pt>
                <c:pt idx="5">
                  <c:v>P</c:v>
                </c:pt>
                <c:pt idx="6">
                  <c:v>Taillard</c:v>
                </c:pt>
                <c:pt idx="7">
                  <c:v>X</c:v>
                </c:pt>
              </c:strCache>
            </c:strRef>
          </c:cat>
          <c:val>
            <c:numRef>
              <c:f>Analise_Sets!$C$2:$C$9</c:f>
              <c:numCache>
                <c:formatCode>0.00%</c:formatCode>
                <c:ptCount val="8"/>
                <c:pt idx="0">
                  <c:v>1.9698879973811163E-2</c:v>
                </c:pt>
                <c:pt idx="1">
                  <c:v>2.4573060672367232E-2</c:v>
                </c:pt>
                <c:pt idx="2">
                  <c:v>2.0385736575471079E-2</c:v>
                </c:pt>
                <c:pt idx="3">
                  <c:v>7.3723506397937788E-2</c:v>
                </c:pt>
                <c:pt idx="4">
                  <c:v>5.1418655023051318E-2</c:v>
                </c:pt>
                <c:pt idx="5">
                  <c:v>2.3712541317419029E-2</c:v>
                </c:pt>
                <c:pt idx="6">
                  <c:v>6.9056398979396291E-2</c:v>
                </c:pt>
                <c:pt idx="7">
                  <c:v>9.9394179968802662E-2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AC-44A0-B6C2-B0CDB419E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12</xdr:row>
      <xdr:rowOff>0</xdr:rowOff>
    </xdr:from>
    <xdr:to>
      <xdr:col>31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211"/>
  <sheetViews>
    <sheetView workbookViewId="0"/>
  </sheetViews>
  <sheetFormatPr defaultRowHeight="14"/>
  <cols>
    <col min="1" max="1" width="12" customWidth="1"/>
    <col min="2" max="2" width="22" customWidth="1"/>
    <col min="3" max="10" width="15" customWidth="1"/>
  </cols>
  <sheetData>
    <row r="3" spans="1:10">
      <c r="A3" s="2"/>
      <c r="B3" s="2"/>
      <c r="C3" s="2" t="s">
        <v>0</v>
      </c>
      <c r="D3" s="2" t="s">
        <v>1</v>
      </c>
      <c r="E3" s="2"/>
      <c r="F3" s="2"/>
      <c r="G3" s="2"/>
      <c r="H3" s="2"/>
      <c r="I3" s="2"/>
      <c r="J3" s="2"/>
    </row>
    <row r="4" spans="1:10">
      <c r="A4" s="2"/>
      <c r="B4" s="2"/>
      <c r="C4" s="2" t="s">
        <v>2</v>
      </c>
      <c r="D4" s="2" t="s">
        <v>2</v>
      </c>
      <c r="E4" s="2" t="s">
        <v>3</v>
      </c>
      <c r="F4" s="2" t="s">
        <v>3</v>
      </c>
      <c r="G4" s="2" t="s">
        <v>4</v>
      </c>
      <c r="H4" s="2" t="s">
        <v>4</v>
      </c>
      <c r="I4" s="2"/>
      <c r="J4" s="2"/>
    </row>
    <row r="5" spans="1:10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</row>
    <row r="6" spans="1:10">
      <c r="A6" t="s">
        <v>15</v>
      </c>
      <c r="B6" t="s">
        <v>16</v>
      </c>
      <c r="C6" s="4">
        <f>Analise_Instancias!L2</f>
        <v>6.2524055948062873E-2</v>
      </c>
      <c r="D6">
        <f>Analise_Instancias!M2</f>
        <v>3.240628719329834</v>
      </c>
      <c r="E6" s="4">
        <f>Analise_Instancias!F2</f>
        <v>1.069065016143167E-2</v>
      </c>
      <c r="F6">
        <f>Analise_Instancias!G2</f>
        <v>2.4586789608001709</v>
      </c>
      <c r="G6" s="4">
        <f>Analise_Instancias!I2</f>
        <v>6.1842548603914249E-2</v>
      </c>
      <c r="H6">
        <f>Analise_Instancias!J2</f>
        <v>3.484200000762939</v>
      </c>
      <c r="I6" s="4">
        <f>Analise_Instancias!O2</f>
        <v>1.069065016143167E-2</v>
      </c>
      <c r="J6">
        <f>Analise_Instancias!Q2</f>
        <v>9.1835076808929443</v>
      </c>
    </row>
    <row r="7" spans="1:10">
      <c r="A7" t="s">
        <v>15</v>
      </c>
      <c r="B7" t="s">
        <v>17</v>
      </c>
      <c r="C7" s="4">
        <f>Analise_Instancias!L3</f>
        <v>0.10539534160481279</v>
      </c>
      <c r="D7">
        <f>Analise_Instancias!M3</f>
        <v>3.5166168212890621</v>
      </c>
      <c r="E7" s="4">
        <f>Analise_Instancias!F3</f>
        <v>2.0963775588596745E-2</v>
      </c>
      <c r="F7">
        <f>Analise_Instancias!G3</f>
        <v>1.9951877593994141</v>
      </c>
      <c r="G7" s="4">
        <f>Analise_Instancias!I3</f>
        <v>1.9843443439154784E-2</v>
      </c>
      <c r="H7">
        <f>Analise_Instancias!J3</f>
        <v>3.6535589694976811</v>
      </c>
      <c r="I7" s="4">
        <f>Analise_Instancias!O3</f>
        <v>1.9843443439154784E-2</v>
      </c>
      <c r="J7">
        <f>Analise_Instancias!Q3</f>
        <v>9.1653635501861572</v>
      </c>
    </row>
    <row r="8" spans="1:10">
      <c r="A8" t="s">
        <v>15</v>
      </c>
      <c r="B8" t="s">
        <v>18</v>
      </c>
      <c r="C8" s="4">
        <f>Analise_Instancias!L4</f>
        <v>4.7760832341854798E-2</v>
      </c>
      <c r="D8">
        <f>Analise_Instancias!M4</f>
        <v>3.5166168212890621</v>
      </c>
      <c r="E8" s="4">
        <f>Analise_Instancias!F4</f>
        <v>2.7729455994145891E-2</v>
      </c>
      <c r="F8">
        <f>Analise_Instancias!G4</f>
        <v>1.9951877593994141</v>
      </c>
      <c r="G8" s="4">
        <f>Analise_Instancias!I4</f>
        <v>3.4561362870619838E-3</v>
      </c>
      <c r="H8">
        <f>Analise_Instancias!J4</f>
        <v>3.6535589694976811</v>
      </c>
      <c r="I8" s="4">
        <f>Analise_Instancias!O4</f>
        <v>3.4561362870619838E-3</v>
      </c>
      <c r="J8">
        <f>Analise_Instancias!Q4</f>
        <v>9.1653635501861572</v>
      </c>
    </row>
    <row r="9" spans="1:10">
      <c r="A9" t="s">
        <v>15</v>
      </c>
      <c r="B9" t="s">
        <v>19</v>
      </c>
      <c r="C9" s="4">
        <f>Analise_Instancias!L5</f>
        <v>1.212136236744854E-2</v>
      </c>
      <c r="D9">
        <f>Analise_Instancias!M5</f>
        <v>3.6198651790618901</v>
      </c>
      <c r="E9" s="4">
        <f>Analise_Instancias!F5</f>
        <v>3.1864901741243568E-2</v>
      </c>
      <c r="F9">
        <f>Analise_Instancias!G5</f>
        <v>1.9882326126098631</v>
      </c>
      <c r="G9" s="4">
        <f>Analise_Instancias!I5</f>
        <v>1.5708158439106779E-2</v>
      </c>
      <c r="H9">
        <f>Analise_Instancias!J5</f>
        <v>3.712980985641479</v>
      </c>
      <c r="I9" s="4">
        <f>Analise_Instancias!O5</f>
        <v>1.212136236744854E-2</v>
      </c>
      <c r="J9">
        <f>Analise_Instancias!Q5</f>
        <v>9.3210787773132324</v>
      </c>
    </row>
    <row r="10" spans="1:10">
      <c r="A10" t="s">
        <v>15</v>
      </c>
      <c r="B10" t="s">
        <v>20</v>
      </c>
      <c r="C10" s="4">
        <f>Analise_Instancias!L6</f>
        <v>1.3855820752503023E-2</v>
      </c>
      <c r="D10">
        <f>Analise_Instancias!M6</f>
        <v>3.788451194763184</v>
      </c>
      <c r="E10" s="4">
        <f>Analise_Instancias!F6</f>
        <v>2.7711030389549363E-2</v>
      </c>
      <c r="F10">
        <f>Analise_Instancias!G6</f>
        <v>2.2774310111999512</v>
      </c>
      <c r="G10" s="4">
        <f>Analise_Instancias!I6</f>
        <v>8.709418878089803E-2</v>
      </c>
      <c r="H10">
        <f>Analise_Instancias!J6</f>
        <v>3.8794634342193599</v>
      </c>
      <c r="I10" s="4">
        <f>Analise_Instancias!O6</f>
        <v>1.3855820752503023E-2</v>
      </c>
      <c r="J10">
        <f>Analise_Instancias!Q6</f>
        <v>9.9453456401824951</v>
      </c>
    </row>
    <row r="11" spans="1:10">
      <c r="A11" t="s">
        <v>15</v>
      </c>
      <c r="B11" t="s">
        <v>21</v>
      </c>
      <c r="C11" s="4">
        <f>Analise_Instancias!L7</f>
        <v>0.10664620848514583</v>
      </c>
      <c r="D11">
        <f>Analise_Instancias!M7</f>
        <v>3.6620552539825439</v>
      </c>
      <c r="E11" s="4">
        <f>Analise_Instancias!F7</f>
        <v>4.2508203708893966E-2</v>
      </c>
      <c r="F11">
        <f>Analise_Instancias!G7</f>
        <v>4.4269788265228271</v>
      </c>
      <c r="G11" s="4">
        <f>Analise_Instancias!I7</f>
        <v>4.4779550868834006E-2</v>
      </c>
      <c r="H11">
        <f>Analise_Instancias!J7</f>
        <v>3.9273240566253662</v>
      </c>
      <c r="I11" s="4">
        <f>Analise_Instancias!O7</f>
        <v>4.2508203708893966E-2</v>
      </c>
      <c r="J11">
        <f>Analise_Instancias!Q7</f>
        <v>12.016358137130737</v>
      </c>
    </row>
    <row r="12" spans="1:10">
      <c r="A12" t="s">
        <v>15</v>
      </c>
      <c r="B12" t="s">
        <v>22</v>
      </c>
      <c r="C12" s="4">
        <f>Analise_Instancias!L8</f>
        <v>8.1600595198894066E-3</v>
      </c>
      <c r="D12">
        <f>Analise_Instancias!M8</f>
        <v>3.6620552539825439</v>
      </c>
      <c r="E12" s="4">
        <f>Analise_Instancias!F8</f>
        <v>3.4498819686841431E-2</v>
      </c>
      <c r="F12">
        <f>Analise_Instancias!G8</f>
        <v>4.4269788265228271</v>
      </c>
      <c r="G12" s="4">
        <f>Analise_Instancias!I8</f>
        <v>8.4613120719179147E-3</v>
      </c>
      <c r="H12">
        <f>Analise_Instancias!J8</f>
        <v>3.9273240566253662</v>
      </c>
      <c r="I12" s="4">
        <f>Analise_Instancias!O8</f>
        <v>8.1600595198894066E-3</v>
      </c>
      <c r="J12">
        <f>Analise_Instancias!Q8</f>
        <v>12.016358137130737</v>
      </c>
    </row>
    <row r="13" spans="1:10">
      <c r="A13" t="s">
        <v>15</v>
      </c>
      <c r="B13" t="s">
        <v>23</v>
      </c>
      <c r="C13" s="4">
        <f>Analise_Instancias!L9</f>
        <v>3.6940984856592474E-2</v>
      </c>
      <c r="D13">
        <f>Analise_Instancias!M9</f>
        <v>3.7448992729187012</v>
      </c>
      <c r="E13" s="4">
        <f>Analise_Instancias!F9</f>
        <v>1.3188359508775616E-2</v>
      </c>
      <c r="F13">
        <f>Analise_Instancias!G9</f>
        <v>4.0925168991088867</v>
      </c>
      <c r="G13" s="4">
        <f>Analise_Instancias!I9</f>
        <v>5.9726830051369806E-2</v>
      </c>
      <c r="H13">
        <f>Analise_Instancias!J9</f>
        <v>3.6349518299102779</v>
      </c>
      <c r="I13" s="4">
        <f>Analise_Instancias!O9</f>
        <v>1.3188359508775616E-2</v>
      </c>
      <c r="J13">
        <f>Analise_Instancias!Q9</f>
        <v>11.472368001937866</v>
      </c>
    </row>
    <row r="14" spans="1:10">
      <c r="A14" t="s">
        <v>15</v>
      </c>
      <c r="B14" t="s">
        <v>24</v>
      </c>
      <c r="C14" s="4">
        <f>Analise_Instancias!L10</f>
        <v>3.9604688212819372E-2</v>
      </c>
      <c r="D14">
        <f>Analise_Instancias!M10</f>
        <v>3.7533278465271001</v>
      </c>
      <c r="E14" s="4">
        <f>Analise_Instancias!F10</f>
        <v>2.1533901093940155E-2</v>
      </c>
      <c r="F14">
        <f>Analise_Instancias!G10</f>
        <v>3.0453658103942871</v>
      </c>
      <c r="G14" s="4">
        <f>Analise_Instancias!I10</f>
        <v>1.3887205843217787E-2</v>
      </c>
      <c r="H14">
        <f>Analise_Instancias!J10</f>
        <v>0.19466853141784671</v>
      </c>
      <c r="I14" s="4">
        <f>Analise_Instancias!O10</f>
        <v>1.3887205843217787E-2</v>
      </c>
      <c r="J14">
        <f>Analise_Instancias!Q10</f>
        <v>6.9933621883392334</v>
      </c>
    </row>
    <row r="15" spans="1:10">
      <c r="A15" t="s">
        <v>15</v>
      </c>
      <c r="B15" t="s">
        <v>25</v>
      </c>
      <c r="C15" s="4">
        <f>Analise_Instancias!L11</f>
        <v>5.6693066758799704E-2</v>
      </c>
      <c r="D15">
        <f>Analise_Instancias!M11</f>
        <v>3.7533278465271001</v>
      </c>
      <c r="E15" s="4">
        <f>Analise_Instancias!F11</f>
        <v>6.6954317792944362E-3</v>
      </c>
      <c r="F15">
        <f>Analise_Instancias!G11</f>
        <v>3.0453658103942871</v>
      </c>
      <c r="G15" s="4">
        <f>Analise_Instancias!I11</f>
        <v>5.1539819306558599E-3</v>
      </c>
      <c r="H15">
        <f>Analise_Instancias!J11</f>
        <v>0.19466853141784671</v>
      </c>
      <c r="I15" s="4">
        <f>Analise_Instancias!O11</f>
        <v>5.1539819306558599E-3</v>
      </c>
      <c r="J15">
        <f>Analise_Instancias!Q11</f>
        <v>6.9933621883392334</v>
      </c>
    </row>
    <row r="16" spans="1:10">
      <c r="A16" t="s">
        <v>15</v>
      </c>
      <c r="B16" t="s">
        <v>26</v>
      </c>
      <c r="C16" s="4">
        <f>Analise_Instancias!L12</f>
        <v>3.1212414850420256E-2</v>
      </c>
      <c r="D16">
        <f>Analise_Instancias!M12</f>
        <v>3.6464450359344478</v>
      </c>
      <c r="E16" s="4">
        <f>Analise_Instancias!F12</f>
        <v>2.3767754260605622E-2</v>
      </c>
      <c r="F16">
        <f>Analise_Instancias!G12</f>
        <v>2.453539133071899</v>
      </c>
      <c r="G16" s="4">
        <f>Analise_Instancias!I12</f>
        <v>2.0404502192836071E-2</v>
      </c>
      <c r="H16">
        <f>Analise_Instancias!J12</f>
        <v>4.325840950012207</v>
      </c>
      <c r="I16" s="4">
        <f>Analise_Instancias!O12</f>
        <v>2.0404502192836071E-2</v>
      </c>
      <c r="J16">
        <f>Analise_Instancias!Q12</f>
        <v>10.425825119018555</v>
      </c>
    </row>
    <row r="17" spans="1:10">
      <c r="A17" t="s">
        <v>15</v>
      </c>
      <c r="B17" t="s">
        <v>27</v>
      </c>
      <c r="C17" s="4">
        <f>Analise_Instancias!L13</f>
        <v>5.3244509939420093E-2</v>
      </c>
      <c r="D17">
        <f>Analise_Instancias!M13</f>
        <v>3.7981927394866939</v>
      </c>
      <c r="E17" s="4">
        <f>Analise_Instancias!F13</f>
        <v>5.1153215311341427E-2</v>
      </c>
      <c r="F17">
        <f>Analise_Instancias!G13</f>
        <v>2.6176249980926509</v>
      </c>
      <c r="G17" s="4">
        <f>Analise_Instancias!I13</f>
        <v>5.0454026561672416E-2</v>
      </c>
      <c r="H17">
        <f>Analise_Instancias!J13</f>
        <v>4.8942861557006836</v>
      </c>
      <c r="I17" s="4">
        <f>Analise_Instancias!O13</f>
        <v>5.0454026561672416E-2</v>
      </c>
      <c r="J17">
        <f>Analise_Instancias!Q13</f>
        <v>11.310103893280029</v>
      </c>
    </row>
    <row r="18" spans="1:10">
      <c r="A18" t="s">
        <v>15</v>
      </c>
      <c r="B18" t="s">
        <v>28</v>
      </c>
      <c r="C18" s="4">
        <f>Analise_Instancias!L14</f>
        <v>3.164071021487791E-2</v>
      </c>
      <c r="D18">
        <f>Analise_Instancias!M14</f>
        <v>3.7981927394866939</v>
      </c>
      <c r="E18" s="4">
        <f>Analise_Instancias!F14</f>
        <v>2.9613128715368253E-2</v>
      </c>
      <c r="F18">
        <f>Analise_Instancias!G14</f>
        <v>2.6176249980926509</v>
      </c>
      <c r="G18" s="4">
        <f>Analise_Instancias!I14</f>
        <v>1.178489804891969E-2</v>
      </c>
      <c r="H18">
        <f>Analise_Instancias!J14</f>
        <v>4.8942861557006836</v>
      </c>
      <c r="I18" s="4">
        <f>Analise_Instancias!O14</f>
        <v>1.178489804891969E-2</v>
      </c>
      <c r="J18">
        <f>Analise_Instancias!Q14</f>
        <v>11.310103893280029</v>
      </c>
    </row>
    <row r="19" spans="1:10">
      <c r="A19" t="s">
        <v>15</v>
      </c>
      <c r="B19" t="s">
        <v>29</v>
      </c>
      <c r="C19" s="4">
        <f>Analise_Instancias!L15</f>
        <v>8.1151448923858061E-2</v>
      </c>
      <c r="D19">
        <f>Analise_Instancias!M15</f>
        <v>3.7958471775054932</v>
      </c>
      <c r="E19" s="4">
        <f>Analise_Instancias!F15</f>
        <v>1.4903329394317488E-2</v>
      </c>
      <c r="F19">
        <f>Analise_Instancias!G15</f>
        <v>3.9908440113067631</v>
      </c>
      <c r="G19" s="4">
        <f>Analise_Instancias!I15</f>
        <v>1.1715878542977398E-2</v>
      </c>
      <c r="H19">
        <f>Analise_Instancias!J15</f>
        <v>5.3477339744567871</v>
      </c>
      <c r="I19" s="4">
        <f>Analise_Instancias!O15</f>
        <v>1.1715878542977398E-2</v>
      </c>
      <c r="J19">
        <f>Analise_Instancias!Q15</f>
        <v>13.134425163269043</v>
      </c>
    </row>
    <row r="20" spans="1:10">
      <c r="A20" t="s">
        <v>15</v>
      </c>
      <c r="B20" t="s">
        <v>30</v>
      </c>
      <c r="C20" s="4">
        <f>Analise_Instancias!L16</f>
        <v>8.4231928588069938E-3</v>
      </c>
      <c r="D20">
        <f>Analise_Instancias!M16</f>
        <v>3.7709934711456299</v>
      </c>
      <c r="E20" s="4">
        <f>Analise_Instancias!F16</f>
        <v>3.4174568055394206E-2</v>
      </c>
      <c r="F20">
        <f>Analise_Instancias!G16</f>
        <v>3.5602278709411621</v>
      </c>
      <c r="G20" s="4">
        <f>Analise_Instancias!I16</f>
        <v>2.8464225776152929E-2</v>
      </c>
      <c r="H20">
        <f>Analise_Instancias!J16</f>
        <v>3.5708775520324711</v>
      </c>
      <c r="I20" s="4">
        <f>Analise_Instancias!O16</f>
        <v>8.4231928588069938E-3</v>
      </c>
      <c r="J20">
        <f>Analise_Instancias!Q16</f>
        <v>10.902098894119263</v>
      </c>
    </row>
    <row r="21" spans="1:10">
      <c r="A21" t="s">
        <v>15</v>
      </c>
      <c r="B21" t="s">
        <v>31</v>
      </c>
      <c r="C21" s="4">
        <f>Analise_Instancias!L17</f>
        <v>6.5509456219059459E-2</v>
      </c>
      <c r="D21">
        <f>Analise_Instancias!M17</f>
        <v>3.944493293762207</v>
      </c>
      <c r="E21" s="4">
        <f>Analise_Instancias!F17</f>
        <v>1.3595309115872256E-2</v>
      </c>
      <c r="F21">
        <f>Analise_Instancias!G17</f>
        <v>3.8916928768157959</v>
      </c>
      <c r="G21" s="4">
        <f>Analise_Instancias!I17</f>
        <v>8.1087320157797071E-2</v>
      </c>
      <c r="H21">
        <f>Analise_Instancias!J17</f>
        <v>3.5289092063903809</v>
      </c>
      <c r="I21" s="4">
        <f>Analise_Instancias!O17</f>
        <v>1.3595309115872256E-2</v>
      </c>
      <c r="J21">
        <f>Analise_Instancias!Q17</f>
        <v>11.365095376968384</v>
      </c>
    </row>
    <row r="22" spans="1:10">
      <c r="A22" t="s">
        <v>15</v>
      </c>
      <c r="B22" t="s">
        <v>32</v>
      </c>
      <c r="C22" s="4">
        <f>Analise_Instancias!L18</f>
        <v>2.0854358297182518E-2</v>
      </c>
      <c r="D22">
        <f>Analise_Instancias!M18</f>
        <v>3.8616569042205811</v>
      </c>
      <c r="E22" s="4">
        <f>Analise_Instancias!F18</f>
        <v>4.5023757163132005E-2</v>
      </c>
      <c r="F22">
        <f>Analise_Instancias!G18</f>
        <v>3.784945964813232</v>
      </c>
      <c r="G22" s="4">
        <f>Analise_Instancias!I18</f>
        <v>5.4127252704583295E-3</v>
      </c>
      <c r="H22">
        <f>Analise_Instancias!J18</f>
        <v>3.562185525894165</v>
      </c>
      <c r="I22" s="4">
        <f>Analise_Instancias!O18</f>
        <v>5.4127252704583295E-3</v>
      </c>
      <c r="J22">
        <f>Analise_Instancias!Q18</f>
        <v>11.208788394927979</v>
      </c>
    </row>
    <row r="23" spans="1:10">
      <c r="A23" t="s">
        <v>15</v>
      </c>
      <c r="B23" t="s">
        <v>33</v>
      </c>
      <c r="C23" s="4">
        <f>Analise_Instancias!L19</f>
        <v>6.7302835398706407E-2</v>
      </c>
      <c r="D23">
        <f>Analise_Instancias!M19</f>
        <v>3.9414515495300289</v>
      </c>
      <c r="E23" s="4">
        <f>Analise_Instancias!F19</f>
        <v>6.8590773896202162E-2</v>
      </c>
      <c r="F23">
        <f>Analise_Instancias!G19</f>
        <v>4.8907830715179443</v>
      </c>
      <c r="G23" s="4">
        <f>Analise_Instancias!I19</f>
        <v>1.8314528665248853E-2</v>
      </c>
      <c r="H23">
        <f>Analise_Instancias!J19</f>
        <v>3.595403909683228</v>
      </c>
      <c r="I23" s="4">
        <f>Analise_Instancias!O19</f>
        <v>1.8314528665248853E-2</v>
      </c>
      <c r="J23">
        <f>Analise_Instancias!Q19</f>
        <v>12.427638530731201</v>
      </c>
    </row>
    <row r="24" spans="1:10">
      <c r="A24" t="s">
        <v>15</v>
      </c>
      <c r="B24" t="s">
        <v>34</v>
      </c>
      <c r="C24" s="4">
        <f>Analise_Instancias!L20</f>
        <v>1.8867706794682526E-2</v>
      </c>
      <c r="D24">
        <f>Analise_Instancias!M20</f>
        <v>3.9028751850128169</v>
      </c>
      <c r="E24" s="4">
        <f>Analise_Instancias!F20</f>
        <v>4.1586849150664795E-2</v>
      </c>
      <c r="F24">
        <f>Analise_Instancias!G20</f>
        <v>3.8256223201751709</v>
      </c>
      <c r="G24" s="4">
        <f>Analise_Instancias!I20</f>
        <v>2.3364834806591572E-2</v>
      </c>
      <c r="H24">
        <f>Analise_Instancias!J20</f>
        <v>3.4479377269744869</v>
      </c>
      <c r="I24" s="4">
        <f>Analise_Instancias!O20</f>
        <v>1.8867706794682526E-2</v>
      </c>
      <c r="J24">
        <f>Analise_Instancias!Q20</f>
        <v>11.176435232162476</v>
      </c>
    </row>
    <row r="25" spans="1:10">
      <c r="A25" t="s">
        <v>15</v>
      </c>
      <c r="B25" t="s">
        <v>35</v>
      </c>
      <c r="C25" s="4">
        <f>Analise_Instancias!L21</f>
        <v>5.238280305548848E-2</v>
      </c>
      <c r="D25">
        <f>Analise_Instancias!M21</f>
        <v>3.3696689605712891</v>
      </c>
      <c r="E25" s="4">
        <f>Analise_Instancias!F21</f>
        <v>3.8405161992262959E-2</v>
      </c>
      <c r="F25">
        <f>Analise_Instancias!G21</f>
        <v>3.8462729454040532</v>
      </c>
      <c r="G25" s="4">
        <f>Analise_Instancias!I21</f>
        <v>3.887679729055904E-2</v>
      </c>
      <c r="H25">
        <f>Analise_Instancias!J21</f>
        <v>4.1932976245880127</v>
      </c>
      <c r="I25" s="4">
        <f>Analise_Instancias!O21</f>
        <v>3.8405161992262959E-2</v>
      </c>
      <c r="J25">
        <f>Analise_Instancias!Q21</f>
        <v>11.409239530563354</v>
      </c>
    </row>
    <row r="26" spans="1:10">
      <c r="A26" t="s">
        <v>15</v>
      </c>
      <c r="B26" t="s">
        <v>36</v>
      </c>
      <c r="C26" s="4">
        <f>Analise_Instancias!L22</f>
        <v>3.8659421553523199E-2</v>
      </c>
      <c r="D26">
        <f>Analise_Instancias!M22</f>
        <v>3.1158251762390141</v>
      </c>
      <c r="E26" s="4">
        <f>Analise_Instancias!F22</f>
        <v>5.93048474803477E-2</v>
      </c>
      <c r="F26">
        <f>Analise_Instancias!G22</f>
        <v>4.0444791316986084</v>
      </c>
      <c r="G26" s="4">
        <f>Analise_Instancias!I22</f>
        <v>3.1584745608501663E-2</v>
      </c>
      <c r="H26">
        <f>Analise_Instancias!J22</f>
        <v>3.1809606552124019</v>
      </c>
      <c r="I26" s="4">
        <f>Analise_Instancias!O22</f>
        <v>3.1584745608501663E-2</v>
      </c>
      <c r="J26">
        <f>Analise_Instancias!Q22</f>
        <v>10.341264963150024</v>
      </c>
    </row>
    <row r="27" spans="1:10">
      <c r="A27" t="s">
        <v>15</v>
      </c>
      <c r="B27" t="s">
        <v>37</v>
      </c>
      <c r="C27" s="4">
        <f>Analise_Instancias!L23</f>
        <v>2.2325210919663663E-2</v>
      </c>
      <c r="D27">
        <f>Analise_Instancias!M23</f>
        <v>5.441810131072998</v>
      </c>
      <c r="E27" s="4">
        <f>Analise_Instancias!F23</f>
        <v>3.0591526350837173E-2</v>
      </c>
      <c r="F27">
        <f>Analise_Instancias!G23</f>
        <v>6.9907917976379386</v>
      </c>
      <c r="G27" s="4">
        <f>Analise_Instancias!I23</f>
        <v>3.3920868709570007E-2</v>
      </c>
      <c r="H27">
        <f>Analise_Instancias!J23</f>
        <v>6.7272059917449951</v>
      </c>
      <c r="I27" s="4">
        <f>Analise_Instancias!O23</f>
        <v>2.2325210919663663E-2</v>
      </c>
      <c r="J27">
        <f>Analise_Instancias!Q23</f>
        <v>19.159807920455933</v>
      </c>
    </row>
    <row r="28" spans="1:10">
      <c r="A28" t="s">
        <v>15</v>
      </c>
      <c r="B28" t="s">
        <v>38</v>
      </c>
      <c r="C28" s="4">
        <f>Analise_Instancias!L24</f>
        <v>1.5008983045521118E-2</v>
      </c>
      <c r="D28">
        <f>Analise_Instancias!M24</f>
        <v>5.441810131072998</v>
      </c>
      <c r="E28" s="4">
        <f>Analise_Instancias!F24</f>
        <v>3.1373581083694368E-2</v>
      </c>
      <c r="F28">
        <f>Analise_Instancias!G24</f>
        <v>6.9907917976379386</v>
      </c>
      <c r="G28" s="4">
        <f>Analise_Instancias!I24</f>
        <v>3.8122271547222697E-2</v>
      </c>
      <c r="H28">
        <f>Analise_Instancias!J24</f>
        <v>6.7272059917449951</v>
      </c>
      <c r="I28" s="4">
        <f>Analise_Instancias!O24</f>
        <v>1.5008983045521118E-2</v>
      </c>
      <c r="J28">
        <f>Analise_Instancias!Q24</f>
        <v>19.159807920455933</v>
      </c>
    </row>
    <row r="29" spans="1:10">
      <c r="A29" t="s">
        <v>15</v>
      </c>
      <c r="B29" t="s">
        <v>39</v>
      </c>
      <c r="C29" s="4">
        <f>Analise_Instancias!L25</f>
        <v>2.4218540885974305E-2</v>
      </c>
      <c r="D29">
        <f>Analise_Instancias!M25</f>
        <v>3.3372197151184082</v>
      </c>
      <c r="E29" s="4">
        <f>Analise_Instancias!F25</f>
        <v>5.2819414703783041E-2</v>
      </c>
      <c r="F29">
        <f>Analise_Instancias!G25</f>
        <v>3.8166863918304439</v>
      </c>
      <c r="G29" s="4">
        <f>Analise_Instancias!I25</f>
        <v>3.1410843538097755E-2</v>
      </c>
      <c r="H29">
        <f>Analise_Instancias!J25</f>
        <v>3.7508985996246338</v>
      </c>
      <c r="I29" s="4">
        <f>Analise_Instancias!O25</f>
        <v>2.4218540885974305E-2</v>
      </c>
      <c r="J29">
        <f>Analise_Instancias!Q25</f>
        <v>10.904804706573486</v>
      </c>
    </row>
    <row r="30" spans="1:10">
      <c r="A30" t="s">
        <v>15</v>
      </c>
      <c r="B30" t="s">
        <v>40</v>
      </c>
      <c r="C30" s="4">
        <f>Analise_Instancias!L26</f>
        <v>4.5887831731793005E-2</v>
      </c>
      <c r="D30">
        <f>Analise_Instancias!M26</f>
        <v>3.3213315010070801</v>
      </c>
      <c r="E30" s="4">
        <f>Analise_Instancias!F26</f>
        <v>5.299993511765333E-2</v>
      </c>
      <c r="F30">
        <f>Analise_Instancias!G26</f>
        <v>3.9622659683227539</v>
      </c>
      <c r="G30" s="4">
        <f>Analise_Instancias!I26</f>
        <v>4.7949717844974371E-2</v>
      </c>
      <c r="H30">
        <f>Analise_Instancias!J26</f>
        <v>3.5521543025970459</v>
      </c>
      <c r="I30" s="4">
        <f>Analise_Instancias!O26</f>
        <v>4.5887831731793005E-2</v>
      </c>
      <c r="J30">
        <f>Analise_Instancias!Q26</f>
        <v>10.83575177192688</v>
      </c>
    </row>
    <row r="31" spans="1:10">
      <c r="A31" t="s">
        <v>15</v>
      </c>
      <c r="B31" t="s">
        <v>41</v>
      </c>
      <c r="C31" s="4">
        <f>Analise_Instancias!L27</f>
        <v>3.0441850295244155E-2</v>
      </c>
      <c r="D31">
        <f>Analise_Instancias!M27</f>
        <v>4.2214803695678711</v>
      </c>
      <c r="E31" s="4">
        <f>Analise_Instancias!F27</f>
        <v>4.6530485770329699E-2</v>
      </c>
      <c r="F31">
        <f>Analise_Instancias!G27</f>
        <v>5.1308720111846924</v>
      </c>
      <c r="G31" s="4">
        <f>Analise_Instancias!I27</f>
        <v>2.2580374716889562E-2</v>
      </c>
      <c r="H31">
        <f>Analise_Instancias!J27</f>
        <v>4.4177951812744141</v>
      </c>
      <c r="I31" s="4">
        <f>Analise_Instancias!O27</f>
        <v>2.2580374716889562E-2</v>
      </c>
      <c r="J31">
        <f>Analise_Instancias!Q27</f>
        <v>13.770147562026978</v>
      </c>
    </row>
    <row r="32" spans="1:10">
      <c r="A32" t="s">
        <v>15</v>
      </c>
      <c r="B32" t="s">
        <v>42</v>
      </c>
      <c r="C32" s="4">
        <f>Analise_Instancias!L28</f>
        <v>3.0020918821787923E-2</v>
      </c>
      <c r="D32">
        <f>Analise_Instancias!M28</f>
        <v>3.2986466884613042</v>
      </c>
      <c r="E32" s="4">
        <f>Analise_Instancias!F28</f>
        <v>6.0689163424383352E-2</v>
      </c>
      <c r="F32">
        <f>Analise_Instancias!G28</f>
        <v>3.908066987991333</v>
      </c>
      <c r="G32" s="4">
        <f>Analise_Instancias!I28</f>
        <v>4.065197594654002E-2</v>
      </c>
      <c r="H32">
        <f>Analise_Instancias!J28</f>
        <v>2.5883650779724121</v>
      </c>
      <c r="I32" s="4">
        <f>Analise_Instancias!O28</f>
        <v>3.0020918821787923E-2</v>
      </c>
      <c r="J32">
        <f>Analise_Instancias!Q28</f>
        <v>9.7950787544250488</v>
      </c>
    </row>
    <row r="33" spans="1:10">
      <c r="A33" t="s">
        <v>43</v>
      </c>
      <c r="B33" t="s">
        <v>44</v>
      </c>
      <c r="C33" s="4">
        <f>Analise_Instancias!L29</f>
        <v>4.9654006958007813E-2</v>
      </c>
      <c r="D33">
        <f>Analise_Instancias!M29</f>
        <v>3.9129023551940918</v>
      </c>
      <c r="E33" s="4">
        <f>Analise_Instancias!F29</f>
        <v>3.7612551734560906E-2</v>
      </c>
      <c r="F33">
        <f>Analise_Instancias!G29</f>
        <v>2.8668181896209721</v>
      </c>
      <c r="G33" s="4">
        <f>Analise_Instancias!I29</f>
        <v>4.3772197905040944E-2</v>
      </c>
      <c r="H33">
        <f>Analise_Instancias!J29</f>
        <v>3.1799638271331792</v>
      </c>
      <c r="I33" s="4">
        <f>Analise_Instancias!O29</f>
        <v>3.7612551734560906E-2</v>
      </c>
      <c r="J33">
        <f>Analise_Instancias!Q29</f>
        <v>9.9596843719482422</v>
      </c>
    </row>
    <row r="34" spans="1:10">
      <c r="A34" t="s">
        <v>43</v>
      </c>
      <c r="B34" t="s">
        <v>45</v>
      </c>
      <c r="C34" s="4">
        <f>Analise_Instancias!L30</f>
        <v>1.6311955330940764E-2</v>
      </c>
      <c r="D34">
        <f>Analise_Instancias!M30</f>
        <v>3.8479690551757808</v>
      </c>
      <c r="E34" s="4">
        <f>Analise_Instancias!F30</f>
        <v>8.9394816287278189E-3</v>
      </c>
      <c r="F34">
        <f>Analise_Instancias!G30</f>
        <v>2.7891561985015869</v>
      </c>
      <c r="G34" s="4">
        <f>Analise_Instancias!I30</f>
        <v>8.746926554568546E-3</v>
      </c>
      <c r="H34">
        <f>Analise_Instancias!J30</f>
        <v>3.0680019855499272</v>
      </c>
      <c r="I34" s="4">
        <f>Analise_Instancias!O30</f>
        <v>8.746926554568546E-3</v>
      </c>
      <c r="J34">
        <f>Analise_Instancias!Q30</f>
        <v>9.7051272392272949</v>
      </c>
    </row>
    <row r="35" spans="1:10">
      <c r="A35" t="s">
        <v>43</v>
      </c>
      <c r="B35" t="s">
        <v>46</v>
      </c>
      <c r="C35" s="4">
        <f>Analise_Instancias!L31</f>
        <v>4.9846741042211651E-2</v>
      </c>
      <c r="D35">
        <f>Analise_Instancias!M31</f>
        <v>3.7359077930450439</v>
      </c>
      <c r="E35" s="4">
        <f>Analise_Instancias!F31</f>
        <v>1.6940930750981575E-2</v>
      </c>
      <c r="F35">
        <f>Analise_Instancias!G31</f>
        <v>2.50319504737854</v>
      </c>
      <c r="G35" s="4">
        <f>Analise_Instancias!I31</f>
        <v>4.2823479937009079E-2</v>
      </c>
      <c r="H35">
        <f>Analise_Instancias!J31</f>
        <v>3.5872988700866699</v>
      </c>
      <c r="I35" s="4">
        <f>Analise_Instancias!O31</f>
        <v>1.6940930750981575E-2</v>
      </c>
      <c r="J35">
        <f>Analise_Instancias!Q31</f>
        <v>9.8264017105102539</v>
      </c>
    </row>
    <row r="36" spans="1:10">
      <c r="A36" t="s">
        <v>43</v>
      </c>
      <c r="B36" t="s">
        <v>47</v>
      </c>
      <c r="C36" s="4">
        <f>Analise_Instancias!L32</f>
        <v>1.6213894482725255E-2</v>
      </c>
      <c r="D36">
        <f>Analise_Instancias!M32</f>
        <v>3.6562399864196782</v>
      </c>
      <c r="E36" s="4">
        <f>Analise_Instancias!F32</f>
        <v>1.7816503299689535E-2</v>
      </c>
      <c r="F36">
        <f>Analise_Instancias!G32</f>
        <v>2.6201272010803218</v>
      </c>
      <c r="G36" s="4">
        <f>Analise_Instancias!I32</f>
        <v>1.9687515164013902E-2</v>
      </c>
      <c r="H36">
        <f>Analise_Instancias!J32</f>
        <v>3.613498210906982</v>
      </c>
      <c r="I36" s="4">
        <f>Analise_Instancias!O32</f>
        <v>1.6213894482725255E-2</v>
      </c>
      <c r="J36">
        <f>Analise_Instancias!Q32</f>
        <v>9.8898653984069824</v>
      </c>
    </row>
    <row r="37" spans="1:10">
      <c r="A37" t="s">
        <v>43</v>
      </c>
      <c r="B37" t="s">
        <v>48</v>
      </c>
      <c r="C37" s="4">
        <f>Analise_Instancias!L33</f>
        <v>9.815197998491576E-2</v>
      </c>
      <c r="D37">
        <f>Analise_Instancias!M33</f>
        <v>3.508039236068726</v>
      </c>
      <c r="E37" s="4">
        <f>Analise_Instancias!F33</f>
        <v>4.1634203523451818E-2</v>
      </c>
      <c r="F37">
        <f>Analise_Instancias!G33</f>
        <v>3.0233440399169922</v>
      </c>
      <c r="G37" s="4">
        <f>Analise_Instancias!I33</f>
        <v>2.8609034359346586E-2</v>
      </c>
      <c r="H37">
        <f>Analise_Instancias!J33</f>
        <v>3.7525219917297359</v>
      </c>
      <c r="I37" s="4">
        <f>Analise_Instancias!O33</f>
        <v>2.8609034359346586E-2</v>
      </c>
      <c r="J37">
        <f>Analise_Instancias!Q33</f>
        <v>10.283905267715454</v>
      </c>
    </row>
    <row r="38" spans="1:10">
      <c r="A38" t="s">
        <v>43</v>
      </c>
      <c r="B38" t="s">
        <v>49</v>
      </c>
      <c r="C38" s="4">
        <f>Analise_Instancias!L34</f>
        <v>3.8913556548740846E-2</v>
      </c>
      <c r="D38">
        <f>Analise_Instancias!M34</f>
        <v>3.8638322353363042</v>
      </c>
      <c r="E38" s="4">
        <f>Analise_Instancias!F34</f>
        <v>2.3203814130352773E-2</v>
      </c>
      <c r="F38">
        <f>Analise_Instancias!G34</f>
        <v>2.909859418869019</v>
      </c>
      <c r="G38" s="4">
        <f>Analise_Instancias!I34</f>
        <v>3.3829085070491649E-2</v>
      </c>
      <c r="H38">
        <f>Analise_Instancias!J34</f>
        <v>3.8631899356842041</v>
      </c>
      <c r="I38" s="4">
        <f>Analise_Instancias!O34</f>
        <v>2.3203814130352773E-2</v>
      </c>
      <c r="J38">
        <f>Analise_Instancias!Q34</f>
        <v>10.636881589889526</v>
      </c>
    </row>
    <row r="39" spans="1:10">
      <c r="A39" t="s">
        <v>43</v>
      </c>
      <c r="B39" t="s">
        <v>50</v>
      </c>
      <c r="C39" s="4">
        <f>Analise_Instancias!L35</f>
        <v>1.2804550623315425E-2</v>
      </c>
      <c r="D39">
        <f>Analise_Instancias!M35</f>
        <v>5.9448745250701904</v>
      </c>
      <c r="E39" s="4">
        <f>Analise_Instancias!F35</f>
        <v>9.4216236207040893E-3</v>
      </c>
      <c r="F39">
        <f>Analise_Instancias!G35</f>
        <v>3.418607234954834</v>
      </c>
      <c r="G39" s="4">
        <f>Analise_Instancias!I35</f>
        <v>1.0307455962558887E-2</v>
      </c>
      <c r="H39">
        <f>Analise_Instancias!J35</f>
        <v>3.7118439674377441</v>
      </c>
      <c r="I39" s="4">
        <f>Analise_Instancias!O35</f>
        <v>9.4216236207040893E-3</v>
      </c>
      <c r="J39">
        <f>Analise_Instancias!Q35</f>
        <v>13.075325727462769</v>
      </c>
    </row>
    <row r="40" spans="1:10">
      <c r="A40" t="s">
        <v>43</v>
      </c>
      <c r="B40" t="s">
        <v>51</v>
      </c>
      <c r="C40" s="4">
        <f>Analise_Instancias!L36</f>
        <v>4.828585885932335E-2</v>
      </c>
      <c r="D40">
        <f>Analise_Instancias!M36</f>
        <v>3.5976326465606689</v>
      </c>
      <c r="E40" s="4">
        <f>Analise_Instancias!F36</f>
        <v>2.7218792435884209E-2</v>
      </c>
      <c r="F40">
        <f>Analise_Instancias!G36</f>
        <v>3.6912741661071782</v>
      </c>
      <c r="G40" s="4">
        <f>Analise_Instancias!I36</f>
        <v>2.8434191075357607E-2</v>
      </c>
      <c r="H40">
        <f>Analise_Instancias!J36</f>
        <v>3.8044168949127202</v>
      </c>
      <c r="I40" s="4">
        <f>Analise_Instancias!O36</f>
        <v>2.7218792435884209E-2</v>
      </c>
      <c r="J40">
        <f>Analise_Instancias!Q36</f>
        <v>11.093323707580566</v>
      </c>
    </row>
    <row r="41" spans="1:10">
      <c r="A41" t="s">
        <v>43</v>
      </c>
      <c r="B41" t="s">
        <v>52</v>
      </c>
      <c r="C41" s="4">
        <f>Analise_Instancias!L37</f>
        <v>2.208245451377322E-2</v>
      </c>
      <c r="D41">
        <f>Analise_Instancias!M37</f>
        <v>3.5613007545471191</v>
      </c>
      <c r="E41" s="4">
        <f>Analise_Instancias!F37</f>
        <v>1.9928750598160683E-2</v>
      </c>
      <c r="F41">
        <f>Analise_Instancias!G37</f>
        <v>3.921587228775024</v>
      </c>
      <c r="G41" s="4">
        <f>Analise_Instancias!I37</f>
        <v>3.3278626544815282E-2</v>
      </c>
      <c r="H41">
        <f>Analise_Instancias!J37</f>
        <v>3.777878999710083</v>
      </c>
      <c r="I41" s="4">
        <f>Analise_Instancias!O37</f>
        <v>1.9928750598160683E-2</v>
      </c>
      <c r="J41">
        <f>Analise_Instancias!Q37</f>
        <v>11.260766983032227</v>
      </c>
    </row>
    <row r="42" spans="1:10">
      <c r="A42" t="s">
        <v>43</v>
      </c>
      <c r="B42" t="s">
        <v>53</v>
      </c>
      <c r="C42" s="4">
        <f>Analise_Instancias!L38</f>
        <v>6.4526043107024256E-2</v>
      </c>
      <c r="D42">
        <f>Analise_Instancias!M38</f>
        <v>3.5613007545471191</v>
      </c>
      <c r="E42" s="4">
        <f>Analise_Instancias!F38</f>
        <v>7.8860392612693619E-2</v>
      </c>
      <c r="F42">
        <f>Analise_Instancias!G38</f>
        <v>3.921587228775024</v>
      </c>
      <c r="G42" s="4">
        <f>Analise_Instancias!I38</f>
        <v>6.7935549755715252E-2</v>
      </c>
      <c r="H42">
        <f>Analise_Instancias!J38</f>
        <v>3.777878999710083</v>
      </c>
      <c r="I42" s="4">
        <f>Analise_Instancias!O38</f>
        <v>6.4526043107024256E-2</v>
      </c>
      <c r="J42">
        <f>Analise_Instancias!Q38</f>
        <v>11.260766983032227</v>
      </c>
    </row>
    <row r="43" spans="1:10">
      <c r="A43" t="s">
        <v>43</v>
      </c>
      <c r="B43" t="s">
        <v>54</v>
      </c>
      <c r="C43" s="4">
        <f>Analise_Instancias!L39</f>
        <v>1.8979133060264886E-2</v>
      </c>
      <c r="D43">
        <f>Analise_Instancias!M39</f>
        <v>3.7319321632385249</v>
      </c>
      <c r="E43" s="4">
        <f>Analise_Instancias!F39</f>
        <v>3.5068692144272884E-2</v>
      </c>
      <c r="F43">
        <f>Analise_Instancias!G39</f>
        <v>3.7842364311218262</v>
      </c>
      <c r="G43" s="4">
        <f>Analise_Instancias!I39</f>
        <v>3.3481036764085648E-2</v>
      </c>
      <c r="H43">
        <f>Analise_Instancias!J39</f>
        <v>3.7969024181365971</v>
      </c>
      <c r="I43" s="4">
        <f>Analise_Instancias!O39</f>
        <v>1.8979133060264886E-2</v>
      </c>
      <c r="J43">
        <f>Analise_Instancias!Q39</f>
        <v>11.313071012496948</v>
      </c>
    </row>
    <row r="44" spans="1:10">
      <c r="A44" t="s">
        <v>43</v>
      </c>
      <c r="B44" t="s">
        <v>55</v>
      </c>
      <c r="C44" s="4">
        <f>Analise_Instancias!L40</f>
        <v>5.0211650569264465E-2</v>
      </c>
      <c r="D44">
        <f>Analise_Instancias!M40</f>
        <v>3.7319321632385249</v>
      </c>
      <c r="E44" s="4">
        <f>Analise_Instancias!F40</f>
        <v>7.1185972632430428E-3</v>
      </c>
      <c r="F44">
        <f>Analise_Instancias!G40</f>
        <v>3.7842364311218262</v>
      </c>
      <c r="G44" s="4">
        <f>Analise_Instancias!I40</f>
        <v>5.6232359351180428E-3</v>
      </c>
      <c r="H44">
        <f>Analise_Instancias!J40</f>
        <v>3.7969024181365971</v>
      </c>
      <c r="I44" s="4">
        <f>Analise_Instancias!O40</f>
        <v>5.6232359351180428E-3</v>
      </c>
      <c r="J44">
        <f>Analise_Instancias!Q40</f>
        <v>11.313071012496948</v>
      </c>
    </row>
    <row r="45" spans="1:10">
      <c r="A45" t="s">
        <v>43</v>
      </c>
      <c r="B45" t="s">
        <v>56</v>
      </c>
      <c r="C45" s="4">
        <f>Analise_Instancias!L41</f>
        <v>4.2424519856771203E-2</v>
      </c>
      <c r="D45">
        <f>Analise_Instancias!M41</f>
        <v>3.636492252349854</v>
      </c>
      <c r="E45" s="4">
        <f>Analise_Instancias!F41</f>
        <v>0</v>
      </c>
      <c r="F45">
        <f>Analise_Instancias!G41</f>
        <v>3.9761064052581792</v>
      </c>
      <c r="G45" s="4">
        <f>Analise_Instancias!I41</f>
        <v>5.2835272264110555E-2</v>
      </c>
      <c r="H45">
        <f>Analise_Instancias!J41</f>
        <v>3.9197759628295898</v>
      </c>
      <c r="I45" s="4">
        <f>Analise_Instancias!O41</f>
        <v>0</v>
      </c>
      <c r="J45">
        <f>Analise_Instancias!Q41</f>
        <v>11.532374620437622</v>
      </c>
    </row>
    <row r="46" spans="1:10">
      <c r="A46" t="s">
        <v>43</v>
      </c>
      <c r="B46" t="s">
        <v>57</v>
      </c>
      <c r="C46" s="4">
        <f>Analise_Instancias!L42</f>
        <v>2.537771528823618E-2</v>
      </c>
      <c r="D46">
        <f>Analise_Instancias!M42</f>
        <v>3.5856132507324219</v>
      </c>
      <c r="E46" s="4">
        <f>Analise_Instancias!F42</f>
        <v>3.1258906066976344E-2</v>
      </c>
      <c r="F46">
        <f>Analise_Instancias!G42</f>
        <v>3.771407842636108</v>
      </c>
      <c r="G46" s="4">
        <f>Analise_Instancias!I42</f>
        <v>1.477140658990117E-2</v>
      </c>
      <c r="H46">
        <f>Analise_Instancias!J42</f>
        <v>4.0659630298614502</v>
      </c>
      <c r="I46" s="4">
        <f>Analise_Instancias!O42</f>
        <v>1.477140658990117E-2</v>
      </c>
      <c r="J46">
        <f>Analise_Instancias!Q42</f>
        <v>11.42298412322998</v>
      </c>
    </row>
    <row r="47" spans="1:10">
      <c r="A47" t="s">
        <v>43</v>
      </c>
      <c r="B47" t="s">
        <v>58</v>
      </c>
      <c r="C47" s="4">
        <f>Analise_Instancias!L43</f>
        <v>4.0261102700671847E-2</v>
      </c>
      <c r="D47">
        <f>Analise_Instancias!M43</f>
        <v>4.7463269233703613</v>
      </c>
      <c r="E47" s="4">
        <f>Analise_Instancias!F43</f>
        <v>5.765672654039955E-2</v>
      </c>
      <c r="F47">
        <f>Analise_Instancias!G43</f>
        <v>4.1702108383178711</v>
      </c>
      <c r="G47" s="4">
        <f>Analise_Instancias!I43</f>
        <v>5.5039639182947298E-2</v>
      </c>
      <c r="H47">
        <f>Analise_Instancias!J43</f>
        <v>3.977002859115601</v>
      </c>
      <c r="I47" s="4">
        <f>Analise_Instancias!O43</f>
        <v>4.0261102700671847E-2</v>
      </c>
      <c r="J47">
        <f>Analise_Instancias!Q43</f>
        <v>12.893540620803833</v>
      </c>
    </row>
    <row r="48" spans="1:10">
      <c r="A48" t="s">
        <v>43</v>
      </c>
      <c r="B48" t="s">
        <v>59</v>
      </c>
      <c r="C48" s="4">
        <f>Analise_Instancias!L44</f>
        <v>1.4513980173997965E-3</v>
      </c>
      <c r="D48">
        <f>Analise_Instancias!M44</f>
        <v>6.7441813945770264</v>
      </c>
      <c r="E48" s="4">
        <f>Analise_Instancias!F44</f>
        <v>9.1630656100932351E-2</v>
      </c>
      <c r="F48">
        <f>Analise_Instancias!G44</f>
        <v>6.1280777454376221</v>
      </c>
      <c r="G48" s="4">
        <f>Analise_Instancias!I44</f>
        <v>4.3786504634648615E-3</v>
      </c>
      <c r="H48">
        <f>Analise_Instancias!J44</f>
        <v>6.0994689464569092</v>
      </c>
      <c r="I48" s="4">
        <f>Analise_Instancias!O44</f>
        <v>1.4513980173997965E-3</v>
      </c>
      <c r="J48">
        <f>Analise_Instancias!Q44</f>
        <v>18.971728086471558</v>
      </c>
    </row>
    <row r="49" spans="1:10">
      <c r="A49" t="s">
        <v>43</v>
      </c>
      <c r="B49" t="s">
        <v>60</v>
      </c>
      <c r="C49" s="4">
        <f>Analise_Instancias!L45</f>
        <v>2.9687377776908663E-2</v>
      </c>
      <c r="D49">
        <f>Analise_Instancias!M45</f>
        <v>6.7441813945770264</v>
      </c>
      <c r="E49" s="4">
        <f>Analise_Instancias!F45</f>
        <v>2.2957774366395567E-2</v>
      </c>
      <c r="F49">
        <f>Analise_Instancias!G45</f>
        <v>6.1280777454376221</v>
      </c>
      <c r="G49" s="4">
        <f>Analise_Instancias!I45</f>
        <v>4.7718950445869934E-2</v>
      </c>
      <c r="H49">
        <f>Analise_Instancias!J45</f>
        <v>6.0994689464569092</v>
      </c>
      <c r="I49" s="4">
        <f>Analise_Instancias!O45</f>
        <v>2.2957774366395567E-2</v>
      </c>
      <c r="J49">
        <f>Analise_Instancias!Q45</f>
        <v>18.971728086471558</v>
      </c>
    </row>
    <row r="50" spans="1:10">
      <c r="A50" t="s">
        <v>43</v>
      </c>
      <c r="B50" t="s">
        <v>61</v>
      </c>
      <c r="C50" s="4">
        <f>Analise_Instancias!L46</f>
        <v>6.6128327884775961E-2</v>
      </c>
      <c r="D50">
        <f>Analise_Instancias!M46</f>
        <v>3.4211945533752441</v>
      </c>
      <c r="E50" s="4">
        <f>Analise_Instancias!F46</f>
        <v>6.8910649753509468E-2</v>
      </c>
      <c r="F50">
        <f>Analise_Instancias!G46</f>
        <v>4.073063850402832</v>
      </c>
      <c r="G50" s="4">
        <f>Analise_Instancias!I46</f>
        <v>4.3290163743942456E-2</v>
      </c>
      <c r="H50">
        <f>Analise_Instancias!J46</f>
        <v>4.015559196472168</v>
      </c>
      <c r="I50" s="4">
        <f>Analise_Instancias!O46</f>
        <v>4.3290163743942456E-2</v>
      </c>
      <c r="J50">
        <f>Analise_Instancias!Q46</f>
        <v>11.509817600250244</v>
      </c>
    </row>
    <row r="51" spans="1:10">
      <c r="A51" t="s">
        <v>43</v>
      </c>
      <c r="B51" t="s">
        <v>62</v>
      </c>
      <c r="C51" s="4">
        <f>Analise_Instancias!L47</f>
        <v>0.17507775070775256</v>
      </c>
      <c r="D51">
        <f>Analise_Instancias!M47</f>
        <v>3.1968626976013179</v>
      </c>
      <c r="E51" s="4">
        <f>Analise_Instancias!F47</f>
        <v>5.025681552155925E-2</v>
      </c>
      <c r="F51">
        <f>Analise_Instancias!G47</f>
        <v>3.9955954551696782</v>
      </c>
      <c r="G51" s="4">
        <f>Analise_Instancias!I47</f>
        <v>7.3044124519091147E-2</v>
      </c>
      <c r="H51">
        <f>Analise_Instancias!J47</f>
        <v>4.0414919853210449</v>
      </c>
      <c r="I51" s="4">
        <f>Analise_Instancias!O47</f>
        <v>5.025681552155925E-2</v>
      </c>
      <c r="J51">
        <f>Analise_Instancias!Q47</f>
        <v>11.233950138092041</v>
      </c>
    </row>
    <row r="52" spans="1:10">
      <c r="A52" t="s">
        <v>43</v>
      </c>
      <c r="B52" t="s">
        <v>63</v>
      </c>
      <c r="C52" s="4">
        <f>Analise_Instancias!L48</f>
        <v>2.8102700833491534E-2</v>
      </c>
      <c r="D52">
        <f>Analise_Instancias!M48</f>
        <v>3.208794116973877</v>
      </c>
      <c r="E52" s="4">
        <f>Analise_Instancias!F48</f>
        <v>6.6773574040653427E-2</v>
      </c>
      <c r="F52">
        <f>Analise_Instancias!G48</f>
        <v>3.9513182640075679</v>
      </c>
      <c r="G52" s="4">
        <f>Analise_Instancias!I48</f>
        <v>2.2122368624145183E-2</v>
      </c>
      <c r="H52">
        <f>Analise_Instancias!J48</f>
        <v>3.7631993293762211</v>
      </c>
      <c r="I52" s="4">
        <f>Analise_Instancias!O48</f>
        <v>2.2122368624145183E-2</v>
      </c>
      <c r="J52">
        <f>Analise_Instancias!Q48</f>
        <v>10.923311710357666</v>
      </c>
    </row>
    <row r="53" spans="1:10">
      <c r="A53" t="s">
        <v>43</v>
      </c>
      <c r="B53" t="s">
        <v>64</v>
      </c>
      <c r="C53" s="4">
        <f>Analise_Instancias!L49</f>
        <v>6.7414276359617276E-2</v>
      </c>
      <c r="D53">
        <f>Analise_Instancias!M49</f>
        <v>3.4797782897949219</v>
      </c>
      <c r="E53" s="4">
        <f>Analise_Instancias!F49</f>
        <v>4.6588394993035021E-2</v>
      </c>
      <c r="F53">
        <f>Analise_Instancias!G49</f>
        <v>6.5571582317352286</v>
      </c>
      <c r="G53" s="4">
        <f>Analise_Instancias!I49</f>
        <v>2.9063380041787878E-2</v>
      </c>
      <c r="H53">
        <f>Analise_Instancias!J49</f>
        <v>5.2495715618133536</v>
      </c>
      <c r="I53" s="4">
        <f>Analise_Instancias!O49</f>
        <v>2.9063380041787878E-2</v>
      </c>
      <c r="J53">
        <f>Analise_Instancias!Q49</f>
        <v>15.286508083343504</v>
      </c>
    </row>
    <row r="54" spans="1:10">
      <c r="A54" t="s">
        <v>43</v>
      </c>
      <c r="B54" t="s">
        <v>65</v>
      </c>
      <c r="C54" s="4">
        <f>Analise_Instancias!L50</f>
        <v>2.8644777693838108E-2</v>
      </c>
      <c r="D54">
        <f>Analise_Instancias!M50</f>
        <v>3.266353845596313</v>
      </c>
      <c r="E54" s="4">
        <f>Analise_Instancias!F50</f>
        <v>5.3853736733490587E-2</v>
      </c>
      <c r="F54">
        <f>Analise_Instancias!G50</f>
        <v>4.0182969570159912</v>
      </c>
      <c r="G54" s="4">
        <f>Analise_Instancias!I50</f>
        <v>2.6211240756436993E-2</v>
      </c>
      <c r="H54">
        <f>Analise_Instancias!J50</f>
        <v>3.0500977039337158</v>
      </c>
      <c r="I54" s="4">
        <f>Analise_Instancias!O50</f>
        <v>2.6211240756436993E-2</v>
      </c>
      <c r="J54">
        <f>Analise_Instancias!Q50</f>
        <v>10.334748506546021</v>
      </c>
    </row>
    <row r="55" spans="1:10">
      <c r="A55" t="s">
        <v>43</v>
      </c>
      <c r="B55" t="s">
        <v>66</v>
      </c>
      <c r="C55" s="4">
        <f>Analise_Instancias!L51</f>
        <v>3.7770014332514368E-2</v>
      </c>
      <c r="D55">
        <f>Analise_Instancias!M51</f>
        <v>3.1024689674377441</v>
      </c>
      <c r="E55" s="4">
        <f>Analise_Instancias!F51</f>
        <v>8.5485010045556864E-2</v>
      </c>
      <c r="F55">
        <f>Analise_Instancias!G51</f>
        <v>4.1240174770355216</v>
      </c>
      <c r="G55" s="4">
        <f>Analise_Instancias!I51</f>
        <v>3.7883686687397278E-2</v>
      </c>
      <c r="H55">
        <f>Analise_Instancias!J51</f>
        <v>3.4489834308624272</v>
      </c>
      <c r="I55" s="4">
        <f>Analise_Instancias!O51</f>
        <v>3.7770014332514368E-2</v>
      </c>
      <c r="J55">
        <f>Analise_Instancias!Q51</f>
        <v>10.675469875335693</v>
      </c>
    </row>
    <row r="56" spans="1:10">
      <c r="A56" t="s">
        <v>67</v>
      </c>
      <c r="B56" t="s">
        <v>68</v>
      </c>
      <c r="C56" s="4">
        <f>Analise_Instancias!L52</f>
        <v>4.5604530627636253E-2</v>
      </c>
      <c r="D56">
        <f>Analise_Instancias!M52</f>
        <v>6.2138028144836426</v>
      </c>
      <c r="E56" s="4">
        <f>Analise_Instancias!F52</f>
        <v>9.9123610663659711E-2</v>
      </c>
      <c r="F56">
        <f>Analise_Instancias!G52</f>
        <v>7.1416208744049072</v>
      </c>
      <c r="G56" s="4">
        <f>Analise_Instancias!I52</f>
        <v>6.7711498542935455E-2</v>
      </c>
      <c r="H56">
        <f>Analise_Instancias!J52</f>
        <v>7.0132906436920166</v>
      </c>
      <c r="I56" s="4">
        <f>Analise_Instancias!O52</f>
        <v>4.5604530627636253E-2</v>
      </c>
      <c r="J56">
        <f>Analise_Instancias!Q52</f>
        <v>20.368714332580566</v>
      </c>
    </row>
    <row r="57" spans="1:10">
      <c r="A57" t="s">
        <v>67</v>
      </c>
      <c r="B57" t="s">
        <v>69</v>
      </c>
      <c r="C57" s="4">
        <f>Analise_Instancias!L53</f>
        <v>5.2299864599309798E-2</v>
      </c>
      <c r="D57">
        <f>Analise_Instancias!M53</f>
        <v>6.2138028144836426</v>
      </c>
      <c r="E57" s="4">
        <f>Analise_Instancias!F53</f>
        <v>7.7752947661043015E-2</v>
      </c>
      <c r="F57">
        <f>Analise_Instancias!G53</f>
        <v>7.1416208744049072</v>
      </c>
      <c r="G57" s="4">
        <f>Analise_Instancias!I53</f>
        <v>3.8253690567484622E-2</v>
      </c>
      <c r="H57">
        <f>Analise_Instancias!J53</f>
        <v>7.0132906436920166</v>
      </c>
      <c r="I57" s="4">
        <f>Analise_Instancias!O53</f>
        <v>3.8253690567484622E-2</v>
      </c>
      <c r="J57">
        <f>Analise_Instancias!Q53</f>
        <v>20.368714332580566</v>
      </c>
    </row>
    <row r="58" spans="1:10">
      <c r="A58" t="s">
        <v>67</v>
      </c>
      <c r="B58" t="s">
        <v>70</v>
      </c>
      <c r="C58" s="4">
        <f>Analise_Instancias!L54</f>
        <v>7.4609374999989875E-4</v>
      </c>
      <c r="D58">
        <f>Analise_Instancias!M54</f>
        <v>2.960870504379272</v>
      </c>
      <c r="E58" s="4">
        <f>Analise_Instancias!F54</f>
        <v>5.5028889973958384E-2</v>
      </c>
      <c r="F58">
        <f>Analise_Instancias!G54</f>
        <v>2.808930397033691</v>
      </c>
      <c r="G58" s="4">
        <f>Analise_Instancias!I54</f>
        <v>2.2711588541666661E-2</v>
      </c>
      <c r="H58">
        <f>Analise_Instancias!J54</f>
        <v>3.8758857250213619</v>
      </c>
      <c r="I58" s="4">
        <f>Analise_Instancias!O54</f>
        <v>7.4609374999989875E-4</v>
      </c>
      <c r="J58">
        <f>Analise_Instancias!Q54</f>
        <v>9.6456866264343244</v>
      </c>
    </row>
    <row r="59" spans="1:10">
      <c r="A59" t="s">
        <v>67</v>
      </c>
      <c r="B59" t="s">
        <v>71</v>
      </c>
      <c r="C59" s="4">
        <f>Analise_Instancias!L55</f>
        <v>1.5547338395209831E-3</v>
      </c>
      <c r="D59">
        <f>Analise_Instancias!M55</f>
        <v>3.0543448925018311</v>
      </c>
      <c r="E59" s="4">
        <f>Analise_Instancias!F55</f>
        <v>1.5546265721111396E-3</v>
      </c>
      <c r="F59">
        <f>Analise_Instancias!G55</f>
        <v>2.823676586151123</v>
      </c>
      <c r="G59" s="4">
        <f>Analise_Instancias!I55</f>
        <v>3.9299346441124872E-2</v>
      </c>
      <c r="H59">
        <f>Analise_Instancias!J55</f>
        <v>0.1012251377105713</v>
      </c>
      <c r="I59" s="4">
        <f>Analise_Instancias!O55</f>
        <v>1.5546265721111396E-3</v>
      </c>
      <c r="J59">
        <f>Analise_Instancias!Q55</f>
        <v>5.9792466163635254</v>
      </c>
    </row>
    <row r="60" spans="1:10">
      <c r="A60" t="s">
        <v>67</v>
      </c>
      <c r="B60" t="s">
        <v>72</v>
      </c>
      <c r="C60" s="4">
        <f>Analise_Instancias!L56</f>
        <v>0</v>
      </c>
      <c r="D60">
        <f>Analise_Instancias!M56</f>
        <v>4.2691621780395508</v>
      </c>
      <c r="E60" s="4">
        <f>Analise_Instancias!F56</f>
        <v>0</v>
      </c>
      <c r="F60">
        <f>Analise_Instancias!G56</f>
        <v>0.14350652694702151</v>
      </c>
      <c r="G60" s="4">
        <f>Analise_Instancias!I56</f>
        <v>0</v>
      </c>
      <c r="H60">
        <f>Analise_Instancias!J56</f>
        <v>0.14496064186096189</v>
      </c>
      <c r="I60" s="4">
        <f>Analise_Instancias!O56</f>
        <v>0</v>
      </c>
      <c r="J60">
        <f>Analise_Instancias!Q56</f>
        <v>4.5576293468475342</v>
      </c>
    </row>
    <row r="61" spans="1:10">
      <c r="A61" t="s">
        <v>67</v>
      </c>
      <c r="B61" t="s">
        <v>73</v>
      </c>
      <c r="C61" s="4">
        <f>Analise_Instancias!L57</f>
        <v>7.374070218937101E-3</v>
      </c>
      <c r="D61">
        <f>Analise_Instancias!M57</f>
        <v>6.1486499309539786</v>
      </c>
      <c r="E61" s="4">
        <f>Analise_Instancias!F57</f>
        <v>1.359000748502992E-2</v>
      </c>
      <c r="F61">
        <f>Analise_Instancias!G57</f>
        <v>2.570203542709351</v>
      </c>
      <c r="G61" s="4">
        <f>Analise_Instancias!I57</f>
        <v>8.9963627432634308E-3</v>
      </c>
      <c r="H61">
        <f>Analise_Instancias!J57</f>
        <v>3.2686004638671879</v>
      </c>
      <c r="I61" s="4">
        <f>Analise_Instancias!O57</f>
        <v>7.374070218937101E-3</v>
      </c>
      <c r="J61">
        <f>Analise_Instancias!Q57</f>
        <v>11.987453937530518</v>
      </c>
    </row>
    <row r="62" spans="1:10">
      <c r="A62" t="s">
        <v>67</v>
      </c>
      <c r="B62" t="s">
        <v>74</v>
      </c>
      <c r="C62" s="4">
        <f>Analise_Instancias!L58</f>
        <v>8.4480388150791841E-2</v>
      </c>
      <c r="D62">
        <f>Analise_Instancias!M58</f>
        <v>5.100142240524292</v>
      </c>
      <c r="E62" s="4">
        <f>Analise_Instancias!F58</f>
        <v>1.7616667353946847E-2</v>
      </c>
      <c r="F62">
        <f>Analise_Instancias!G58</f>
        <v>3.1492335796356201</v>
      </c>
      <c r="G62" s="4">
        <f>Analise_Instancias!I58</f>
        <v>7.5371974718090318E-3</v>
      </c>
      <c r="H62">
        <f>Analise_Instancias!J58</f>
        <v>3.0208299160003662</v>
      </c>
      <c r="I62" s="4">
        <f>Analise_Instancias!O58</f>
        <v>7.5371974718090318E-3</v>
      </c>
      <c r="J62">
        <f>Analise_Instancias!Q58</f>
        <v>11.270205736160278</v>
      </c>
    </row>
    <row r="63" spans="1:10">
      <c r="A63" t="s">
        <v>67</v>
      </c>
      <c r="B63" t="s">
        <v>75</v>
      </c>
      <c r="C63" s="4">
        <f>Analise_Instancias!L59</f>
        <v>3.2025220020707845E-2</v>
      </c>
      <c r="D63">
        <f>Analise_Instancias!M59</f>
        <v>9.9216756820678711</v>
      </c>
      <c r="E63" s="4">
        <f>Analise_Instancias!F59</f>
        <v>5.5359769154744054E-2</v>
      </c>
      <c r="F63">
        <f>Analise_Instancias!G59</f>
        <v>9.238555908203125</v>
      </c>
      <c r="G63" s="4">
        <f>Analise_Instancias!I59</f>
        <v>3.207470997270323E-2</v>
      </c>
      <c r="H63">
        <f>Analise_Instancias!J59</f>
        <v>13.106418132781981</v>
      </c>
      <c r="I63" s="4">
        <f>Analise_Instancias!O59</f>
        <v>3.2025220020707845E-2</v>
      </c>
      <c r="J63">
        <f>Analise_Instancias!Q59</f>
        <v>32.266649723052979</v>
      </c>
    </row>
    <row r="64" spans="1:10">
      <c r="A64" t="s">
        <v>67</v>
      </c>
      <c r="B64" t="s">
        <v>76</v>
      </c>
      <c r="C64" s="4">
        <f>Analise_Instancias!L60</f>
        <v>3.4740660963516135E-2</v>
      </c>
      <c r="D64">
        <f>Analise_Instancias!M60</f>
        <v>9.9216756820678711</v>
      </c>
      <c r="E64" s="4">
        <f>Analise_Instancias!F60</f>
        <v>3.3255731207149752E-2</v>
      </c>
      <c r="F64">
        <f>Analise_Instancias!G60</f>
        <v>9.238555908203125</v>
      </c>
      <c r="G64" s="4">
        <f>Analise_Instancias!I60</f>
        <v>3.5732048849167475E-2</v>
      </c>
      <c r="H64">
        <f>Analise_Instancias!J60</f>
        <v>13.106418132781981</v>
      </c>
      <c r="I64" s="4">
        <f>Analise_Instancias!O60</f>
        <v>3.3255731207149752E-2</v>
      </c>
      <c r="J64">
        <f>Analise_Instancias!Q60</f>
        <v>32.266649723052979</v>
      </c>
    </row>
    <row r="65" spans="1:10">
      <c r="A65" t="s">
        <v>67</v>
      </c>
      <c r="B65" t="s">
        <v>77</v>
      </c>
      <c r="C65" s="4">
        <f>Analise_Instancias!L61</f>
        <v>5.5941853005865072E-2</v>
      </c>
      <c r="D65">
        <f>Analise_Instancias!M61</f>
        <v>9.9216756820678711</v>
      </c>
      <c r="E65" s="4">
        <f>Analise_Instancias!F61</f>
        <v>7.0311247078904016E-2</v>
      </c>
      <c r="F65">
        <f>Analise_Instancias!G61</f>
        <v>9.238555908203125</v>
      </c>
      <c r="G65" s="4">
        <f>Analise_Instancias!I61</f>
        <v>3.8753475961097905E-2</v>
      </c>
      <c r="H65">
        <f>Analise_Instancias!J61</f>
        <v>13.106418132781981</v>
      </c>
      <c r="I65" s="4">
        <f>Analise_Instancias!O61</f>
        <v>3.8753475961097905E-2</v>
      </c>
      <c r="J65">
        <f>Analise_Instancias!Q61</f>
        <v>32.266649723052979</v>
      </c>
    </row>
    <row r="66" spans="1:10">
      <c r="A66" t="s">
        <v>67</v>
      </c>
      <c r="B66" t="s">
        <v>78</v>
      </c>
      <c r="C66" s="4">
        <f>Analise_Instancias!L62</f>
        <v>1.9138465933248305E-2</v>
      </c>
      <c r="D66">
        <f>Analise_Instancias!M62</f>
        <v>9.9216756820678711</v>
      </c>
      <c r="E66" s="4">
        <f>Analise_Instancias!F62</f>
        <v>6.2604465614370719E-2</v>
      </c>
      <c r="F66">
        <f>Analise_Instancias!G62</f>
        <v>9.238555908203125</v>
      </c>
      <c r="G66" s="4">
        <f>Analise_Instancias!I62</f>
        <v>3.0580855389030548E-2</v>
      </c>
      <c r="H66">
        <f>Analise_Instancias!J62</f>
        <v>13.106418132781981</v>
      </c>
      <c r="I66" s="4">
        <f>Analise_Instancias!O62</f>
        <v>1.9138465933248305E-2</v>
      </c>
      <c r="J66">
        <f>Analise_Instancias!Q62</f>
        <v>32.266649723052979</v>
      </c>
    </row>
    <row r="67" spans="1:10">
      <c r="A67" t="s">
        <v>79</v>
      </c>
      <c r="B67" t="s">
        <v>80</v>
      </c>
      <c r="C67" s="4">
        <f>Analise_Instancias!L63</f>
        <v>0.28816850829657925</v>
      </c>
      <c r="D67">
        <f>Analise_Instancias!M63</f>
        <v>7.1104977130889893</v>
      </c>
      <c r="E67" s="4">
        <f>Analise_Instancias!F63</f>
        <v>0.7468403538820465</v>
      </c>
      <c r="F67">
        <f>Analise_Instancias!G63</f>
        <v>17.93290209770203</v>
      </c>
      <c r="G67" s="4">
        <f>Analise_Instancias!I63</f>
        <v>0.14188247129141573</v>
      </c>
      <c r="H67">
        <f>Analise_Instancias!J63</f>
        <v>8.8636538982391357</v>
      </c>
      <c r="I67" s="4">
        <f>Analise_Instancias!O63</f>
        <v>0.14188247129141573</v>
      </c>
      <c r="J67">
        <f>Analise_Instancias!Q63</f>
        <v>33.907053709030151</v>
      </c>
    </row>
    <row r="68" spans="1:10">
      <c r="A68" t="s">
        <v>79</v>
      </c>
      <c r="B68" t="s">
        <v>81</v>
      </c>
      <c r="C68" s="4">
        <f>Analise_Instancias!L64</f>
        <v>1.4782731704290342E-2</v>
      </c>
      <c r="D68">
        <f>Analise_Instancias!M64</f>
        <v>3.447107315063477</v>
      </c>
      <c r="E68" s="4">
        <f>Analise_Instancias!F64</f>
        <v>4.9630855328470336E-2</v>
      </c>
      <c r="F68">
        <f>Analise_Instancias!G64</f>
        <v>5.5181245803833008</v>
      </c>
      <c r="G68" s="4">
        <f>Analise_Instancias!I64</f>
        <v>5.1744998489295924E-3</v>
      </c>
      <c r="H68">
        <f>Analise_Instancias!J64</f>
        <v>2.655626773834229</v>
      </c>
      <c r="I68" s="4">
        <f>Analise_Instancias!O64</f>
        <v>5.1744998489295924E-3</v>
      </c>
      <c r="J68">
        <f>Analise_Instancias!Q64</f>
        <v>11.620858669281006</v>
      </c>
    </row>
    <row r="69" spans="1:10">
      <c r="A69" t="s">
        <v>79</v>
      </c>
      <c r="B69" t="s">
        <v>82</v>
      </c>
      <c r="C69" s="4">
        <f>Analise_Instancias!L65</f>
        <v>7.4113548053468037E-2</v>
      </c>
      <c r="D69">
        <f>Analise_Instancias!M65</f>
        <v>3.9620788097381592</v>
      </c>
      <c r="E69" s="4">
        <f>Analise_Instancias!F65</f>
        <v>9.3768542325949333E-2</v>
      </c>
      <c r="F69">
        <f>Analise_Instancias!G65</f>
        <v>5.6005246639251709</v>
      </c>
      <c r="G69" s="4">
        <f>Analise_Instancias!I65</f>
        <v>8.5054164194356519E-2</v>
      </c>
      <c r="H69">
        <f>Analise_Instancias!J65</f>
        <v>4.8395190238952637</v>
      </c>
      <c r="I69" s="4">
        <f>Analise_Instancias!O65</f>
        <v>7.4113548053468037E-2</v>
      </c>
      <c r="J69">
        <f>Analise_Instancias!Q65</f>
        <v>14.402122497558594</v>
      </c>
    </row>
    <row r="70" spans="1:10">
      <c r="A70" t="s">
        <v>115</v>
      </c>
      <c r="B70" t="s">
        <v>116</v>
      </c>
      <c r="C70" s="4">
        <f>Analise_Instancias!L66</f>
        <v>1.4147130454458923E-2</v>
      </c>
      <c r="D70">
        <f>Analise_Instancias!M66</f>
        <v>2.9455304145812988</v>
      </c>
      <c r="E70" s="4">
        <f>Analise_Instancias!F66</f>
        <v>0.22126777462842928</v>
      </c>
      <c r="F70">
        <f>Analise_Instancias!G66</f>
        <v>2.5660290718078609</v>
      </c>
      <c r="G70" s="4">
        <f>Analise_Instancias!I66</f>
        <v>1.5700772913490812E-2</v>
      </c>
      <c r="H70">
        <f>Analise_Instancias!J66</f>
        <v>2.506531953811646</v>
      </c>
      <c r="I70" s="4">
        <f>Analise_Instancias!O66</f>
        <v>1.4147130454458923E-2</v>
      </c>
      <c r="J70">
        <f>Analise_Instancias!Q66</f>
        <v>8.0180914402008057</v>
      </c>
    </row>
    <row r="71" spans="1:10">
      <c r="A71" t="s">
        <v>115</v>
      </c>
      <c r="B71" t="s">
        <v>117</v>
      </c>
      <c r="C71" s="4">
        <f>Analise_Instancias!L67</f>
        <v>5.1808340637089056E-2</v>
      </c>
      <c r="D71">
        <f>Analise_Instancias!M67</f>
        <v>2.6123578548431401</v>
      </c>
      <c r="E71" s="4">
        <f>Analise_Instancias!F67</f>
        <v>0.15459768269463248</v>
      </c>
      <c r="F71">
        <f>Analise_Instancias!G67</f>
        <v>2.932099580764771</v>
      </c>
      <c r="G71" s="4">
        <f>Analise_Instancias!I67</f>
        <v>4.2398537611822995E-2</v>
      </c>
      <c r="H71">
        <f>Analise_Instancias!J67</f>
        <v>2.3583824634552002</v>
      </c>
      <c r="I71" s="4">
        <f>Analise_Instancias!O67</f>
        <v>4.2398537611822995E-2</v>
      </c>
      <c r="J71">
        <f>Analise_Instancias!Q67</f>
        <v>7.9028398990631104</v>
      </c>
    </row>
    <row r="72" spans="1:10">
      <c r="A72" t="s">
        <v>115</v>
      </c>
      <c r="B72" t="s">
        <v>118</v>
      </c>
      <c r="C72" s="4">
        <f>Analise_Instancias!L68</f>
        <v>7.1176493226601023E-2</v>
      </c>
      <c r="D72">
        <f>Analise_Instancias!M68</f>
        <v>4.1812434196472168</v>
      </c>
      <c r="E72" s="4">
        <f>Analise_Instancias!F68</f>
        <v>0.11862925261699497</v>
      </c>
      <c r="F72">
        <f>Analise_Instancias!G68</f>
        <v>3.3596851825714111</v>
      </c>
      <c r="G72" s="4">
        <f>Analise_Instancias!I68</f>
        <v>6.6024043642241459E-2</v>
      </c>
      <c r="H72">
        <f>Analise_Instancias!J68</f>
        <v>3.1036827564239502</v>
      </c>
      <c r="I72" s="4">
        <f>Analise_Instancias!O68</f>
        <v>6.6024043642241459E-2</v>
      </c>
      <c r="J72">
        <f>Analise_Instancias!Q68</f>
        <v>10.644611358642578</v>
      </c>
    </row>
    <row r="73" spans="1:10">
      <c r="A73" t="s">
        <v>115</v>
      </c>
      <c r="B73" t="s">
        <v>119</v>
      </c>
      <c r="C73" s="4">
        <f>Analise_Instancias!L69</f>
        <v>6.8446663896929216E-2</v>
      </c>
      <c r="D73">
        <f>Analise_Instancias!M69</f>
        <v>5.7961440086364746</v>
      </c>
      <c r="E73" s="4">
        <f>Analise_Instancias!F69</f>
        <v>0.18286171139128737</v>
      </c>
      <c r="F73">
        <f>Analise_Instancias!G69</f>
        <v>6.205467700958252</v>
      </c>
      <c r="G73" s="4">
        <f>Analise_Instancias!I69</f>
        <v>0.10048849204645838</v>
      </c>
      <c r="H73">
        <f>Analise_Instancias!J69</f>
        <v>5.2532594203948966</v>
      </c>
      <c r="I73" s="4">
        <f>Analise_Instancias!O69</f>
        <v>6.8446663896929216E-2</v>
      </c>
      <c r="J73">
        <f>Analise_Instancias!Q69</f>
        <v>17.254871129989624</v>
      </c>
    </row>
    <row r="74" spans="1:10">
      <c r="A74" t="s">
        <v>115</v>
      </c>
      <c r="B74" t="s">
        <v>120</v>
      </c>
      <c r="C74" s="4">
        <f>Analise_Instancias!L70</f>
        <v>6.6076899509803999E-2</v>
      </c>
      <c r="D74">
        <f>Analise_Instancias!M70</f>
        <v>5.7961440086364746</v>
      </c>
      <c r="E74" s="4">
        <f>Analise_Instancias!F70</f>
        <v>0.17853879442401954</v>
      </c>
      <c r="F74">
        <f>Analise_Instancias!G70</f>
        <v>6.205467700958252</v>
      </c>
      <c r="G74" s="4">
        <f>Analise_Instancias!I70</f>
        <v>0.10061609604779442</v>
      </c>
      <c r="H74">
        <f>Analise_Instancias!J70</f>
        <v>5.2532594203948966</v>
      </c>
      <c r="I74" s="4">
        <f>Analise_Instancias!O70</f>
        <v>6.6076899509803999E-2</v>
      </c>
      <c r="J74">
        <f>Analise_Instancias!Q70</f>
        <v>17.254871129989624</v>
      </c>
    </row>
    <row r="75" spans="1:10">
      <c r="A75" t="s">
        <v>121</v>
      </c>
      <c r="B75" t="s">
        <v>122</v>
      </c>
      <c r="C75" s="4">
        <f>Analise_Instancias!L71</f>
        <v>9.4893445702551427E-2</v>
      </c>
      <c r="D75">
        <f>Analise_Instancias!M71</f>
        <v>0.57243895530700684</v>
      </c>
      <c r="E75" s="4">
        <f>Analise_Instancias!F71</f>
        <v>9.6613185171163796E-2</v>
      </c>
      <c r="F75">
        <f>Analise_Instancias!G71</f>
        <v>4.2975547313690194</v>
      </c>
      <c r="G75" s="4">
        <f>Analise_Instancias!I71</f>
        <v>6.6753191394777867E-2</v>
      </c>
      <c r="H75">
        <f>Analise_Instancias!J71</f>
        <v>3.5447700023651119</v>
      </c>
      <c r="I75" s="4">
        <f>Analise_Instancias!O71</f>
        <v>6.6753191394777867E-2</v>
      </c>
      <c r="J75">
        <f>Analise_Instancias!Q71</f>
        <v>8.4147636890411377</v>
      </c>
    </row>
    <row r="76" spans="1:10">
      <c r="A76" t="s">
        <v>121</v>
      </c>
      <c r="B76" t="s">
        <v>123</v>
      </c>
      <c r="C76" s="4">
        <f>Analise_Instancias!L72</f>
        <v>4.326850043402608E-3</v>
      </c>
      <c r="D76">
        <f>Analise_Instancias!M72</f>
        <v>2.0814764499664311</v>
      </c>
      <c r="E76" s="4">
        <f>Analise_Instancias!F72</f>
        <v>4.326850043402608E-3</v>
      </c>
      <c r="F76">
        <f>Analise_Instancias!G72</f>
        <v>0.1099700927734375</v>
      </c>
      <c r="G76" s="4">
        <f>Analise_Instancias!I72</f>
        <v>4.326850043402608E-3</v>
      </c>
      <c r="H76">
        <f>Analise_Instancias!J72</f>
        <v>3.2441725730896001</v>
      </c>
      <c r="I76" s="4">
        <f>Analise_Instancias!O72</f>
        <v>4.326850043402608E-3</v>
      </c>
      <c r="J76">
        <f>Analise_Instancias!Q72</f>
        <v>5.4356191158294687</v>
      </c>
    </row>
    <row r="77" spans="1:10">
      <c r="A77" t="s">
        <v>121</v>
      </c>
      <c r="B77" t="s">
        <v>124</v>
      </c>
      <c r="C77" s="4">
        <f>Analise_Instancias!L73</f>
        <v>4.0769469063236752E-2</v>
      </c>
      <c r="D77">
        <f>Analise_Instancias!M73</f>
        <v>2.990282535552979</v>
      </c>
      <c r="E77" s="4">
        <f>Analise_Instancias!F73</f>
        <v>4.0769469063236752E-2</v>
      </c>
      <c r="F77">
        <f>Analise_Instancias!G73</f>
        <v>4.5985660552978516</v>
      </c>
      <c r="G77" s="4">
        <f>Analise_Instancias!I73</f>
        <v>4.0769469063236752E-2</v>
      </c>
      <c r="H77">
        <f>Analise_Instancias!J73</f>
        <v>6.1232118606567383</v>
      </c>
      <c r="I77" s="4">
        <f>Analise_Instancias!O73</f>
        <v>4.0769469063236752E-2</v>
      </c>
      <c r="J77">
        <f>Analise_Instancias!Q73</f>
        <v>13.712060451507568</v>
      </c>
    </row>
    <row r="78" spans="1:10">
      <c r="A78" t="s">
        <v>121</v>
      </c>
      <c r="B78" t="s">
        <v>125</v>
      </c>
      <c r="C78" s="4">
        <f>Analise_Instancias!L74</f>
        <v>0.17784881591796853</v>
      </c>
      <c r="D78">
        <f>Analise_Instancias!M74</f>
        <v>3.0722846984863281</v>
      </c>
      <c r="E78" s="4">
        <f>Analise_Instancias!F74</f>
        <v>2.1394093831380134E-2</v>
      </c>
      <c r="F78">
        <f>Analise_Instancias!G74</f>
        <v>5.0575244426727286</v>
      </c>
      <c r="G78" s="4">
        <f>Analise_Instancias!I74</f>
        <v>4.8665082013165772E-2</v>
      </c>
      <c r="H78">
        <f>Analise_Instancias!J74</f>
        <v>5.9177107810974121</v>
      </c>
      <c r="I78" s="4">
        <f>Analise_Instancias!O74</f>
        <v>2.1394093831380134E-2</v>
      </c>
      <c r="J78">
        <f>Analise_Instancias!Q74</f>
        <v>14.04751992225647</v>
      </c>
    </row>
    <row r="79" spans="1:10">
      <c r="A79" t="s">
        <v>121</v>
      </c>
      <c r="B79" t="s">
        <v>126</v>
      </c>
      <c r="C79" s="4">
        <f>Analise_Instancias!L75</f>
        <v>0.20933207290432465</v>
      </c>
      <c r="D79">
        <f>Analise_Instancias!M75</f>
        <v>3.137590885162354</v>
      </c>
      <c r="E79" s="4">
        <f>Analise_Instancias!F75</f>
        <v>8.1116011922393039E-3</v>
      </c>
      <c r="F79">
        <f>Analise_Instancias!G75</f>
        <v>3.906652688980103</v>
      </c>
      <c r="G79" s="4">
        <f>Analise_Instancias!I75</f>
        <v>1.7711476692090944E-2</v>
      </c>
      <c r="H79">
        <f>Analise_Instancias!J75</f>
        <v>3.7834844589233398</v>
      </c>
      <c r="I79" s="4">
        <f>Analise_Instancias!O75</f>
        <v>8.1116011922393039E-3</v>
      </c>
      <c r="J79">
        <f>Analise_Instancias!Q75</f>
        <v>10.827728033065796</v>
      </c>
    </row>
    <row r="80" spans="1:10">
      <c r="A80" t="s">
        <v>121</v>
      </c>
      <c r="B80" t="s">
        <v>127</v>
      </c>
      <c r="C80" s="4">
        <f>Analise_Instancias!L76</f>
        <v>0.20521785594798891</v>
      </c>
      <c r="D80">
        <f>Analise_Instancias!M76</f>
        <v>3.3053288459777832</v>
      </c>
      <c r="E80" s="4">
        <f>Analise_Instancias!F76</f>
        <v>1.8032921685112946E-2</v>
      </c>
      <c r="F80">
        <f>Analise_Instancias!G76</f>
        <v>3.7164359092712398</v>
      </c>
      <c r="G80" s="4">
        <f>Analise_Instancias!I76</f>
        <v>9.494498923972694E-3</v>
      </c>
      <c r="H80">
        <f>Analise_Instancias!J76</f>
        <v>3.8020894527435298</v>
      </c>
      <c r="I80" s="4">
        <f>Analise_Instancias!O76</f>
        <v>9.494498923972694E-3</v>
      </c>
      <c r="J80">
        <f>Analise_Instancias!Q76</f>
        <v>10.823854207992554</v>
      </c>
    </row>
    <row r="81" spans="1:10">
      <c r="A81" t="s">
        <v>121</v>
      </c>
      <c r="B81" t="s">
        <v>128</v>
      </c>
      <c r="C81" s="4">
        <f>Analise_Instancias!L77</f>
        <v>0</v>
      </c>
      <c r="D81">
        <f>Analise_Instancias!M77</f>
        <v>3.3053288459777832</v>
      </c>
      <c r="E81" s="4">
        <f>Analise_Instancias!F77</f>
        <v>0</v>
      </c>
      <c r="F81">
        <f>Analise_Instancias!G77</f>
        <v>3.7164359092712398</v>
      </c>
      <c r="G81" s="4">
        <f>Analise_Instancias!I77</f>
        <v>2.8903132449730418E-2</v>
      </c>
      <c r="H81">
        <f>Analise_Instancias!J77</f>
        <v>3.8020894527435298</v>
      </c>
      <c r="I81" s="4">
        <f>Analise_Instancias!O77</f>
        <v>0</v>
      </c>
      <c r="J81">
        <f>Analise_Instancias!Q77</f>
        <v>10.823854207992554</v>
      </c>
    </row>
    <row r="82" spans="1:10">
      <c r="A82" t="s">
        <v>121</v>
      </c>
      <c r="B82" t="s">
        <v>129</v>
      </c>
      <c r="C82" s="4">
        <f>Analise_Instancias!L78</f>
        <v>1.8617107196656324E-2</v>
      </c>
      <c r="D82">
        <f>Analise_Instancias!M78</f>
        <v>3.7270050048828121</v>
      </c>
      <c r="E82" s="4">
        <f>Analise_Instancias!F78</f>
        <v>2.3281623825909703E-2</v>
      </c>
      <c r="F82">
        <f>Analise_Instancias!G78</f>
        <v>3.6725859642028809</v>
      </c>
      <c r="G82" s="4">
        <f>Analise_Instancias!I78</f>
        <v>2.5000415362121942E-2</v>
      </c>
      <c r="H82">
        <f>Analise_Instancias!J78</f>
        <v>3.7273232936859131</v>
      </c>
      <c r="I82" s="4">
        <f>Analise_Instancias!O78</f>
        <v>1.8617107196656324E-2</v>
      </c>
      <c r="J82">
        <f>Analise_Instancias!Q78</f>
        <v>11.126914262771606</v>
      </c>
    </row>
    <row r="83" spans="1:10">
      <c r="A83" t="s">
        <v>121</v>
      </c>
      <c r="B83" t="s">
        <v>130</v>
      </c>
      <c r="C83" s="4">
        <f>Analise_Instancias!L79</f>
        <v>6.9035292712882113E-2</v>
      </c>
      <c r="D83">
        <f>Analise_Instancias!M79</f>
        <v>3.634087085723877</v>
      </c>
      <c r="E83" s="4">
        <f>Analise_Instancias!F79</f>
        <v>1.8163822623840087E-2</v>
      </c>
      <c r="F83">
        <f>Analise_Instancias!G79</f>
        <v>5.774458646774292</v>
      </c>
      <c r="G83" s="4">
        <f>Analise_Instancias!I79</f>
        <v>8.1357997577784502E-3</v>
      </c>
      <c r="H83">
        <f>Analise_Instancias!J79</f>
        <v>5.0531706809997559</v>
      </c>
      <c r="I83" s="4">
        <f>Analise_Instancias!O79</f>
        <v>8.1357997577784502E-3</v>
      </c>
      <c r="J83">
        <f>Analise_Instancias!Q79</f>
        <v>14.461716413497925</v>
      </c>
    </row>
    <row r="84" spans="1:10">
      <c r="A84" t="s">
        <v>121</v>
      </c>
      <c r="B84" t="s">
        <v>131</v>
      </c>
      <c r="C84" s="4">
        <f>Analise_Instancias!L80</f>
        <v>8.7568694469975394E-2</v>
      </c>
      <c r="D84">
        <f>Analise_Instancias!M80</f>
        <v>3.7465088367462158</v>
      </c>
      <c r="E84" s="4">
        <f>Analise_Instancias!F80</f>
        <v>8.6691463694852366E-3</v>
      </c>
      <c r="F84">
        <f>Analise_Instancias!G80</f>
        <v>5.2497093677520752</v>
      </c>
      <c r="G84" s="4">
        <f>Analise_Instancias!I80</f>
        <v>1.9381414675245123E-2</v>
      </c>
      <c r="H84">
        <f>Analise_Instancias!J80</f>
        <v>4.9817330837249756</v>
      </c>
      <c r="I84" s="4">
        <f>Analise_Instancias!O80</f>
        <v>8.6691463694852366E-3</v>
      </c>
      <c r="J84">
        <f>Analise_Instancias!Q80</f>
        <v>13.977951288223267</v>
      </c>
    </row>
    <row r="85" spans="1:10">
      <c r="A85" t="s">
        <v>121</v>
      </c>
      <c r="B85" t="s">
        <v>132</v>
      </c>
      <c r="C85" s="4">
        <f>Analise_Instancias!L81</f>
        <v>5.165731495824355E-2</v>
      </c>
      <c r="D85">
        <f>Analise_Instancias!M81</f>
        <v>5.9056720733642578</v>
      </c>
      <c r="E85" s="4">
        <f>Analise_Instancias!F81</f>
        <v>4.3423707457794558E-2</v>
      </c>
      <c r="F85">
        <f>Analise_Instancias!G81</f>
        <v>9.259958028793335</v>
      </c>
      <c r="G85" s="4">
        <f>Analise_Instancias!I81</f>
        <v>3.9602433127918557E-2</v>
      </c>
      <c r="H85">
        <f>Analise_Instancias!J81</f>
        <v>5.7965090274810791</v>
      </c>
      <c r="I85" s="4">
        <f>Analise_Instancias!O81</f>
        <v>3.9602433127918557E-2</v>
      </c>
      <c r="J85">
        <f>Analise_Instancias!Q81</f>
        <v>20.962139129638672</v>
      </c>
    </row>
    <row r="86" spans="1:10">
      <c r="A86" t="s">
        <v>121</v>
      </c>
      <c r="B86" t="s">
        <v>133</v>
      </c>
      <c r="C86" s="4">
        <f>Analise_Instancias!L82</f>
        <v>4.1580806140004478E-2</v>
      </c>
      <c r="D86">
        <f>Analise_Instancias!M82</f>
        <v>5.9056720733642578</v>
      </c>
      <c r="E86" s="4">
        <f>Analise_Instancias!F82</f>
        <v>1.8016388269968431E-2</v>
      </c>
      <c r="F86">
        <f>Analise_Instancias!G82</f>
        <v>9.259958028793335</v>
      </c>
      <c r="G86" s="4">
        <f>Analise_Instancias!I82</f>
        <v>4.3692798821074019E-2</v>
      </c>
      <c r="H86">
        <f>Analise_Instancias!J82</f>
        <v>5.7965090274810791</v>
      </c>
      <c r="I86" s="4">
        <f>Analise_Instancias!O82</f>
        <v>1.8016388269968431E-2</v>
      </c>
      <c r="J86">
        <f>Analise_Instancias!Q82</f>
        <v>20.962139129638672</v>
      </c>
    </row>
    <row r="87" spans="1:10">
      <c r="A87" t="s">
        <v>121</v>
      </c>
      <c r="B87" t="s">
        <v>134</v>
      </c>
      <c r="C87" s="4">
        <f>Analise_Instancias!L83</f>
        <v>3.5847272434627486E-2</v>
      </c>
      <c r="D87">
        <f>Analise_Instancias!M83</f>
        <v>5.9056720733642578</v>
      </c>
      <c r="E87" s="4">
        <f>Analise_Instancias!F83</f>
        <v>2.9729828025950811E-2</v>
      </c>
      <c r="F87">
        <f>Analise_Instancias!G83</f>
        <v>9.259958028793335</v>
      </c>
      <c r="G87" s="4">
        <f>Analise_Instancias!I83</f>
        <v>1.8235873118066515E-2</v>
      </c>
      <c r="H87">
        <f>Analise_Instancias!J83</f>
        <v>5.7965090274810791</v>
      </c>
      <c r="I87" s="4">
        <f>Analise_Instancias!O83</f>
        <v>1.8235873118066515E-2</v>
      </c>
      <c r="J87">
        <f>Analise_Instancias!Q83</f>
        <v>20.962139129638672</v>
      </c>
    </row>
    <row r="88" spans="1:10">
      <c r="A88" t="s">
        <v>121</v>
      </c>
      <c r="B88" t="s">
        <v>135</v>
      </c>
      <c r="C88" s="4">
        <f>Analise_Instancias!L84</f>
        <v>3.3125616117366752E-2</v>
      </c>
      <c r="D88">
        <f>Analise_Instancias!M84</f>
        <v>3.960512638092041</v>
      </c>
      <c r="E88" s="4">
        <f>Analise_Instancias!F84</f>
        <v>4.1143708222629805E-2</v>
      </c>
      <c r="F88">
        <f>Analise_Instancias!G84</f>
        <v>4.4888980388641357</v>
      </c>
      <c r="G88" s="4">
        <f>Analise_Instancias!I84</f>
        <v>3.3867263279141469E-2</v>
      </c>
      <c r="H88">
        <f>Analise_Instancias!J84</f>
        <v>3.880982637405396</v>
      </c>
      <c r="I88" s="4">
        <f>Analise_Instancias!O84</f>
        <v>3.3125616117366752E-2</v>
      </c>
      <c r="J88">
        <f>Analise_Instancias!Q84</f>
        <v>12.330393314361572</v>
      </c>
    </row>
    <row r="89" spans="1:10">
      <c r="A89" t="s">
        <v>121</v>
      </c>
      <c r="B89" t="s">
        <v>136</v>
      </c>
      <c r="C89" s="4">
        <f>Analise_Instancias!L85</f>
        <v>2.8416174633015157E-2</v>
      </c>
      <c r="D89">
        <f>Analise_Instancias!M85</f>
        <v>8.0124039649963379</v>
      </c>
      <c r="E89" s="4">
        <f>Analise_Instancias!F85</f>
        <v>2.3745226241669748E-2</v>
      </c>
      <c r="F89">
        <f>Analise_Instancias!G85</f>
        <v>5.9331440925598136</v>
      </c>
      <c r="G89" s="4">
        <f>Analise_Instancias!I85</f>
        <v>3.009156328800433E-2</v>
      </c>
      <c r="H89">
        <f>Analise_Instancias!J85</f>
        <v>7.7370922565460214</v>
      </c>
      <c r="I89" s="4">
        <f>Analise_Instancias!O85</f>
        <v>2.3745226241669748E-2</v>
      </c>
      <c r="J89">
        <f>Analise_Instancias!Q85</f>
        <v>21.682640314102173</v>
      </c>
    </row>
    <row r="90" spans="1:10">
      <c r="A90" t="s">
        <v>121</v>
      </c>
      <c r="B90" t="s">
        <v>137</v>
      </c>
      <c r="C90" s="4">
        <f>Analise_Instancias!L86</f>
        <v>0</v>
      </c>
      <c r="D90">
        <f>Analise_Instancias!M86</f>
        <v>8.0124039649963379</v>
      </c>
      <c r="E90" s="4">
        <f>Analise_Instancias!F86</f>
        <v>0</v>
      </c>
      <c r="F90">
        <f>Analise_Instancias!G86</f>
        <v>5.9331440925598136</v>
      </c>
      <c r="G90" s="4">
        <f>Analise_Instancias!I86</f>
        <v>0</v>
      </c>
      <c r="H90">
        <f>Analise_Instancias!J86</f>
        <v>7.7370922565460214</v>
      </c>
      <c r="I90" s="4">
        <f>Analise_Instancias!O86</f>
        <v>0</v>
      </c>
      <c r="J90">
        <f>Analise_Instancias!Q86</f>
        <v>21.682640314102173</v>
      </c>
    </row>
    <row r="91" spans="1:10">
      <c r="A91" t="s">
        <v>121</v>
      </c>
      <c r="B91" t="s">
        <v>138</v>
      </c>
      <c r="C91" s="4">
        <f>Analise_Instancias!L87</f>
        <v>4.8375411772392241E-2</v>
      </c>
      <c r="D91">
        <f>Analise_Instancias!M87</f>
        <v>8.0124039649963379</v>
      </c>
      <c r="E91" s="4">
        <f>Analise_Instancias!F87</f>
        <v>4.5291417081591012E-2</v>
      </c>
      <c r="F91">
        <f>Analise_Instancias!G87</f>
        <v>5.9331440925598136</v>
      </c>
      <c r="G91" s="4">
        <f>Analise_Instancias!I87</f>
        <v>3.3870965662136987E-2</v>
      </c>
      <c r="H91">
        <f>Analise_Instancias!J87</f>
        <v>7.7370922565460214</v>
      </c>
      <c r="I91" s="4">
        <f>Analise_Instancias!O87</f>
        <v>3.3870965662136987E-2</v>
      </c>
      <c r="J91">
        <f>Analise_Instancias!Q87</f>
        <v>21.682640314102173</v>
      </c>
    </row>
    <row r="92" spans="1:10">
      <c r="A92" t="s">
        <v>121</v>
      </c>
      <c r="B92" t="s">
        <v>139</v>
      </c>
      <c r="C92" s="4">
        <f>Analise_Instancias!L88</f>
        <v>1.2547499468537504E-2</v>
      </c>
      <c r="D92">
        <f>Analise_Instancias!M88</f>
        <v>8.0124039649963379</v>
      </c>
      <c r="E92" s="4">
        <f>Analise_Instancias!F88</f>
        <v>3.4378985969385489E-4</v>
      </c>
      <c r="F92">
        <f>Analise_Instancias!G88</f>
        <v>5.9331440925598136</v>
      </c>
      <c r="G92" s="4">
        <f>Analise_Instancias!I88</f>
        <v>6.5496535528273281E-3</v>
      </c>
      <c r="H92">
        <f>Analise_Instancias!J88</f>
        <v>7.7370922565460214</v>
      </c>
      <c r="I92" s="4">
        <f>Analise_Instancias!O88</f>
        <v>3.4378985969385489E-4</v>
      </c>
      <c r="J92">
        <f>Analise_Instancias!Q88</f>
        <v>21.682640314102173</v>
      </c>
    </row>
    <row r="93" spans="1:10">
      <c r="A93" t="s">
        <v>121</v>
      </c>
      <c r="B93" t="s">
        <v>140</v>
      </c>
      <c r="C93" s="4">
        <f>Analise_Instancias!L89</f>
        <v>4.1195366972236247E-2</v>
      </c>
      <c r="D93">
        <f>Analise_Instancias!M89</f>
        <v>5.9803359508514404</v>
      </c>
      <c r="E93" s="4">
        <f>Analise_Instancias!F89</f>
        <v>4.4511856571320507E-2</v>
      </c>
      <c r="F93">
        <f>Analise_Instancias!G89</f>
        <v>4.6048662662506104</v>
      </c>
      <c r="G93" s="4">
        <f>Analise_Instancias!I89</f>
        <v>2.3817328996555753E-2</v>
      </c>
      <c r="H93">
        <f>Analise_Instancias!J89</f>
        <v>4.8413698673248291</v>
      </c>
      <c r="I93" s="4">
        <f>Analise_Instancias!O89</f>
        <v>2.3817328996555753E-2</v>
      </c>
      <c r="J93">
        <f>Analise_Instancias!Q89</f>
        <v>15.42657208442688</v>
      </c>
    </row>
    <row r="94" spans="1:10">
      <c r="A94" t="s">
        <v>121</v>
      </c>
      <c r="B94" t="s">
        <v>141</v>
      </c>
      <c r="C94" s="4">
        <f>Analise_Instancias!L90</f>
        <v>5.2191048614250057E-2</v>
      </c>
      <c r="D94">
        <f>Analise_Instancias!M90</f>
        <v>5.9803359508514404</v>
      </c>
      <c r="E94" s="4">
        <f>Analise_Instancias!F90</f>
        <v>7.6667470380294311E-2</v>
      </c>
      <c r="F94">
        <f>Analise_Instancias!G90</f>
        <v>4.6048662662506104</v>
      </c>
      <c r="G94" s="4">
        <f>Analise_Instancias!I90</f>
        <v>2.7607437007683311E-2</v>
      </c>
      <c r="H94">
        <f>Analise_Instancias!J90</f>
        <v>4.8413698673248291</v>
      </c>
      <c r="I94" s="4">
        <f>Analise_Instancias!O90</f>
        <v>2.7607437007683311E-2</v>
      </c>
      <c r="J94">
        <f>Analise_Instancias!Q90</f>
        <v>15.42657208442688</v>
      </c>
    </row>
    <row r="95" spans="1:10">
      <c r="A95" t="s">
        <v>121</v>
      </c>
      <c r="B95" t="s">
        <v>142</v>
      </c>
      <c r="C95" s="4">
        <f>Analise_Instancias!L91</f>
        <v>4.4496786714804282E-2</v>
      </c>
      <c r="D95">
        <f>Analise_Instancias!M91</f>
        <v>3.8121659755706792</v>
      </c>
      <c r="E95" s="4">
        <f>Analise_Instancias!F91</f>
        <v>4.4745320021503998E-2</v>
      </c>
      <c r="F95">
        <f>Analise_Instancias!G91</f>
        <v>3.9269406795501709</v>
      </c>
      <c r="G95" s="4">
        <f>Analise_Instancias!I91</f>
        <v>2.6438549311474047E-2</v>
      </c>
      <c r="H95">
        <f>Analise_Instancias!J91</f>
        <v>3.0925877094268799</v>
      </c>
      <c r="I95" s="4">
        <f>Analise_Instancias!O91</f>
        <v>2.6438549311474047E-2</v>
      </c>
      <c r="J95">
        <f>Analise_Instancias!Q91</f>
        <v>10.831694364547729</v>
      </c>
    </row>
    <row r="96" spans="1:10">
      <c r="A96" t="s">
        <v>121</v>
      </c>
      <c r="B96" t="s">
        <v>143</v>
      </c>
      <c r="C96" s="4">
        <f>Analise_Instancias!L92</f>
        <v>2.9891285094845843E-2</v>
      </c>
      <c r="D96">
        <f>Analise_Instancias!M92</f>
        <v>4.0091357231140137</v>
      </c>
      <c r="E96" s="4">
        <f>Analise_Instancias!F92</f>
        <v>4.5529643454315316E-2</v>
      </c>
      <c r="F96">
        <f>Analise_Instancias!G92</f>
        <v>3.219674825668335</v>
      </c>
      <c r="G96" s="4">
        <f>Analise_Instancias!I92</f>
        <v>3.382779436215233E-2</v>
      </c>
      <c r="H96">
        <f>Analise_Instancias!J92</f>
        <v>2.9403140544891362</v>
      </c>
      <c r="I96" s="4">
        <f>Analise_Instancias!O92</f>
        <v>2.9891285094845843E-2</v>
      </c>
      <c r="J96">
        <f>Analise_Instancias!Q92</f>
        <v>10.169124603271484</v>
      </c>
    </row>
    <row r="97" spans="1:10">
      <c r="A97" t="s">
        <v>121</v>
      </c>
      <c r="B97" t="s">
        <v>144</v>
      </c>
      <c r="C97" s="4">
        <f>Analise_Instancias!L93</f>
        <v>8.5313356344856706E-2</v>
      </c>
      <c r="D97">
        <f>Analise_Instancias!M93</f>
        <v>4.3511836528778076</v>
      </c>
      <c r="E97" s="4">
        <f>Analise_Instancias!F93</f>
        <v>7.8451378550537632E-2</v>
      </c>
      <c r="F97">
        <f>Analise_Instancias!G93</f>
        <v>2.6638779640197749</v>
      </c>
      <c r="G97" s="4">
        <f>Analise_Instancias!I93</f>
        <v>7.8291946076623153E-2</v>
      </c>
      <c r="H97">
        <f>Analise_Instancias!J93</f>
        <v>3.257413387298584</v>
      </c>
      <c r="I97" s="4">
        <f>Analise_Instancias!O93</f>
        <v>7.8291946076623153E-2</v>
      </c>
      <c r="J97">
        <f>Analise_Instancias!Q93</f>
        <v>10.272475004196167</v>
      </c>
    </row>
    <row r="98" spans="1:10">
      <c r="A98" t="s">
        <v>121</v>
      </c>
      <c r="B98" t="s">
        <v>145</v>
      </c>
      <c r="C98" s="4">
        <f>Analise_Instancias!L94</f>
        <v>6.2131355443829639E-2</v>
      </c>
      <c r="D98">
        <f>Analise_Instancias!M94</f>
        <v>4.3511836528778076</v>
      </c>
      <c r="E98" s="4">
        <f>Analise_Instancias!F94</f>
        <v>3.9465896630781483E-2</v>
      </c>
      <c r="F98">
        <f>Analise_Instancias!G94</f>
        <v>2.6638779640197749</v>
      </c>
      <c r="G98" s="4">
        <f>Analise_Instancias!I94</f>
        <v>2.9842394961124397E-2</v>
      </c>
      <c r="H98">
        <f>Analise_Instancias!J94</f>
        <v>3.257413387298584</v>
      </c>
      <c r="I98" s="4">
        <f>Analise_Instancias!O94</f>
        <v>2.9842394961124397E-2</v>
      </c>
      <c r="J98">
        <f>Analise_Instancias!Q94</f>
        <v>10.272475004196167</v>
      </c>
    </row>
    <row r="99" spans="1:10">
      <c r="A99" t="s">
        <v>146</v>
      </c>
      <c r="B99" t="s">
        <v>147</v>
      </c>
      <c r="C99" s="4">
        <f>Analise_Instancias!L95</f>
        <v>8.2399507262998828E-2</v>
      </c>
      <c r="D99">
        <f>Analise_Instancias!M95</f>
        <v>5.0155410766601563</v>
      </c>
      <c r="E99" s="4">
        <f>Analise_Instancias!F95</f>
        <v>9.4637514451291871E-2</v>
      </c>
      <c r="F99">
        <f>Analise_Instancias!G95</f>
        <v>6.432598352432251</v>
      </c>
      <c r="G99" s="4">
        <f>Analise_Instancias!I95</f>
        <v>6.7959098902252935E-2</v>
      </c>
      <c r="H99">
        <f>Analise_Instancias!J95</f>
        <v>5.4946568012237549</v>
      </c>
      <c r="I99" s="4">
        <f>Analise_Instancias!O95</f>
        <v>6.7959098902252935E-2</v>
      </c>
      <c r="J99">
        <f>Analise_Instancias!Q95</f>
        <v>16.942796230316162</v>
      </c>
    </row>
    <row r="100" spans="1:10">
      <c r="A100" t="s">
        <v>146</v>
      </c>
      <c r="B100" t="s">
        <v>148</v>
      </c>
      <c r="C100" s="4">
        <f>Analise_Instancias!L96</f>
        <v>7.4873558841628274E-2</v>
      </c>
      <c r="D100">
        <f>Analise_Instancias!M96</f>
        <v>5.0155410766601563</v>
      </c>
      <c r="E100" s="4">
        <f>Analise_Instancias!F96</f>
        <v>0.14500984063289346</v>
      </c>
      <c r="F100">
        <f>Analise_Instancias!G96</f>
        <v>6.432598352432251</v>
      </c>
      <c r="G100" s="4">
        <f>Analise_Instancias!I96</f>
        <v>4.0010494057361123E-2</v>
      </c>
      <c r="H100">
        <f>Analise_Instancias!J96</f>
        <v>5.4946568012237549</v>
      </c>
      <c r="I100" s="4">
        <f>Analise_Instancias!O96</f>
        <v>4.0010494057361123E-2</v>
      </c>
      <c r="J100">
        <f>Analise_Instancias!Q96</f>
        <v>16.942796230316162</v>
      </c>
    </row>
    <row r="101" spans="1:10">
      <c r="A101" t="s">
        <v>146</v>
      </c>
      <c r="B101" t="s">
        <v>149</v>
      </c>
      <c r="C101" s="4">
        <f>Analise_Instancias!L97</f>
        <v>7.1103448261493396E-2</v>
      </c>
      <c r="D101">
        <f>Analise_Instancias!M97</f>
        <v>5.0155410766601563</v>
      </c>
      <c r="E101" s="4">
        <f>Analise_Instancias!F97</f>
        <v>0.1000909372611023</v>
      </c>
      <c r="F101">
        <f>Analise_Instancias!G97</f>
        <v>6.432598352432251</v>
      </c>
      <c r="G101" s="4">
        <f>Analise_Instancias!I97</f>
        <v>8.9348194185792984E-2</v>
      </c>
      <c r="H101">
        <f>Analise_Instancias!J97</f>
        <v>5.4946568012237549</v>
      </c>
      <c r="I101" s="4">
        <f>Analise_Instancias!O97</f>
        <v>7.1103448261493396E-2</v>
      </c>
      <c r="J101">
        <f>Analise_Instancias!Q97</f>
        <v>16.942796230316162</v>
      </c>
    </row>
    <row r="102" spans="1:10">
      <c r="A102" t="s">
        <v>146</v>
      </c>
      <c r="B102" t="s">
        <v>150</v>
      </c>
      <c r="C102" s="4">
        <f>Analise_Instancias!L98</f>
        <v>0.11136976821127265</v>
      </c>
      <c r="D102">
        <f>Analise_Instancias!M98</f>
        <v>5.0155410766601563</v>
      </c>
      <c r="E102" s="4">
        <f>Analise_Instancias!F98</f>
        <v>0.12837840476427753</v>
      </c>
      <c r="F102">
        <f>Analise_Instancias!G98</f>
        <v>6.432598352432251</v>
      </c>
      <c r="G102" s="4">
        <f>Analise_Instancias!I98</f>
        <v>6.299950536058363E-2</v>
      </c>
      <c r="H102">
        <f>Analise_Instancias!J98</f>
        <v>5.4946568012237549</v>
      </c>
      <c r="I102" s="4">
        <f>Analise_Instancias!O98</f>
        <v>6.299950536058363E-2</v>
      </c>
      <c r="J102">
        <f>Analise_Instancias!Q98</f>
        <v>16.942796230316162</v>
      </c>
    </row>
    <row r="103" spans="1:10">
      <c r="A103" t="s">
        <v>146</v>
      </c>
      <c r="B103" t="s">
        <v>151</v>
      </c>
      <c r="C103" s="4">
        <f>Analise_Instancias!L99</f>
        <v>0.11810569690641137</v>
      </c>
      <c r="D103">
        <f>Analise_Instancias!M99</f>
        <v>7.6026151180267334</v>
      </c>
      <c r="E103" s="4">
        <f>Analise_Instancias!F99</f>
        <v>0.12171271296473596</v>
      </c>
      <c r="F103">
        <f>Analise_Instancias!G99</f>
        <v>10.67341470718384</v>
      </c>
      <c r="G103" s="4">
        <f>Analise_Instancias!I99</f>
        <v>6.8383309368279965E-2</v>
      </c>
      <c r="H103">
        <f>Analise_Instancias!J99</f>
        <v>8.8667840957641602</v>
      </c>
      <c r="I103" s="4">
        <f>Analise_Instancias!O99</f>
        <v>6.8383309368279965E-2</v>
      </c>
      <c r="J103">
        <f>Analise_Instancias!Q99</f>
        <v>27.142813920974731</v>
      </c>
    </row>
    <row r="104" spans="1:10">
      <c r="A104" t="s">
        <v>146</v>
      </c>
      <c r="B104" t="s">
        <v>152</v>
      </c>
      <c r="C104" s="4">
        <f>Analise_Instancias!L100</f>
        <v>4.6815049677441989E-2</v>
      </c>
      <c r="D104">
        <f>Analise_Instancias!M100</f>
        <v>7.6026151180267334</v>
      </c>
      <c r="E104" s="4">
        <f>Analise_Instancias!F100</f>
        <v>0.15789799107224711</v>
      </c>
      <c r="F104">
        <f>Analise_Instancias!G100</f>
        <v>10.67341470718384</v>
      </c>
      <c r="G104" s="4">
        <f>Analise_Instancias!I100</f>
        <v>9.9196827541088606E-2</v>
      </c>
      <c r="H104">
        <f>Analise_Instancias!J100</f>
        <v>8.8667840957641602</v>
      </c>
      <c r="I104" s="4">
        <f>Analise_Instancias!O100</f>
        <v>4.6815049677441989E-2</v>
      </c>
      <c r="J104">
        <f>Analise_Instancias!Q100</f>
        <v>27.142813920974731</v>
      </c>
    </row>
    <row r="105" spans="1:10">
      <c r="A105" t="s">
        <v>146</v>
      </c>
      <c r="B105" t="s">
        <v>153</v>
      </c>
      <c r="C105" s="4">
        <f>Analise_Instancias!L101</f>
        <v>0.14298565744161951</v>
      </c>
      <c r="D105">
        <f>Analise_Instancias!M101</f>
        <v>7.6026151180267334</v>
      </c>
      <c r="E105" s="4">
        <f>Analise_Instancias!F101</f>
        <v>0.21190410087189337</v>
      </c>
      <c r="F105">
        <f>Analise_Instancias!G101</f>
        <v>10.67341470718384</v>
      </c>
      <c r="G105" s="4">
        <f>Analise_Instancias!I101</f>
        <v>9.8197457057185078E-2</v>
      </c>
      <c r="H105">
        <f>Analise_Instancias!J101</f>
        <v>8.8667840957641602</v>
      </c>
      <c r="I105" s="4">
        <f>Analise_Instancias!O101</f>
        <v>9.8197457057185078E-2</v>
      </c>
      <c r="J105">
        <f>Analise_Instancias!Q101</f>
        <v>27.142813920974731</v>
      </c>
    </row>
    <row r="106" spans="1:10">
      <c r="A106" t="s">
        <v>146</v>
      </c>
      <c r="B106" t="s">
        <v>154</v>
      </c>
      <c r="C106" s="4">
        <f>Analise_Instancias!L102</f>
        <v>8.9545752233130216E-2</v>
      </c>
      <c r="D106">
        <f>Analise_Instancias!M102</f>
        <v>7.6026151180267334</v>
      </c>
      <c r="E106" s="4">
        <f>Analise_Instancias!F102</f>
        <v>0.15029245894508936</v>
      </c>
      <c r="F106">
        <f>Analise_Instancias!G102</f>
        <v>10.67341470718384</v>
      </c>
      <c r="G106" s="4">
        <f>Analise_Instancias!I102</f>
        <v>6.6679100836738669E-2</v>
      </c>
      <c r="H106">
        <f>Analise_Instancias!J102</f>
        <v>8.8667840957641602</v>
      </c>
      <c r="I106" s="4">
        <f>Analise_Instancias!O102</f>
        <v>6.6679100836738669E-2</v>
      </c>
      <c r="J106">
        <f>Analise_Instancias!Q102</f>
        <v>27.142813920974731</v>
      </c>
    </row>
    <row r="107" spans="1:10">
      <c r="A107" t="s">
        <v>146</v>
      </c>
      <c r="B107" t="s">
        <v>155</v>
      </c>
      <c r="C107" s="4">
        <f>Analise_Instancias!L103</f>
        <v>0.14815446172646585</v>
      </c>
      <c r="D107">
        <f>Analise_Instancias!M103</f>
        <v>8.2560060024261475</v>
      </c>
      <c r="E107" s="4">
        <f>Analise_Instancias!F103</f>
        <v>0.25348243111909219</v>
      </c>
      <c r="F107">
        <f>Analise_Instancias!G103</f>
        <v>8.7125504016876221</v>
      </c>
      <c r="G107" s="4">
        <f>Analise_Instancias!I103</f>
        <v>0.13418335421050642</v>
      </c>
      <c r="H107">
        <f>Analise_Instancias!J103</f>
        <v>8.9359960556030273</v>
      </c>
      <c r="I107" s="4">
        <f>Analise_Instancias!O103</f>
        <v>0.13418335421050642</v>
      </c>
      <c r="J107">
        <f>Analise_Instancias!Q103</f>
        <v>25.904552459716797</v>
      </c>
    </row>
    <row r="108" spans="1:10">
      <c r="A108" t="s">
        <v>146</v>
      </c>
      <c r="B108" t="s">
        <v>156</v>
      </c>
      <c r="C108" s="4">
        <f>Analise_Instancias!L104</f>
        <v>5.9856125809847782E-2</v>
      </c>
      <c r="D108">
        <f>Analise_Instancias!M104</f>
        <v>4.4883649349212646</v>
      </c>
      <c r="E108" s="4">
        <f>Analise_Instancias!F104</f>
        <v>0.12284412344904716</v>
      </c>
      <c r="F108">
        <f>Analise_Instancias!G104</f>
        <v>4.6849820613861084</v>
      </c>
      <c r="G108" s="4">
        <f>Analise_Instancias!I104</f>
        <v>4.3996851220139632E-2</v>
      </c>
      <c r="H108">
        <f>Analise_Instancias!J104</f>
        <v>4.0866899490356454</v>
      </c>
      <c r="I108" s="4">
        <f>Analise_Instancias!O104</f>
        <v>4.3996851220139632E-2</v>
      </c>
      <c r="J108">
        <f>Analise_Instancias!Q104</f>
        <v>13.260036945343018</v>
      </c>
    </row>
    <row r="109" spans="1:10">
      <c r="A109" t="s">
        <v>146</v>
      </c>
      <c r="B109" t="s">
        <v>157</v>
      </c>
      <c r="C109" s="4">
        <f>Analise_Instancias!L105</f>
        <v>6.7534396770788874E-2</v>
      </c>
      <c r="D109">
        <f>Analise_Instancias!M105</f>
        <v>4.4883649349212646</v>
      </c>
      <c r="E109" s="4">
        <f>Analise_Instancias!F105</f>
        <v>9.4199636212275673E-2</v>
      </c>
      <c r="F109">
        <f>Analise_Instancias!G105</f>
        <v>4.6849820613861084</v>
      </c>
      <c r="G109" s="4">
        <f>Analise_Instancias!I105</f>
        <v>9.1682189078048149E-2</v>
      </c>
      <c r="H109">
        <f>Analise_Instancias!J105</f>
        <v>4.0866899490356454</v>
      </c>
      <c r="I109" s="4">
        <f>Analise_Instancias!O105</f>
        <v>6.7534396770788874E-2</v>
      </c>
      <c r="J109">
        <f>Analise_Instancias!Q105</f>
        <v>13.260036945343018</v>
      </c>
    </row>
    <row r="110" spans="1:10">
      <c r="A110" t="s">
        <v>146</v>
      </c>
      <c r="B110" t="s">
        <v>158</v>
      </c>
      <c r="C110" s="4">
        <f>Analise_Instancias!L106</f>
        <v>7.2996921680990035E-2</v>
      </c>
      <c r="D110">
        <f>Analise_Instancias!M106</f>
        <v>4.4883649349212646</v>
      </c>
      <c r="E110" s="4">
        <f>Analise_Instancias!F106</f>
        <v>0.10895225988276613</v>
      </c>
      <c r="F110">
        <f>Analise_Instancias!G106</f>
        <v>4.6849820613861084</v>
      </c>
      <c r="G110" s="4">
        <f>Analise_Instancias!I106</f>
        <v>6.803301956898089E-2</v>
      </c>
      <c r="H110">
        <f>Analise_Instancias!J106</f>
        <v>4.0866899490356454</v>
      </c>
      <c r="I110" s="4">
        <f>Analise_Instancias!O106</f>
        <v>6.803301956898089E-2</v>
      </c>
      <c r="J110">
        <f>Analise_Instancias!Q106</f>
        <v>13.260036945343018</v>
      </c>
    </row>
    <row r="111" spans="1:10">
      <c r="A111" t="s">
        <v>146</v>
      </c>
      <c r="B111" t="s">
        <v>159</v>
      </c>
      <c r="C111" s="4">
        <f>Analise_Instancias!L107</f>
        <v>6.1838101440399251E-2</v>
      </c>
      <c r="D111">
        <f>Analise_Instancias!M107</f>
        <v>4.4883649349212646</v>
      </c>
      <c r="E111" s="4">
        <f>Analise_Instancias!F107</f>
        <v>8.8095439784553475E-2</v>
      </c>
      <c r="F111">
        <f>Analise_Instancias!G107</f>
        <v>4.6849820613861084</v>
      </c>
      <c r="G111" s="4">
        <f>Analise_Instancias!I107</f>
        <v>8.1662927403976626E-2</v>
      </c>
      <c r="H111">
        <f>Analise_Instancias!J107</f>
        <v>4.0866899490356454</v>
      </c>
      <c r="I111" s="4">
        <f>Analise_Instancias!O107</f>
        <v>6.1838101440399251E-2</v>
      </c>
      <c r="J111">
        <f>Analise_Instancias!Q107</f>
        <v>13.260036945343018</v>
      </c>
    </row>
    <row r="112" spans="1:10">
      <c r="A112" t="s">
        <v>160</v>
      </c>
      <c r="B112" t="s">
        <v>161</v>
      </c>
      <c r="C112" s="4">
        <f>Analise_Instancias!L108</f>
        <v>0.12437428736783906</v>
      </c>
      <c r="D112">
        <f>Analise_Instancias!M108</f>
        <v>6.9488761425018311</v>
      </c>
      <c r="E112" s="4">
        <f>Analise_Instancias!F108</f>
        <v>0.34234687046506806</v>
      </c>
      <c r="F112">
        <f>Analise_Instancias!G108</f>
        <v>5.4303090572357178</v>
      </c>
      <c r="G112" s="4">
        <f>Analise_Instancias!I108</f>
        <v>0.22840605780526579</v>
      </c>
      <c r="H112">
        <f>Analise_Instancias!J108</f>
        <v>5.5322389602661133</v>
      </c>
      <c r="I112" s="4">
        <f>Analise_Instancias!O108</f>
        <v>0.12437428736783906</v>
      </c>
      <c r="J112">
        <f>Analise_Instancias!Q108</f>
        <v>17.911424160003662</v>
      </c>
    </row>
    <row r="113" spans="1:10">
      <c r="A113" t="s">
        <v>160</v>
      </c>
      <c r="B113" t="s">
        <v>162</v>
      </c>
      <c r="C113" s="4">
        <f>Analise_Instancias!L109</f>
        <v>5.1820778854517746E-2</v>
      </c>
      <c r="D113">
        <f>Analise_Instancias!M109</f>
        <v>3.1529726982116699</v>
      </c>
      <c r="E113" s="4" t="str">
        <f>Analise_Instancias!F109</f>
        <v/>
      </c>
      <c r="F113" t="str">
        <f>Analise_Instancias!G109</f>
        <v/>
      </c>
      <c r="G113" s="4">
        <f>Analise_Instancias!I109</f>
        <v>5.9442220742271124E-2</v>
      </c>
      <c r="H113">
        <f>Analise_Instancias!J109</f>
        <v>2.5173418521881099</v>
      </c>
      <c r="I113" s="4">
        <f>Analise_Instancias!O109</f>
        <v>5.1820778854517746E-2</v>
      </c>
      <c r="J113">
        <f>Analise_Instancias!Q109</f>
        <v>5.6703145503997803</v>
      </c>
    </row>
    <row r="114" spans="1:10">
      <c r="A114" t="s">
        <v>160</v>
      </c>
      <c r="B114" t="s">
        <v>163</v>
      </c>
      <c r="C114" s="4">
        <f>Analise_Instancias!L110</f>
        <v>4.671704299749635E-2</v>
      </c>
      <c r="D114">
        <f>Analise_Instancias!M110</f>
        <v>2.5302269458770752</v>
      </c>
      <c r="E114" s="4">
        <f>Analise_Instancias!F110</f>
        <v>7.1415161382861747E-2</v>
      </c>
      <c r="F114">
        <f>Analise_Instancias!G110</f>
        <v>2.4233298301696782</v>
      </c>
      <c r="G114" s="4">
        <f>Analise_Instancias!I110</f>
        <v>5.476692303315378E-2</v>
      </c>
      <c r="H114">
        <f>Analise_Instancias!J110</f>
        <v>2.3826777935028081</v>
      </c>
      <c r="I114" s="4">
        <f>Analise_Instancias!O110</f>
        <v>4.671704299749635E-2</v>
      </c>
      <c r="J114">
        <f>Analise_Instancias!Q110</f>
        <v>7.3362345695495614</v>
      </c>
    </row>
    <row r="115" spans="1:10">
      <c r="A115" t="s">
        <v>160</v>
      </c>
      <c r="B115" t="s">
        <v>164</v>
      </c>
      <c r="C115" s="4">
        <f>Analise_Instancias!L111</f>
        <v>6.7156398203192857E-2</v>
      </c>
      <c r="D115">
        <f>Analise_Instancias!M111</f>
        <v>2.8020603656768799</v>
      </c>
      <c r="E115" s="4">
        <f>Analise_Instancias!F111</f>
        <v>7.5660991458486482E-2</v>
      </c>
      <c r="F115">
        <f>Analise_Instancias!G111</f>
        <v>2.3583014011383061</v>
      </c>
      <c r="G115" s="4">
        <f>Analise_Instancias!I111</f>
        <v>3.0600110734920749E-2</v>
      </c>
      <c r="H115">
        <f>Analise_Instancias!J111</f>
        <v>2.533976554870605</v>
      </c>
      <c r="I115" s="4">
        <f>Analise_Instancias!O111</f>
        <v>3.0600110734920749E-2</v>
      </c>
      <c r="J115">
        <f>Analise_Instancias!Q111</f>
        <v>7.694338321685791</v>
      </c>
    </row>
    <row r="116" spans="1:10">
      <c r="A116" t="s">
        <v>160</v>
      </c>
      <c r="B116" t="s">
        <v>165</v>
      </c>
      <c r="C116" s="4">
        <f>Analise_Instancias!L112</f>
        <v>3.9238705675845198E-2</v>
      </c>
      <c r="D116">
        <f>Analise_Instancias!M112</f>
        <v>3.1994597911834721</v>
      </c>
      <c r="E116" s="4">
        <f>Analise_Instancias!F112</f>
        <v>0.16883981892798317</v>
      </c>
      <c r="F116">
        <f>Analise_Instancias!G112</f>
        <v>2.4981741905212398</v>
      </c>
      <c r="G116" s="4">
        <f>Analise_Instancias!I112</f>
        <v>7.2335341158703992E-2</v>
      </c>
      <c r="H116">
        <f>Analise_Instancias!J112</f>
        <v>2.54282546043396</v>
      </c>
      <c r="I116" s="4">
        <f>Analise_Instancias!O112</f>
        <v>3.9238705675845198E-2</v>
      </c>
      <c r="J116">
        <f>Analise_Instancias!Q112</f>
        <v>8.2404594421386719</v>
      </c>
    </row>
    <row r="117" spans="1:10">
      <c r="A117" t="s">
        <v>160</v>
      </c>
      <c r="B117" t="s">
        <v>166</v>
      </c>
      <c r="C117" s="4">
        <f>Analise_Instancias!L113</f>
        <v>6.4087902930918039E-2</v>
      </c>
      <c r="D117">
        <f>Analise_Instancias!M113</f>
        <v>3.5214982032775879</v>
      </c>
      <c r="E117" s="4">
        <f>Analise_Instancias!F113</f>
        <v>6.1687443158378263E-2</v>
      </c>
      <c r="F117">
        <f>Analise_Instancias!G113</f>
        <v>2.516220331192017</v>
      </c>
      <c r="G117" s="4">
        <f>Analise_Instancias!I113</f>
        <v>5.4362565162766385E-2</v>
      </c>
      <c r="H117">
        <f>Analise_Instancias!J113</f>
        <v>3.1284632682800289</v>
      </c>
      <c r="I117" s="4">
        <f>Analise_Instancias!O113</f>
        <v>5.4362565162766385E-2</v>
      </c>
      <c r="J117">
        <f>Analise_Instancias!Q113</f>
        <v>9.1661818027496338</v>
      </c>
    </row>
    <row r="118" spans="1:10">
      <c r="A118" t="s">
        <v>160</v>
      </c>
      <c r="B118" t="s">
        <v>167</v>
      </c>
      <c r="C118" s="4">
        <f>Analise_Instancias!L114</f>
        <v>7.6608610615963579E-2</v>
      </c>
      <c r="D118">
        <f>Analise_Instancias!M114</f>
        <v>2.865599393844604</v>
      </c>
      <c r="E118" s="4">
        <f>Analise_Instancias!F114</f>
        <v>5.7359046120744051E-2</v>
      </c>
      <c r="F118">
        <f>Analise_Instancias!G114</f>
        <v>2.6921813488006592</v>
      </c>
      <c r="G118" s="4">
        <f>Analise_Instancias!I114</f>
        <v>6.7911878364752765E-2</v>
      </c>
      <c r="H118">
        <f>Analise_Instancias!J114</f>
        <v>3.2816932201385498</v>
      </c>
      <c r="I118" s="4">
        <f>Analise_Instancias!O114</f>
        <v>5.7359046120744051E-2</v>
      </c>
      <c r="J118">
        <f>Analise_Instancias!Q114</f>
        <v>8.8394739627838135</v>
      </c>
    </row>
    <row r="119" spans="1:10">
      <c r="A119" t="s">
        <v>160</v>
      </c>
      <c r="B119" t="s">
        <v>168</v>
      </c>
      <c r="C119" s="4">
        <f>Analise_Instancias!L115</f>
        <v>4.2683879902384314E-2</v>
      </c>
      <c r="D119">
        <f>Analise_Instancias!M115</f>
        <v>2.7600972652435298</v>
      </c>
      <c r="E119" s="4">
        <f>Analise_Instancias!F115</f>
        <v>9.8241242657221894E-2</v>
      </c>
      <c r="F119">
        <f>Analise_Instancias!G115</f>
        <v>2.7846698760986328</v>
      </c>
      <c r="G119" s="4">
        <f>Analise_Instancias!I115</f>
        <v>7.0851195361091968E-2</v>
      </c>
      <c r="H119">
        <f>Analise_Instancias!J115</f>
        <v>2.9598910808563228</v>
      </c>
      <c r="I119" s="4">
        <f>Analise_Instancias!O115</f>
        <v>4.2683879902384314E-2</v>
      </c>
      <c r="J119">
        <f>Analise_Instancias!Q115</f>
        <v>8.5046582221984863</v>
      </c>
    </row>
    <row r="120" spans="1:10">
      <c r="A120" t="s">
        <v>160</v>
      </c>
      <c r="B120" t="s">
        <v>169</v>
      </c>
      <c r="C120" s="4">
        <f>Analise_Instancias!L116</f>
        <v>0.21197212305904167</v>
      </c>
      <c r="D120">
        <f>Analise_Instancias!M116</f>
        <v>2.883750438690186</v>
      </c>
      <c r="E120" s="4">
        <f>Analise_Instancias!F116</f>
        <v>0.16732292692492678</v>
      </c>
      <c r="F120">
        <f>Analise_Instancias!G116</f>
        <v>2.4842700958251949</v>
      </c>
      <c r="G120" s="4">
        <f>Analise_Instancias!I116</f>
        <v>0.13649616961341149</v>
      </c>
      <c r="H120">
        <f>Analise_Instancias!J116</f>
        <v>2.9907104969024658</v>
      </c>
      <c r="I120" s="4">
        <f>Analise_Instancias!O116</f>
        <v>0.13649616961341149</v>
      </c>
      <c r="J120">
        <f>Analise_Instancias!Q116</f>
        <v>8.3587310314178467</v>
      </c>
    </row>
    <row r="121" spans="1:10">
      <c r="A121" t="s">
        <v>160</v>
      </c>
      <c r="B121" t="s">
        <v>170</v>
      </c>
      <c r="C121" s="4">
        <f>Analise_Instancias!L117</f>
        <v>2.3559803853936634E-2</v>
      </c>
      <c r="D121">
        <f>Analise_Instancias!M117</f>
        <v>2.9841830730438228</v>
      </c>
      <c r="E121" s="4">
        <f>Analise_Instancias!F117</f>
        <v>0.12626442926784409</v>
      </c>
      <c r="F121">
        <f>Analise_Instancias!G117</f>
        <v>2.4199271202087398</v>
      </c>
      <c r="G121" s="4">
        <f>Analise_Instancias!I117</f>
        <v>4.9691869021339263E-2</v>
      </c>
      <c r="H121">
        <f>Analise_Instancias!J117</f>
        <v>2.835187435150146</v>
      </c>
      <c r="I121" s="4">
        <f>Analise_Instancias!O117</f>
        <v>2.3559803853936634E-2</v>
      </c>
      <c r="J121">
        <f>Analise_Instancias!Q117</f>
        <v>8.2392976284027082</v>
      </c>
    </row>
    <row r="122" spans="1:10">
      <c r="A122" t="s">
        <v>160</v>
      </c>
      <c r="B122" t="s">
        <v>171</v>
      </c>
      <c r="C122" s="4">
        <f>Analise_Instancias!L118</f>
        <v>6.7580737460191109E-2</v>
      </c>
      <c r="D122">
        <f>Analise_Instancias!M118</f>
        <v>2.7659306526184082</v>
      </c>
      <c r="E122" s="4">
        <f>Analise_Instancias!F118</f>
        <v>0.10470143312101921</v>
      </c>
      <c r="F122">
        <f>Analise_Instancias!G118</f>
        <v>2.5166878700256352</v>
      </c>
      <c r="G122" s="4">
        <f>Analise_Instancias!I118</f>
        <v>8.1302000398089103E-2</v>
      </c>
      <c r="H122">
        <f>Analise_Instancias!J118</f>
        <v>3.0653338432312012</v>
      </c>
      <c r="I122" s="4">
        <f>Analise_Instancias!O118</f>
        <v>6.7580737460191109E-2</v>
      </c>
      <c r="J122">
        <f>Analise_Instancias!Q118</f>
        <v>8.3479523658752441</v>
      </c>
    </row>
    <row r="123" spans="1:10">
      <c r="A123" t="s">
        <v>160</v>
      </c>
      <c r="B123" t="s">
        <v>172</v>
      </c>
      <c r="C123" s="4">
        <f>Analise_Instancias!L119</f>
        <v>6.4084868693610852E-2</v>
      </c>
      <c r="D123">
        <f>Analise_Instancias!M119</f>
        <v>3.0473871231079102</v>
      </c>
      <c r="E123" s="4">
        <f>Analise_Instancias!F119</f>
        <v>9.0078944945682249E-2</v>
      </c>
      <c r="F123">
        <f>Analise_Instancias!G119</f>
        <v>2.976193904876709</v>
      </c>
      <c r="G123" s="4">
        <f>Analise_Instancias!I119</f>
        <v>7.9479708502117496E-2</v>
      </c>
      <c r="H123">
        <f>Analise_Instancias!J119</f>
        <v>3.4172646999359131</v>
      </c>
      <c r="I123" s="4">
        <f>Analise_Instancias!O119</f>
        <v>6.4084868693610852E-2</v>
      </c>
      <c r="J123">
        <f>Analise_Instancias!Q119</f>
        <v>9.4408457279205322</v>
      </c>
    </row>
    <row r="124" spans="1:10">
      <c r="A124" t="s">
        <v>160</v>
      </c>
      <c r="B124" t="s">
        <v>173</v>
      </c>
      <c r="C124" s="4">
        <f>Analise_Instancias!L120</f>
        <v>0.15428352895263897</v>
      </c>
      <c r="D124">
        <f>Analise_Instancias!M120</f>
        <v>3.177170991897583</v>
      </c>
      <c r="E124" s="4">
        <f>Analise_Instancias!F120</f>
        <v>0.16464079803840725</v>
      </c>
      <c r="F124">
        <f>Analise_Instancias!G120</f>
        <v>2.84531569480896</v>
      </c>
      <c r="G124" s="4">
        <f>Analise_Instancias!I120</f>
        <v>0.12651758364750232</v>
      </c>
      <c r="H124">
        <f>Analise_Instancias!J120</f>
        <v>2.9758915901184082</v>
      </c>
      <c r="I124" s="4">
        <f>Analise_Instancias!O120</f>
        <v>0.12651758364750232</v>
      </c>
      <c r="J124">
        <f>Analise_Instancias!Q120</f>
        <v>8.9983782768249512</v>
      </c>
    </row>
    <row r="125" spans="1:10">
      <c r="A125" t="s">
        <v>160</v>
      </c>
      <c r="B125" t="s">
        <v>174</v>
      </c>
      <c r="C125" s="4">
        <f>Analise_Instancias!L121</f>
        <v>4.064411923737854E-2</v>
      </c>
      <c r="D125">
        <f>Analise_Instancias!M121</f>
        <v>2.8514387607574458</v>
      </c>
      <c r="E125" s="4">
        <f>Analise_Instancias!F121</f>
        <v>6.4765837950343741E-2</v>
      </c>
      <c r="F125">
        <f>Analise_Instancias!G121</f>
        <v>3.6104526519775391</v>
      </c>
      <c r="G125" s="4">
        <f>Analise_Instancias!I121</f>
        <v>9.4179719905487014E-2</v>
      </c>
      <c r="H125">
        <f>Analise_Instancias!J121</f>
        <v>2.9412028789520259</v>
      </c>
      <c r="I125" s="4">
        <f>Analise_Instancias!O121</f>
        <v>4.064411923737854E-2</v>
      </c>
      <c r="J125">
        <f>Analise_Instancias!Q121</f>
        <v>9.4030942916870117</v>
      </c>
    </row>
    <row r="126" spans="1:10">
      <c r="A126" t="s">
        <v>160</v>
      </c>
      <c r="B126" t="s">
        <v>175</v>
      </c>
      <c r="C126" s="4">
        <f>Analise_Instancias!L122</f>
        <v>4.7130503231539222E-2</v>
      </c>
      <c r="D126">
        <f>Analise_Instancias!M122</f>
        <v>2.7990691661834721</v>
      </c>
      <c r="E126" s="4">
        <f>Analise_Instancias!F122</f>
        <v>0.13152911258664601</v>
      </c>
      <c r="F126">
        <f>Analise_Instancias!G122</f>
        <v>3.8141853809356689</v>
      </c>
      <c r="G126" s="4">
        <f>Analise_Instancias!I122</f>
        <v>4.6728011387749291E-2</v>
      </c>
      <c r="H126">
        <f>Analise_Instancias!J122</f>
        <v>3.2272195816040039</v>
      </c>
      <c r="I126" s="4">
        <f>Analise_Instancias!O122</f>
        <v>4.6728011387749291E-2</v>
      </c>
      <c r="J126">
        <f>Analise_Instancias!Q122</f>
        <v>9.8404741287231445</v>
      </c>
    </row>
    <row r="127" spans="1:10">
      <c r="A127" t="s">
        <v>160</v>
      </c>
      <c r="B127" t="s">
        <v>176</v>
      </c>
      <c r="C127" s="4">
        <f>Analise_Instancias!L123</f>
        <v>3.4353983740331717E-2</v>
      </c>
      <c r="D127">
        <f>Analise_Instancias!M123</f>
        <v>2.926738023757935</v>
      </c>
      <c r="E127" s="4">
        <f>Analise_Instancias!F123</f>
        <v>0.11222141104611572</v>
      </c>
      <c r="F127">
        <f>Analise_Instancias!G123</f>
        <v>3.5636358261108398</v>
      </c>
      <c r="G127" s="4">
        <f>Analise_Instancias!I123</f>
        <v>6.6697646330933447E-2</v>
      </c>
      <c r="H127">
        <f>Analise_Instancias!J123</f>
        <v>3.1979658603668208</v>
      </c>
      <c r="I127" s="4">
        <f>Analise_Instancias!O123</f>
        <v>3.4353983740331717E-2</v>
      </c>
      <c r="J127">
        <f>Analise_Instancias!Q123</f>
        <v>9.6883397102355957</v>
      </c>
    </row>
    <row r="128" spans="1:10">
      <c r="A128" t="s">
        <v>160</v>
      </c>
      <c r="B128" t="s">
        <v>177</v>
      </c>
      <c r="C128" s="4">
        <f>Analise_Instancias!L124</f>
        <v>5.7570829313482674E-2</v>
      </c>
      <c r="D128">
        <f>Analise_Instancias!M124</f>
        <v>2.819195032119751</v>
      </c>
      <c r="E128" s="4">
        <f>Analise_Instancias!F124</f>
        <v>0.14849882556405825</v>
      </c>
      <c r="F128">
        <f>Analise_Instancias!G124</f>
        <v>3.7383155822753911</v>
      </c>
      <c r="G128" s="4">
        <f>Analise_Instancias!I124</f>
        <v>5.9615814184226013E-2</v>
      </c>
      <c r="H128">
        <f>Analise_Instancias!J124</f>
        <v>3.191984891891479</v>
      </c>
      <c r="I128" s="4">
        <f>Analise_Instancias!O124</f>
        <v>5.7570829313482674E-2</v>
      </c>
      <c r="J128">
        <f>Analise_Instancias!Q124</f>
        <v>9.7494955062866211</v>
      </c>
    </row>
    <row r="129" spans="1:10">
      <c r="A129" t="s">
        <v>160</v>
      </c>
      <c r="B129" t="s">
        <v>178</v>
      </c>
      <c r="C129" s="4">
        <f>Analise_Instancias!L125</f>
        <v>8.7713253864092788E-2</v>
      </c>
      <c r="D129">
        <f>Analise_Instancias!M125</f>
        <v>2.9111089706420898</v>
      </c>
      <c r="E129" s="4">
        <f>Analise_Instancias!F125</f>
        <v>0.11062174506400058</v>
      </c>
      <c r="F129">
        <f>Analise_Instancias!G125</f>
        <v>3.6918590068817139</v>
      </c>
      <c r="G129" s="4">
        <f>Analise_Instancias!I125</f>
        <v>0.10335165269702173</v>
      </c>
      <c r="H129">
        <f>Analise_Instancias!J125</f>
        <v>2.894199132919312</v>
      </c>
      <c r="I129" s="4">
        <f>Analise_Instancias!O125</f>
        <v>8.7713253864092788E-2</v>
      </c>
      <c r="J129">
        <f>Analise_Instancias!Q125</f>
        <v>9.4971671104431152</v>
      </c>
    </row>
    <row r="130" spans="1:10">
      <c r="A130" t="s">
        <v>160</v>
      </c>
      <c r="B130" t="s">
        <v>179</v>
      </c>
      <c r="C130" s="4">
        <f>Analise_Instancias!L126</f>
        <v>4.4506332741796717E-2</v>
      </c>
      <c r="D130">
        <f>Analise_Instancias!M126</f>
        <v>2.942287921905518</v>
      </c>
      <c r="E130" s="4">
        <f>Analise_Instancias!F126</f>
        <v>0.11458952063533956</v>
      </c>
      <c r="F130">
        <f>Analise_Instancias!G126</f>
        <v>3.8984417915344238</v>
      </c>
      <c r="G130" s="4">
        <f>Analise_Instancias!I126</f>
        <v>6.4614682330165429E-2</v>
      </c>
      <c r="H130">
        <f>Analise_Instancias!J126</f>
        <v>3.1294634342193599</v>
      </c>
      <c r="I130" s="4">
        <f>Analise_Instancias!O126</f>
        <v>4.4506332741796717E-2</v>
      </c>
      <c r="J130">
        <f>Analise_Instancias!Q126</f>
        <v>9.9701931476593018</v>
      </c>
    </row>
    <row r="131" spans="1:10">
      <c r="A131" t="s">
        <v>160</v>
      </c>
      <c r="B131" t="s">
        <v>180</v>
      </c>
      <c r="C131" s="4">
        <f>Analise_Instancias!L127</f>
        <v>4.7046651739490519E-2</v>
      </c>
      <c r="D131">
        <f>Analise_Instancias!M127</f>
        <v>3.0207886695861821</v>
      </c>
      <c r="E131" s="4">
        <f>Analise_Instancias!F127</f>
        <v>0.14112029858666397</v>
      </c>
      <c r="F131">
        <f>Analise_Instancias!G127</f>
        <v>3.1884555816650391</v>
      </c>
      <c r="G131" s="4">
        <f>Analise_Instancias!I127</f>
        <v>8.6267051925864591E-2</v>
      </c>
      <c r="H131">
        <f>Analise_Instancias!J127</f>
        <v>3.596325159072876</v>
      </c>
      <c r="I131" s="4">
        <f>Analise_Instancias!O127</f>
        <v>4.7046651739490519E-2</v>
      </c>
      <c r="J131">
        <f>Analise_Instancias!Q127</f>
        <v>9.8055694103240967</v>
      </c>
    </row>
    <row r="132" spans="1:10">
      <c r="A132" t="s">
        <v>160</v>
      </c>
      <c r="B132" t="s">
        <v>181</v>
      </c>
      <c r="C132" s="4">
        <f>Analise_Instancias!L128</f>
        <v>0.31185344430948181</v>
      </c>
      <c r="D132">
        <f>Analise_Instancias!M128</f>
        <v>2.8577826023101811</v>
      </c>
      <c r="E132" s="4">
        <f>Analise_Instancias!F128</f>
        <v>0.2087474234393405</v>
      </c>
      <c r="F132">
        <f>Analise_Instancias!G128</f>
        <v>2.8822264671325679</v>
      </c>
      <c r="G132" s="4">
        <f>Analise_Instancias!I128</f>
        <v>9.0321333922261493E-2</v>
      </c>
      <c r="H132">
        <f>Analise_Instancias!J128</f>
        <v>3.54680347442627</v>
      </c>
      <c r="I132" s="4">
        <f>Analise_Instancias!O128</f>
        <v>9.0321333922261493E-2</v>
      </c>
      <c r="J132">
        <f>Analise_Instancias!Q128</f>
        <v>9.2868125438690186</v>
      </c>
    </row>
    <row r="133" spans="1:10">
      <c r="A133" t="s">
        <v>160</v>
      </c>
      <c r="B133" t="s">
        <v>182</v>
      </c>
      <c r="C133" s="4">
        <f>Analise_Instancias!L129</f>
        <v>7.1715216930469117E-2</v>
      </c>
      <c r="D133">
        <f>Analise_Instancias!M129</f>
        <v>2.908354520797729</v>
      </c>
      <c r="E133" s="4">
        <f>Analise_Instancias!F129</f>
        <v>0.13094377119841716</v>
      </c>
      <c r="F133">
        <f>Analise_Instancias!G129</f>
        <v>2.9985697269439702</v>
      </c>
      <c r="G133" s="4">
        <f>Analise_Instancias!I129</f>
        <v>8.2444884115319361E-2</v>
      </c>
      <c r="H133">
        <f>Analise_Instancias!J129</f>
        <v>4.356764554977417</v>
      </c>
      <c r="I133" s="4">
        <f>Analise_Instancias!O129</f>
        <v>7.1715216930469117E-2</v>
      </c>
      <c r="J133">
        <f>Analise_Instancias!Q129</f>
        <v>10.263688802719116</v>
      </c>
    </row>
    <row r="134" spans="1:10">
      <c r="A134" t="s">
        <v>160</v>
      </c>
      <c r="B134" t="s">
        <v>183</v>
      </c>
      <c r="C134" s="4">
        <f>Analise_Instancias!L130</f>
        <v>5.5875219258936903E-2</v>
      </c>
      <c r="D134">
        <f>Analise_Instancias!M130</f>
        <v>3.2957367897033691</v>
      </c>
      <c r="E134" s="4">
        <f>Analise_Instancias!F130</f>
        <v>0.10555984115196826</v>
      </c>
      <c r="F134">
        <f>Analise_Instancias!G130</f>
        <v>2.857083797454834</v>
      </c>
      <c r="G134" s="4">
        <f>Analise_Instancias!I130</f>
        <v>8.9577078318652026E-2</v>
      </c>
      <c r="H134">
        <f>Analise_Instancias!J130</f>
        <v>3.948622465133667</v>
      </c>
      <c r="I134" s="4">
        <f>Analise_Instancias!O130</f>
        <v>5.5875219258936903E-2</v>
      </c>
      <c r="J134">
        <f>Analise_Instancias!Q130</f>
        <v>10.10144305229187</v>
      </c>
    </row>
    <row r="135" spans="1:10">
      <c r="A135" t="s">
        <v>160</v>
      </c>
      <c r="B135" t="s">
        <v>184</v>
      </c>
      <c r="C135" s="4">
        <f>Analise_Instancias!L131</f>
        <v>6.1696588295425459E-2</v>
      </c>
      <c r="D135">
        <f>Analise_Instancias!M131</f>
        <v>3.0405113697052002</v>
      </c>
      <c r="E135" s="4">
        <f>Analise_Instancias!F131</f>
        <v>0.23749500862509576</v>
      </c>
      <c r="F135">
        <f>Analise_Instancias!G131</f>
        <v>2.7884633541107182</v>
      </c>
      <c r="G135" s="4">
        <f>Analise_Instancias!I131</f>
        <v>0.10865823856376178</v>
      </c>
      <c r="H135">
        <f>Analise_Instancias!J131</f>
        <v>3.1318075656890869</v>
      </c>
      <c r="I135" s="4">
        <f>Analise_Instancias!O131</f>
        <v>6.1696588295425459E-2</v>
      </c>
      <c r="J135">
        <f>Analise_Instancias!Q131</f>
        <v>8.9607822895050049</v>
      </c>
    </row>
    <row r="136" spans="1:10">
      <c r="A136" t="s">
        <v>160</v>
      </c>
      <c r="B136" t="s">
        <v>185</v>
      </c>
      <c r="C136" s="4">
        <f>Analise_Instancias!L132</f>
        <v>5.1423584494063146E-2</v>
      </c>
      <c r="D136">
        <f>Analise_Instancias!M132</f>
        <v>2.999078750610352</v>
      </c>
      <c r="E136" s="4">
        <f>Analise_Instancias!F132</f>
        <v>0.12528364145681103</v>
      </c>
      <c r="F136">
        <f>Analise_Instancias!G132</f>
        <v>2.9890346527099609</v>
      </c>
      <c r="G136" s="4">
        <f>Analise_Instancias!I132</f>
        <v>8.8085071030140849E-2</v>
      </c>
      <c r="H136">
        <f>Analise_Instancias!J132</f>
        <v>3.414584875106812</v>
      </c>
      <c r="I136" s="4">
        <f>Analise_Instancias!O132</f>
        <v>5.1423584494063146E-2</v>
      </c>
      <c r="J136">
        <f>Analise_Instancias!Q132</f>
        <v>9.402698278427124</v>
      </c>
    </row>
    <row r="137" spans="1:10">
      <c r="A137" t="s">
        <v>160</v>
      </c>
      <c r="B137" t="s">
        <v>186</v>
      </c>
      <c r="C137" s="4">
        <f>Analise_Instancias!L133</f>
        <v>0.1280712782677782</v>
      </c>
      <c r="D137">
        <f>Analise_Instancias!M133</f>
        <v>2.8210866451263432</v>
      </c>
      <c r="E137" s="4">
        <f>Analise_Instancias!F133</f>
        <v>0.16699407657631715</v>
      </c>
      <c r="F137">
        <f>Analise_Instancias!G133</f>
        <v>2.8549997806549068</v>
      </c>
      <c r="G137" s="4">
        <f>Analise_Instancias!I133</f>
        <v>0.1155543485457351</v>
      </c>
      <c r="H137">
        <f>Analise_Instancias!J133</f>
        <v>4.5860707759857178</v>
      </c>
      <c r="I137" s="4">
        <f>Analise_Instancias!O133</f>
        <v>0.1155543485457351</v>
      </c>
      <c r="J137">
        <f>Analise_Instancias!Q133</f>
        <v>10.262157201766968</v>
      </c>
    </row>
    <row r="138" spans="1:10">
      <c r="A138" t="s">
        <v>160</v>
      </c>
      <c r="B138" t="s">
        <v>187</v>
      </c>
      <c r="C138" s="4">
        <f>Analise_Instancias!L134</f>
        <v>5.3195421786640606E-2</v>
      </c>
      <c r="D138">
        <f>Analise_Instancias!M134</f>
        <v>4.3583226203918457</v>
      </c>
      <c r="E138" s="4">
        <f>Analise_Instancias!F134</f>
        <v>6.7618999532293111E-2</v>
      </c>
      <c r="F138">
        <f>Analise_Instancias!G134</f>
        <v>2.9022202491760249</v>
      </c>
      <c r="G138" s="4">
        <f>Analise_Instancias!I134</f>
        <v>4.7736869658573822E-2</v>
      </c>
      <c r="H138">
        <f>Analise_Instancias!J134</f>
        <v>4.8679237365722656</v>
      </c>
      <c r="I138" s="4">
        <f>Analise_Instancias!O134</f>
        <v>4.7736869658573822E-2</v>
      </c>
      <c r="J138">
        <f>Analise_Instancias!Q134</f>
        <v>12.128466606140137</v>
      </c>
    </row>
    <row r="139" spans="1:10">
      <c r="A139" t="s">
        <v>160</v>
      </c>
      <c r="B139" t="s">
        <v>188</v>
      </c>
      <c r="C139" s="4">
        <f>Analise_Instancias!L135</f>
        <v>6.4884303051660597E-2</v>
      </c>
      <c r="D139">
        <f>Analise_Instancias!M135</f>
        <v>2.898733377456665</v>
      </c>
      <c r="E139" s="4">
        <f>Analise_Instancias!F135</f>
        <v>0.15660278643321712</v>
      </c>
      <c r="F139">
        <f>Analise_Instancias!G135</f>
        <v>2.8676459789276119</v>
      </c>
      <c r="G139" s="4">
        <f>Analise_Instancias!I135</f>
        <v>9.5562715613175975E-2</v>
      </c>
      <c r="H139">
        <f>Analise_Instancias!J135</f>
        <v>3.0671882629394531</v>
      </c>
      <c r="I139" s="4">
        <f>Analise_Instancias!O135</f>
        <v>6.4884303051660597E-2</v>
      </c>
      <c r="J139">
        <f>Analise_Instancias!Q135</f>
        <v>8.8335676193237305</v>
      </c>
    </row>
    <row r="140" spans="1:10">
      <c r="A140" t="s">
        <v>160</v>
      </c>
      <c r="B140" t="s">
        <v>189</v>
      </c>
      <c r="C140" s="4">
        <f>Analise_Instancias!L136</f>
        <v>0.11003357839328731</v>
      </c>
      <c r="D140">
        <f>Analise_Instancias!M136</f>
        <v>2.9750523567199711</v>
      </c>
      <c r="E140" s="4">
        <f>Analise_Instancias!F136</f>
        <v>0.18459117759886556</v>
      </c>
      <c r="F140">
        <f>Analise_Instancias!G136</f>
        <v>2.9179141521453862</v>
      </c>
      <c r="G140" s="4">
        <f>Analise_Instancias!I136</f>
        <v>0.12438148259653481</v>
      </c>
      <c r="H140">
        <f>Analise_Instancias!J136</f>
        <v>2.6909670829772949</v>
      </c>
      <c r="I140" s="4">
        <f>Analise_Instancias!O136</f>
        <v>0.11003357839328731</v>
      </c>
      <c r="J140">
        <f>Analise_Instancias!Q136</f>
        <v>8.5839335918426514</v>
      </c>
    </row>
    <row r="141" spans="1:10">
      <c r="A141" t="s">
        <v>160</v>
      </c>
      <c r="B141" t="s">
        <v>190</v>
      </c>
      <c r="C141" s="4">
        <f>Analise_Instancias!L137</f>
        <v>6.7883230954238094E-2</v>
      </c>
      <c r="D141">
        <f>Analise_Instancias!M137</f>
        <v>3.0079867839813228</v>
      </c>
      <c r="E141" s="4">
        <f>Analise_Instancias!F137</f>
        <v>0.22342744491029642</v>
      </c>
      <c r="F141">
        <f>Analise_Instancias!G137</f>
        <v>2.865298748016357</v>
      </c>
      <c r="G141" s="4">
        <f>Analise_Instancias!I137</f>
        <v>0.10581956090743638</v>
      </c>
      <c r="H141">
        <f>Analise_Instancias!J137</f>
        <v>2.6445860862731929</v>
      </c>
      <c r="I141" s="4">
        <f>Analise_Instancias!O137</f>
        <v>6.7883230954238094E-2</v>
      </c>
      <c r="J141">
        <f>Analise_Instancias!Q137</f>
        <v>8.5178716182708722</v>
      </c>
    </row>
    <row r="142" spans="1:10">
      <c r="A142" t="s">
        <v>160</v>
      </c>
      <c r="B142" t="s">
        <v>191</v>
      </c>
      <c r="C142" s="4">
        <f>Analise_Instancias!L138</f>
        <v>0.1050115618759706</v>
      </c>
      <c r="D142">
        <f>Analise_Instancias!M138</f>
        <v>3.1015603542327881</v>
      </c>
      <c r="E142" s="4">
        <f>Analise_Instancias!F138</f>
        <v>0.16018131228736787</v>
      </c>
      <c r="F142">
        <f>Analise_Instancias!G138</f>
        <v>2.916808128356934</v>
      </c>
      <c r="G142" s="4">
        <f>Analise_Instancias!I138</f>
        <v>0.11138633884328075</v>
      </c>
      <c r="H142">
        <f>Analise_Instancias!J138</f>
        <v>2.725008487701416</v>
      </c>
      <c r="I142" s="4">
        <f>Analise_Instancias!O138</f>
        <v>0.1050115618759706</v>
      </c>
      <c r="J142">
        <f>Analise_Instancias!Q138</f>
        <v>8.7433769702911377</v>
      </c>
    </row>
    <row r="143" spans="1:10">
      <c r="A143" t="s">
        <v>160</v>
      </c>
      <c r="B143" t="s">
        <v>192</v>
      </c>
      <c r="C143" s="4">
        <f>Analise_Instancias!L139</f>
        <v>6.5913100748027142E-2</v>
      </c>
      <c r="D143">
        <f>Analise_Instancias!M139</f>
        <v>3.1493656635284419</v>
      </c>
      <c r="E143" s="4">
        <f>Analise_Instancias!F139</f>
        <v>0.10178898895481625</v>
      </c>
      <c r="F143">
        <f>Analise_Instancias!G139</f>
        <v>2.9754459857940669</v>
      </c>
      <c r="G143" s="4">
        <f>Analise_Instancias!I139</f>
        <v>7.6980754009015051E-2</v>
      </c>
      <c r="H143">
        <f>Analise_Instancias!J139</f>
        <v>3.5712027549743648</v>
      </c>
      <c r="I143" s="4">
        <f>Analise_Instancias!O139</f>
        <v>6.5913100748027142E-2</v>
      </c>
      <c r="J143">
        <f>Analise_Instancias!Q139</f>
        <v>9.6960144042968732</v>
      </c>
    </row>
    <row r="144" spans="1:10">
      <c r="A144" t="s">
        <v>160</v>
      </c>
      <c r="B144" t="s">
        <v>193</v>
      </c>
      <c r="C144" s="4">
        <f>Analise_Instancias!L140</f>
        <v>0.12961762052637238</v>
      </c>
      <c r="D144">
        <f>Analise_Instancias!M140</f>
        <v>3.165111780166626</v>
      </c>
      <c r="E144" s="4">
        <f>Analise_Instancias!F140</f>
        <v>0.12860401184471759</v>
      </c>
      <c r="F144">
        <f>Analise_Instancias!G140</f>
        <v>3.1490073204040532</v>
      </c>
      <c r="G144" s="4">
        <f>Analise_Instancias!I140</f>
        <v>0.1237093047432527</v>
      </c>
      <c r="H144">
        <f>Analise_Instancias!J140</f>
        <v>3.145337820053101</v>
      </c>
      <c r="I144" s="4">
        <f>Analise_Instancias!O140</f>
        <v>0.1237093047432527</v>
      </c>
      <c r="J144">
        <f>Analise_Instancias!Q140</f>
        <v>9.4594569206237793</v>
      </c>
    </row>
    <row r="145" spans="1:10">
      <c r="A145" t="s">
        <v>160</v>
      </c>
      <c r="B145" t="s">
        <v>194</v>
      </c>
      <c r="C145" s="4">
        <f>Analise_Instancias!L141</f>
        <v>6.1839399040947152E-2</v>
      </c>
      <c r="D145">
        <f>Analise_Instancias!M141</f>
        <v>2.991060733795166</v>
      </c>
      <c r="E145" s="4">
        <f>Analise_Instancias!F141</f>
        <v>0.11071478195119422</v>
      </c>
      <c r="F145">
        <f>Analise_Instancias!G141</f>
        <v>2.89653468132019</v>
      </c>
      <c r="G145" s="4">
        <f>Analise_Instancias!I141</f>
        <v>7.1252609282907553E-2</v>
      </c>
      <c r="H145">
        <f>Analise_Instancias!J141</f>
        <v>2.9571576118469238</v>
      </c>
      <c r="I145" s="4">
        <f>Analise_Instancias!O141</f>
        <v>6.1839399040947152E-2</v>
      </c>
      <c r="J145">
        <f>Analise_Instancias!Q141</f>
        <v>8.8447530269622803</v>
      </c>
    </row>
    <row r="146" spans="1:10">
      <c r="A146" t="s">
        <v>160</v>
      </c>
      <c r="B146" t="s">
        <v>195</v>
      </c>
      <c r="C146" s="4">
        <f>Analise_Instancias!L142</f>
        <v>6.3305136618185598E-2</v>
      </c>
      <c r="D146">
        <f>Analise_Instancias!M142</f>
        <v>3.170646190643311</v>
      </c>
      <c r="E146" s="4">
        <f>Analise_Instancias!F142</f>
        <v>0.16455899745872915</v>
      </c>
      <c r="F146">
        <f>Analise_Instancias!G142</f>
        <v>2.8485434055328369</v>
      </c>
      <c r="G146" s="4">
        <f>Analise_Instancias!I142</f>
        <v>8.6135518405966449E-2</v>
      </c>
      <c r="H146">
        <f>Analise_Instancias!J142</f>
        <v>2.981844425201416</v>
      </c>
      <c r="I146" s="4">
        <f>Analise_Instancias!O142</f>
        <v>6.3305136618185598E-2</v>
      </c>
      <c r="J146">
        <f>Analise_Instancias!Q142</f>
        <v>9.0010340213775635</v>
      </c>
    </row>
    <row r="147" spans="1:10">
      <c r="A147" t="s">
        <v>160</v>
      </c>
      <c r="B147" t="s">
        <v>196</v>
      </c>
      <c r="C147" s="4">
        <f>Analise_Instancias!L143</f>
        <v>6.8049028305971815E-2</v>
      </c>
      <c r="D147">
        <f>Analise_Instancias!M143</f>
        <v>3.068625926971436</v>
      </c>
      <c r="E147" s="4">
        <f>Analise_Instancias!F143</f>
        <v>0.13507398606352128</v>
      </c>
      <c r="F147">
        <f>Analise_Instancias!G143</f>
        <v>2.7816073894500728</v>
      </c>
      <c r="G147" s="4">
        <f>Analise_Instancias!I143</f>
        <v>9.5769459767301779E-2</v>
      </c>
      <c r="H147">
        <f>Analise_Instancias!J143</f>
        <v>2.82465672492981</v>
      </c>
      <c r="I147" s="4">
        <f>Analise_Instancias!O143</f>
        <v>6.8049028305971815E-2</v>
      </c>
      <c r="J147">
        <f>Analise_Instancias!Q143</f>
        <v>8.6748900413513184</v>
      </c>
    </row>
    <row r="148" spans="1:10">
      <c r="A148" t="s">
        <v>160</v>
      </c>
      <c r="B148" t="s">
        <v>197</v>
      </c>
      <c r="C148" s="4">
        <f>Analise_Instancias!L144</f>
        <v>0.10039908152044297</v>
      </c>
      <c r="D148">
        <f>Analise_Instancias!M144</f>
        <v>3.1220254898071289</v>
      </c>
      <c r="E148" s="4">
        <f>Analise_Instancias!F144</f>
        <v>0.15974636235061879</v>
      </c>
      <c r="F148">
        <f>Analise_Instancias!G144</f>
        <v>2.9729173183441162</v>
      </c>
      <c r="G148" s="4">
        <f>Analise_Instancias!I144</f>
        <v>0.12345070749092457</v>
      </c>
      <c r="H148">
        <f>Analise_Instancias!J144</f>
        <v>2.9816410541534419</v>
      </c>
      <c r="I148" s="4">
        <f>Analise_Instancias!O144</f>
        <v>0.10039908152044297</v>
      </c>
      <c r="J148">
        <f>Analise_Instancias!Q144</f>
        <v>9.0765838623046875</v>
      </c>
    </row>
    <row r="149" spans="1:10">
      <c r="A149" t="s">
        <v>160</v>
      </c>
      <c r="B149" t="s">
        <v>198</v>
      </c>
      <c r="C149" s="4">
        <f>Analise_Instancias!L145</f>
        <v>7.3906723739763702E-2</v>
      </c>
      <c r="D149">
        <f>Analise_Instancias!M145</f>
        <v>3.1610784530639648</v>
      </c>
      <c r="E149" s="4">
        <f>Analise_Instancias!F145</f>
        <v>0.23936786291122392</v>
      </c>
      <c r="F149">
        <f>Analise_Instancias!G145</f>
        <v>2.9550976753234859</v>
      </c>
      <c r="G149" s="4">
        <f>Analise_Instancias!I145</f>
        <v>0.11503530468108014</v>
      </c>
      <c r="H149">
        <f>Analise_Instancias!J145</f>
        <v>3.0322012901306148</v>
      </c>
      <c r="I149" s="4">
        <f>Analise_Instancias!O145</f>
        <v>7.3906723739763702E-2</v>
      </c>
      <c r="J149">
        <f>Analise_Instancias!Q145</f>
        <v>9.1483774185180664</v>
      </c>
    </row>
    <row r="150" spans="1:10">
      <c r="A150" t="s">
        <v>160</v>
      </c>
      <c r="B150" t="s">
        <v>199</v>
      </c>
      <c r="C150" s="4">
        <f>Analise_Instancias!L146</f>
        <v>0.16816824546952214</v>
      </c>
      <c r="D150">
        <f>Analise_Instancias!M146</f>
        <v>3.4633796215057369</v>
      </c>
      <c r="E150" s="4">
        <f>Analise_Instancias!F146</f>
        <v>0.34203930336549782</v>
      </c>
      <c r="F150">
        <f>Analise_Instancias!G146</f>
        <v>2.9259097576141362</v>
      </c>
      <c r="G150" s="4">
        <f>Analise_Instancias!I146</f>
        <v>0.19605421863967987</v>
      </c>
      <c r="H150">
        <f>Analise_Instancias!J146</f>
        <v>3.115998506546021</v>
      </c>
      <c r="I150" s="4">
        <f>Analise_Instancias!O146</f>
        <v>0.16816824546952214</v>
      </c>
      <c r="J150">
        <f>Analise_Instancias!Q146</f>
        <v>9.5052878856658936</v>
      </c>
    </row>
    <row r="151" spans="1:10">
      <c r="A151" t="s">
        <v>160</v>
      </c>
      <c r="B151" t="s">
        <v>200</v>
      </c>
      <c r="C151" s="4">
        <f>Analise_Instancias!L147</f>
        <v>7.2844106311375167E-2</v>
      </c>
      <c r="D151">
        <f>Analise_Instancias!M147</f>
        <v>3.544022798538208</v>
      </c>
      <c r="E151" s="4">
        <f>Analise_Instancias!F147</f>
        <v>0.15651047107721694</v>
      </c>
      <c r="F151">
        <f>Analise_Instancias!G147</f>
        <v>2.8752751350402832</v>
      </c>
      <c r="G151" s="4">
        <f>Analise_Instancias!I147</f>
        <v>0.10993803260155799</v>
      </c>
      <c r="H151">
        <f>Analise_Instancias!J147</f>
        <v>3.1467132568359379</v>
      </c>
      <c r="I151" s="4">
        <f>Analise_Instancias!O147</f>
        <v>7.2844106311375167E-2</v>
      </c>
      <c r="J151">
        <f>Analise_Instancias!Q147</f>
        <v>9.5660111904144287</v>
      </c>
    </row>
    <row r="152" spans="1:10">
      <c r="A152" t="s">
        <v>160</v>
      </c>
      <c r="B152" t="s">
        <v>201</v>
      </c>
      <c r="C152" s="4">
        <f>Analise_Instancias!L148</f>
        <v>0.10409723638509849</v>
      </c>
      <c r="D152">
        <f>Analise_Instancias!M148</f>
        <v>3.035053968429565</v>
      </c>
      <c r="E152" s="4">
        <f>Analise_Instancias!F148</f>
        <v>0.29383184854889755</v>
      </c>
      <c r="F152">
        <f>Analise_Instancias!G148</f>
        <v>2.7972958087921138</v>
      </c>
      <c r="G152" s="4">
        <f>Analise_Instancias!I148</f>
        <v>0.14909356305003452</v>
      </c>
      <c r="H152">
        <f>Analise_Instancias!J148</f>
        <v>3.1941220760345459</v>
      </c>
      <c r="I152" s="4">
        <f>Analise_Instancias!O148</f>
        <v>0.10409723638509849</v>
      </c>
      <c r="J152">
        <f>Analise_Instancias!Q148</f>
        <v>9.0264718532562256</v>
      </c>
    </row>
    <row r="153" spans="1:10">
      <c r="A153" t="s">
        <v>160</v>
      </c>
      <c r="B153" t="s">
        <v>202</v>
      </c>
      <c r="C153" s="4">
        <f>Analise_Instancias!L149</f>
        <v>9.6790561843806078E-2</v>
      </c>
      <c r="D153">
        <f>Analise_Instancias!M149</f>
        <v>3.530210018157959</v>
      </c>
      <c r="E153" s="4">
        <f>Analise_Instancias!F149</f>
        <v>0.13003090154070907</v>
      </c>
      <c r="F153">
        <f>Analise_Instancias!G149</f>
        <v>2.9854612350463872</v>
      </c>
      <c r="G153" s="4">
        <f>Analise_Instancias!I149</f>
        <v>0.1057671654790806</v>
      </c>
      <c r="H153">
        <f>Analise_Instancias!J149</f>
        <v>3.1921999454498291</v>
      </c>
      <c r="I153" s="4">
        <f>Analise_Instancias!O149</f>
        <v>9.6790561843806078E-2</v>
      </c>
      <c r="J153">
        <f>Analise_Instancias!Q149</f>
        <v>9.7078711986541748</v>
      </c>
    </row>
    <row r="154" spans="1:10">
      <c r="A154" t="s">
        <v>160</v>
      </c>
      <c r="B154" t="s">
        <v>203</v>
      </c>
      <c r="C154" s="4">
        <f>Analise_Instancias!L150</f>
        <v>9.4642388573185521E-2</v>
      </c>
      <c r="D154">
        <f>Analise_Instancias!M150</f>
        <v>3.2544069290161128</v>
      </c>
      <c r="E154" s="4">
        <f>Analise_Instancias!F150</f>
        <v>0.2030024146010474</v>
      </c>
      <c r="F154">
        <f>Analise_Instancias!G150</f>
        <v>2.9390461444854741</v>
      </c>
      <c r="G154" s="4">
        <f>Analise_Instancias!I150</f>
        <v>0.1183161139500859</v>
      </c>
      <c r="H154">
        <f>Analise_Instancias!J150</f>
        <v>3.187045574188232</v>
      </c>
      <c r="I154" s="4">
        <f>Analise_Instancias!O150</f>
        <v>9.4642388573185521E-2</v>
      </c>
      <c r="J154">
        <f>Analise_Instancias!Q150</f>
        <v>9.3804986476898193</v>
      </c>
    </row>
    <row r="155" spans="1:10">
      <c r="A155" t="s">
        <v>160</v>
      </c>
      <c r="B155" t="s">
        <v>204</v>
      </c>
      <c r="C155" s="4">
        <f>Analise_Instancias!L151</f>
        <v>8.6571747830913592E-2</v>
      </c>
      <c r="D155">
        <f>Analise_Instancias!M151</f>
        <v>3.1735928058624272</v>
      </c>
      <c r="E155" s="4">
        <f>Analise_Instancias!F151</f>
        <v>0.2282436333294382</v>
      </c>
      <c r="F155">
        <f>Analise_Instancias!G151</f>
        <v>2.8978326320648189</v>
      </c>
      <c r="G155" s="4">
        <f>Analise_Instancias!I151</f>
        <v>0.12510315941690275</v>
      </c>
      <c r="H155">
        <f>Analise_Instancias!J151</f>
        <v>3.16904616355896</v>
      </c>
      <c r="I155" s="4">
        <f>Analise_Instancias!O151</f>
        <v>8.6571747830913592E-2</v>
      </c>
      <c r="J155">
        <f>Analise_Instancias!Q151</f>
        <v>9.2404716014862061</v>
      </c>
    </row>
    <row r="156" spans="1:10">
      <c r="A156" t="s">
        <v>160</v>
      </c>
      <c r="B156" t="s">
        <v>205</v>
      </c>
      <c r="C156" s="4">
        <f>Analise_Instancias!L152</f>
        <v>8.1915963867546848E-2</v>
      </c>
      <c r="D156">
        <f>Analise_Instancias!M152</f>
        <v>3.2920172214508061</v>
      </c>
      <c r="E156" s="4">
        <f>Analise_Instancias!F152</f>
        <v>0.22814487629968716</v>
      </c>
      <c r="F156">
        <f>Analise_Instancias!G152</f>
        <v>2.960188627243042</v>
      </c>
      <c r="G156" s="4">
        <f>Analise_Instancias!I152</f>
        <v>9.7220624769966957E-2</v>
      </c>
      <c r="H156">
        <f>Analise_Instancias!J152</f>
        <v>2.9110054969787602</v>
      </c>
      <c r="I156" s="4">
        <f>Analise_Instancias!O152</f>
        <v>8.1915963867546848E-2</v>
      </c>
      <c r="J156">
        <f>Analise_Instancias!Q152</f>
        <v>9.1632113456726074</v>
      </c>
    </row>
    <row r="157" spans="1:10">
      <c r="A157" t="s">
        <v>160</v>
      </c>
      <c r="B157" t="s">
        <v>206</v>
      </c>
      <c r="C157" s="4">
        <f>Analise_Instancias!L153</f>
        <v>9.1121487562357384E-2</v>
      </c>
      <c r="D157">
        <f>Analise_Instancias!M153</f>
        <v>3.7242364883422852</v>
      </c>
      <c r="E157" s="4">
        <f>Analise_Instancias!F153</f>
        <v>0.19492571191364716</v>
      </c>
      <c r="F157">
        <f>Analise_Instancias!G153</f>
        <v>2.8489663600921631</v>
      </c>
      <c r="G157" s="4">
        <f>Analise_Instancias!I153</f>
        <v>9.9109367749139476E-2</v>
      </c>
      <c r="H157">
        <f>Analise_Instancias!J153</f>
        <v>3.5416502952575679</v>
      </c>
      <c r="I157" s="4">
        <f>Analise_Instancias!O153</f>
        <v>9.1121487562357384E-2</v>
      </c>
      <c r="J157">
        <f>Analise_Instancias!Q153</f>
        <v>10.114853143692017</v>
      </c>
    </row>
    <row r="158" spans="1:10">
      <c r="A158" t="s">
        <v>160</v>
      </c>
      <c r="B158" t="s">
        <v>207</v>
      </c>
      <c r="C158" s="4">
        <f>Analise_Instancias!L154</f>
        <v>7.948574721138213E-2</v>
      </c>
      <c r="D158">
        <f>Analise_Instancias!M154</f>
        <v>4.9863784313201904</v>
      </c>
      <c r="E158" s="4">
        <f>Analise_Instancias!F154</f>
        <v>0.11331410564847988</v>
      </c>
      <c r="F158">
        <f>Analise_Instancias!G154</f>
        <v>2.9092707633972168</v>
      </c>
      <c r="G158" s="4">
        <f>Analise_Instancias!I154</f>
        <v>0.11402106283827607</v>
      </c>
      <c r="H158">
        <f>Analise_Instancias!J154</f>
        <v>3.7412078380584721</v>
      </c>
      <c r="I158" s="4">
        <f>Analise_Instancias!O154</f>
        <v>7.948574721138213E-2</v>
      </c>
      <c r="J158">
        <f>Analise_Instancias!Q154</f>
        <v>11.636857032775879</v>
      </c>
    </row>
    <row r="159" spans="1:10">
      <c r="A159" t="s">
        <v>160</v>
      </c>
      <c r="B159" t="s">
        <v>208</v>
      </c>
      <c r="C159" s="4">
        <f>Analise_Instancias!L155</f>
        <v>6.2918069204262572E-2</v>
      </c>
      <c r="D159">
        <f>Analise_Instancias!M155</f>
        <v>3.2997007369995122</v>
      </c>
      <c r="E159" s="4">
        <f>Analise_Instancias!F155</f>
        <v>9.4667299470359234E-2</v>
      </c>
      <c r="F159">
        <f>Analise_Instancias!G155</f>
        <v>2.8468079566955571</v>
      </c>
      <c r="G159" s="4">
        <f>Analise_Instancias!I155</f>
        <v>6.7559903643672925E-2</v>
      </c>
      <c r="H159">
        <f>Analise_Instancias!J155</f>
        <v>3.1463384628295898</v>
      </c>
      <c r="I159" s="4">
        <f>Analise_Instancias!O155</f>
        <v>6.2918069204262572E-2</v>
      </c>
      <c r="J159">
        <f>Analise_Instancias!Q155</f>
        <v>9.2928471565246582</v>
      </c>
    </row>
    <row r="160" spans="1:10">
      <c r="A160" t="s">
        <v>160</v>
      </c>
      <c r="B160" t="s">
        <v>209</v>
      </c>
      <c r="C160" s="4">
        <f>Analise_Instancias!L156</f>
        <v>8.4221428885667304E-2</v>
      </c>
      <c r="D160">
        <f>Analise_Instancias!M156</f>
        <v>3.3626606464385991</v>
      </c>
      <c r="E160" s="4">
        <f>Analise_Instancias!F156</f>
        <v>0.23803509628276465</v>
      </c>
      <c r="F160">
        <f>Analise_Instancias!G156</f>
        <v>2.9279937744140621</v>
      </c>
      <c r="G160" s="4">
        <f>Analise_Instancias!I156</f>
        <v>0.12090049314540452</v>
      </c>
      <c r="H160">
        <f>Analise_Instancias!J156</f>
        <v>2.9573318958282471</v>
      </c>
      <c r="I160" s="4">
        <f>Analise_Instancias!O156</f>
        <v>8.4221428885667304E-2</v>
      </c>
      <c r="J160">
        <f>Analise_Instancias!Q156</f>
        <v>9.2479863166809082</v>
      </c>
    </row>
    <row r="161" spans="1:10">
      <c r="A161" t="s">
        <v>160</v>
      </c>
      <c r="B161" t="s">
        <v>210</v>
      </c>
      <c r="C161" s="4">
        <f>Analise_Instancias!L157</f>
        <v>7.8534892352535302E-2</v>
      </c>
      <c r="D161">
        <f>Analise_Instancias!M157</f>
        <v>3.5535051822662349</v>
      </c>
      <c r="E161" s="4">
        <f>Analise_Instancias!F157</f>
        <v>0.19929777735907317</v>
      </c>
      <c r="F161">
        <f>Analise_Instancias!G157</f>
        <v>2.9901595115661621</v>
      </c>
      <c r="G161" s="4">
        <f>Analise_Instancias!I157</f>
        <v>0.10339304037120445</v>
      </c>
      <c r="H161">
        <f>Analise_Instancias!J157</f>
        <v>2.998679399490356</v>
      </c>
      <c r="I161" s="4">
        <f>Analise_Instancias!O157</f>
        <v>7.8534892352535302E-2</v>
      </c>
      <c r="J161">
        <f>Analise_Instancias!Q157</f>
        <v>9.5423440933227539</v>
      </c>
    </row>
    <row r="162" spans="1:10">
      <c r="A162" t="s">
        <v>160</v>
      </c>
      <c r="B162" t="s">
        <v>211</v>
      </c>
      <c r="C162" s="4">
        <f>Analise_Instancias!L158</f>
        <v>7.3259456787344801E-2</v>
      </c>
      <c r="D162">
        <f>Analise_Instancias!M158</f>
        <v>3.356906652450562</v>
      </c>
      <c r="E162" s="4">
        <f>Analise_Instancias!F158</f>
        <v>0.12912805044691655</v>
      </c>
      <c r="F162">
        <f>Analise_Instancias!G158</f>
        <v>3.2990000247955318</v>
      </c>
      <c r="G162" s="4">
        <f>Analise_Instancias!I158</f>
        <v>0.10785241403285961</v>
      </c>
      <c r="H162">
        <f>Analise_Instancias!J158</f>
        <v>3.142554759979248</v>
      </c>
      <c r="I162" s="4">
        <f>Analise_Instancias!O158</f>
        <v>7.3259456787344801E-2</v>
      </c>
      <c r="J162">
        <f>Analise_Instancias!Q158</f>
        <v>9.7984614372253418</v>
      </c>
    </row>
    <row r="163" spans="1:10">
      <c r="A163" t="s">
        <v>160</v>
      </c>
      <c r="B163" t="s">
        <v>212</v>
      </c>
      <c r="C163" s="4">
        <f>Analise_Instancias!L159</f>
        <v>7.2694646720963929E-2</v>
      </c>
      <c r="D163">
        <f>Analise_Instancias!M159</f>
        <v>4.7788581848144531</v>
      </c>
      <c r="E163" s="4">
        <f>Analise_Instancias!F159</f>
        <v>0.10951506351043405</v>
      </c>
      <c r="F163">
        <f>Analise_Instancias!G159</f>
        <v>3.5522582530975342</v>
      </c>
      <c r="G163" s="4">
        <f>Analise_Instancias!I159</f>
        <v>8.5269811517421301E-2</v>
      </c>
      <c r="H163">
        <f>Analise_Instancias!J159</f>
        <v>5.2889790534973136</v>
      </c>
      <c r="I163" s="4">
        <f>Analise_Instancias!O159</f>
        <v>7.2694646720963929E-2</v>
      </c>
      <c r="J163">
        <f>Analise_Instancias!Q159</f>
        <v>13.620095491409302</v>
      </c>
    </row>
    <row r="164" spans="1:10">
      <c r="A164" t="s">
        <v>160</v>
      </c>
      <c r="B164" t="s">
        <v>213</v>
      </c>
      <c r="C164" s="4">
        <f>Analise_Instancias!L160</f>
        <v>9.0353559750297352E-2</v>
      </c>
      <c r="D164">
        <f>Analise_Instancias!M160</f>
        <v>3.4384546279907231</v>
      </c>
      <c r="E164" s="4">
        <f>Analise_Instancias!F160</f>
        <v>0.22768579072532691</v>
      </c>
      <c r="F164">
        <f>Analise_Instancias!G160</f>
        <v>5.1238982677459717</v>
      </c>
      <c r="G164" s="4">
        <f>Analise_Instancias!I160</f>
        <v>0.13105176129607621</v>
      </c>
      <c r="H164">
        <f>Analise_Instancias!J160</f>
        <v>5.0749950408935547</v>
      </c>
      <c r="I164" s="4">
        <f>Analise_Instancias!O160</f>
        <v>9.0353559750297352E-2</v>
      </c>
      <c r="J164">
        <f>Analise_Instancias!Q160</f>
        <v>13.637347936630249</v>
      </c>
    </row>
    <row r="165" spans="1:10">
      <c r="A165" t="s">
        <v>160</v>
      </c>
      <c r="B165" t="s">
        <v>214</v>
      </c>
      <c r="C165" s="4">
        <f>Analise_Instancias!L161</f>
        <v>0.166506923125193</v>
      </c>
      <c r="D165">
        <f>Analise_Instancias!M161</f>
        <v>3.3651795387268071</v>
      </c>
      <c r="E165" s="4">
        <f>Analise_Instancias!F161</f>
        <v>0.27800866929255474</v>
      </c>
      <c r="F165">
        <f>Analise_Instancias!G161</f>
        <v>5.2010955810546884</v>
      </c>
      <c r="G165" s="4">
        <f>Analise_Instancias!I161</f>
        <v>0.20626503912283756</v>
      </c>
      <c r="H165">
        <f>Analise_Instancias!J161</f>
        <v>4.7737860679626456</v>
      </c>
      <c r="I165" s="4">
        <f>Analise_Instancias!O161</f>
        <v>0.166506923125193</v>
      </c>
      <c r="J165">
        <f>Analise_Instancias!Q161</f>
        <v>13.340061187744141</v>
      </c>
    </row>
    <row r="166" spans="1:10">
      <c r="A166" t="s">
        <v>160</v>
      </c>
      <c r="B166" t="s">
        <v>215</v>
      </c>
      <c r="C166" s="4">
        <f>Analise_Instancias!L162</f>
        <v>6.8513220803805508E-2</v>
      </c>
      <c r="D166">
        <f>Analise_Instancias!M162</f>
        <v>3.403876781463623</v>
      </c>
      <c r="E166" s="4">
        <f>Analise_Instancias!F162</f>
        <v>0.19151660033006501</v>
      </c>
      <c r="F166">
        <f>Analise_Instancias!G162</f>
        <v>5.1545724868774414</v>
      </c>
      <c r="G166" s="4">
        <f>Analise_Instancias!I162</f>
        <v>0.12132097308513745</v>
      </c>
      <c r="H166">
        <f>Analise_Instancias!J162</f>
        <v>4.3286278247833252</v>
      </c>
      <c r="I166" s="4">
        <f>Analise_Instancias!O162</f>
        <v>6.8513220803805508E-2</v>
      </c>
      <c r="J166">
        <f>Analise_Instancias!Q162</f>
        <v>12.88707709312439</v>
      </c>
    </row>
    <row r="167" spans="1:10">
      <c r="A167" t="s">
        <v>160</v>
      </c>
      <c r="B167" t="s">
        <v>216</v>
      </c>
      <c r="C167" s="4">
        <f>Analise_Instancias!L163</f>
        <v>0.12529724072937665</v>
      </c>
      <c r="D167">
        <f>Analise_Instancias!M163</f>
        <v>3.711106538772583</v>
      </c>
      <c r="E167" s="4">
        <f>Analise_Instancias!F163</f>
        <v>0.21992286808538619</v>
      </c>
      <c r="F167">
        <f>Analise_Instancias!G163</f>
        <v>4.7530105113983154</v>
      </c>
      <c r="G167" s="4">
        <f>Analise_Instancias!I163</f>
        <v>0.14393274483321639</v>
      </c>
      <c r="H167">
        <f>Analise_Instancias!J163</f>
        <v>4.6759321689605713</v>
      </c>
      <c r="I167" s="4">
        <f>Analise_Instancias!O163</f>
        <v>0.12529724072937665</v>
      </c>
      <c r="J167">
        <f>Analise_Instancias!Q163</f>
        <v>13.14004921913147</v>
      </c>
    </row>
    <row r="168" spans="1:10">
      <c r="A168" t="s">
        <v>160</v>
      </c>
      <c r="B168" t="s">
        <v>217</v>
      </c>
      <c r="C168" s="4">
        <f>Analise_Instancias!L164</f>
        <v>6.6606358275845823E-2</v>
      </c>
      <c r="D168">
        <f>Analise_Instancias!M164</f>
        <v>4.721959114074707</v>
      </c>
      <c r="E168" s="4">
        <f>Analise_Instancias!F164</f>
        <v>0.1075573916987671</v>
      </c>
      <c r="F168">
        <f>Analise_Instancias!G164</f>
        <v>3.9167449474334721</v>
      </c>
      <c r="G168" s="4">
        <f>Analise_Instancias!I164</f>
        <v>7.7698814593163856E-2</v>
      </c>
      <c r="H168">
        <f>Analise_Instancias!J164</f>
        <v>4.8023219108581543</v>
      </c>
      <c r="I168" s="4">
        <f>Analise_Instancias!O164</f>
        <v>6.6606358275845823E-2</v>
      </c>
      <c r="J168">
        <f>Analise_Instancias!Q164</f>
        <v>13.441025972366333</v>
      </c>
    </row>
    <row r="169" spans="1:10">
      <c r="A169" t="s">
        <v>160</v>
      </c>
      <c r="B169" t="s">
        <v>218</v>
      </c>
      <c r="C169" s="4">
        <f>Analise_Instancias!L165</f>
        <v>9.5819589778586511E-2</v>
      </c>
      <c r="D169">
        <f>Analise_Instancias!M165</f>
        <v>3.636609792709351</v>
      </c>
      <c r="E169" s="4">
        <f>Analise_Instancias!F165</f>
        <v>0.18546074082499242</v>
      </c>
      <c r="F169">
        <f>Analise_Instancias!G165</f>
        <v>3.244296550750732</v>
      </c>
      <c r="G169" s="4">
        <f>Analise_Instancias!I165</f>
        <v>0.13789323153624511</v>
      </c>
      <c r="H169">
        <f>Analise_Instancias!J165</f>
        <v>3.8030004501342769</v>
      </c>
      <c r="I169" s="4">
        <f>Analise_Instancias!O165</f>
        <v>9.5819589778586511E-2</v>
      </c>
      <c r="J169">
        <f>Analise_Instancias!Q165</f>
        <v>10.68390679359436</v>
      </c>
    </row>
    <row r="170" spans="1:10">
      <c r="A170" t="s">
        <v>160</v>
      </c>
      <c r="B170" t="s">
        <v>219</v>
      </c>
      <c r="C170" s="4">
        <f>Analise_Instancias!L166</f>
        <v>0.11074065603763716</v>
      </c>
      <c r="D170">
        <f>Analise_Instancias!M166</f>
        <v>3.5860128402709961</v>
      </c>
      <c r="E170" s="4">
        <f>Analise_Instancias!F166</f>
        <v>0.2996888068478829</v>
      </c>
      <c r="F170">
        <f>Analise_Instancias!G166</f>
        <v>3.8975546360015869</v>
      </c>
      <c r="G170" s="4">
        <f>Analise_Instancias!I166</f>
        <v>0.14127250228698385</v>
      </c>
      <c r="H170">
        <f>Analise_Instancias!J166</f>
        <v>3.8439440727233891</v>
      </c>
      <c r="I170" s="4">
        <f>Analise_Instancias!O166</f>
        <v>0.11074065603763716</v>
      </c>
      <c r="J170">
        <f>Analise_Instancias!Q166</f>
        <v>11.327511548995972</v>
      </c>
    </row>
    <row r="171" spans="1:10">
      <c r="A171" t="s">
        <v>160</v>
      </c>
      <c r="B171" t="s">
        <v>220</v>
      </c>
      <c r="C171" s="4">
        <f>Analise_Instancias!L167</f>
        <v>6.5347522447622319E-2</v>
      </c>
      <c r="D171">
        <f>Analise_Instancias!M167</f>
        <v>4.1848447322845459</v>
      </c>
      <c r="E171" s="4">
        <f>Analise_Instancias!F167</f>
        <v>0.14721934331257369</v>
      </c>
      <c r="F171">
        <f>Analise_Instancias!G167</f>
        <v>5.4272348880767822</v>
      </c>
      <c r="G171" s="4">
        <f>Analise_Instancias!I167</f>
        <v>0.11391684081839348</v>
      </c>
      <c r="H171">
        <f>Analise_Instancias!J167</f>
        <v>3.633622407913208</v>
      </c>
      <c r="I171" s="4">
        <f>Analise_Instancias!O167</f>
        <v>6.5347522447622319E-2</v>
      </c>
      <c r="J171">
        <f>Analise_Instancias!Q167</f>
        <v>13.245702028274536</v>
      </c>
    </row>
    <row r="172" spans="1:10">
      <c r="A172" t="s">
        <v>160</v>
      </c>
      <c r="B172" t="s">
        <v>221</v>
      </c>
      <c r="C172" s="4">
        <f>Analise_Instancias!L168</f>
        <v>0.20634410907695822</v>
      </c>
      <c r="D172">
        <f>Analise_Instancias!M168</f>
        <v>4.0051286220550537</v>
      </c>
      <c r="E172" s="4">
        <f>Analise_Instancias!F168</f>
        <v>0.43546869847681613</v>
      </c>
      <c r="F172">
        <f>Analise_Instancias!G168</f>
        <v>5.3311271667480469</v>
      </c>
      <c r="G172" s="4">
        <f>Analise_Instancias!I168</f>
        <v>0.21208963765726452</v>
      </c>
      <c r="H172">
        <f>Analise_Instancias!J168</f>
        <v>3.5223054885864258</v>
      </c>
      <c r="I172" s="4">
        <f>Analise_Instancias!O168</f>
        <v>0.20634410907695822</v>
      </c>
      <c r="J172">
        <f>Analise_Instancias!Q168</f>
        <v>12.858561277389526</v>
      </c>
    </row>
    <row r="173" spans="1:10">
      <c r="A173" t="s">
        <v>160</v>
      </c>
      <c r="B173" t="s">
        <v>222</v>
      </c>
      <c r="C173" s="4">
        <f>Analise_Instancias!L169</f>
        <v>0.10180188002096524</v>
      </c>
      <c r="D173">
        <f>Analise_Instancias!M169</f>
        <v>6.9164538383483887</v>
      </c>
      <c r="E173" s="4">
        <f>Analise_Instancias!F169</f>
        <v>0.13878902843744778</v>
      </c>
      <c r="F173">
        <f>Analise_Instancias!G169</f>
        <v>5.4181432723999023</v>
      </c>
      <c r="G173" s="4">
        <f>Analise_Instancias!I169</f>
        <v>0.13614062876862287</v>
      </c>
      <c r="H173">
        <f>Analise_Instancias!J169</f>
        <v>6.1437051296234131</v>
      </c>
      <c r="I173" s="4">
        <f>Analise_Instancias!O169</f>
        <v>0.10180188002096524</v>
      </c>
      <c r="J173">
        <f>Analise_Instancias!Q169</f>
        <v>18.478302240371704</v>
      </c>
    </row>
    <row r="174" spans="1:10">
      <c r="A174" t="s">
        <v>160</v>
      </c>
      <c r="B174" t="s">
        <v>223</v>
      </c>
      <c r="C174" s="4">
        <f>Analise_Instancias!L170</f>
        <v>0.10372914406637235</v>
      </c>
      <c r="D174">
        <f>Analise_Instancias!M170</f>
        <v>3.9746265411376949</v>
      </c>
      <c r="E174" s="4">
        <f>Analise_Instancias!F170</f>
        <v>0.22721723211966571</v>
      </c>
      <c r="F174">
        <f>Analise_Instancias!G170</f>
        <v>4.7731571197509766</v>
      </c>
      <c r="G174" s="4">
        <f>Analise_Instancias!I170</f>
        <v>0.14618276253265905</v>
      </c>
      <c r="H174">
        <f>Analise_Instancias!J170</f>
        <v>5.8587589263916016</v>
      </c>
      <c r="I174" s="4">
        <f>Analise_Instancias!O170</f>
        <v>0.10372914406637235</v>
      </c>
      <c r="J174">
        <f>Analise_Instancias!Q170</f>
        <v>14.606542587280273</v>
      </c>
    </row>
    <row r="175" spans="1:10">
      <c r="A175" t="s">
        <v>160</v>
      </c>
      <c r="B175" t="s">
        <v>224</v>
      </c>
      <c r="C175" s="4">
        <f>Analise_Instancias!L171</f>
        <v>9.1409534637685086E-2</v>
      </c>
      <c r="D175">
        <f>Analise_Instancias!M171</f>
        <v>3.8277051448822021</v>
      </c>
      <c r="E175" s="4">
        <f>Analise_Instancias!F171</f>
        <v>0.286092049716963</v>
      </c>
      <c r="F175">
        <f>Analise_Instancias!G171</f>
        <v>3.4116122722625728</v>
      </c>
      <c r="G175" s="4">
        <f>Analise_Instancias!I171</f>
        <v>0.13809840516886052</v>
      </c>
      <c r="H175">
        <f>Analise_Instancias!J171</f>
        <v>5.8447144031524658</v>
      </c>
      <c r="I175" s="4">
        <f>Analise_Instancias!O171</f>
        <v>9.1409534637685086E-2</v>
      </c>
      <c r="J175">
        <f>Analise_Instancias!Q171</f>
        <v>13.084031820297241</v>
      </c>
    </row>
    <row r="176" spans="1:10">
      <c r="A176" t="s">
        <v>160</v>
      </c>
      <c r="B176" t="s">
        <v>225</v>
      </c>
      <c r="C176" s="4">
        <f>Analise_Instancias!L172</f>
        <v>8.1942492486375862E-2</v>
      </c>
      <c r="D176">
        <f>Analise_Instancias!M172</f>
        <v>3.991818904876709</v>
      </c>
      <c r="E176" s="4">
        <f>Analise_Instancias!F172</f>
        <v>0.20689341064218847</v>
      </c>
      <c r="F176">
        <f>Analise_Instancias!G172</f>
        <v>3.4112014770507808</v>
      </c>
      <c r="G176" s="4">
        <f>Analise_Instancias!I172</f>
        <v>0.12930703791211773</v>
      </c>
      <c r="H176">
        <f>Analise_Instancias!J172</f>
        <v>5.5391876697540283</v>
      </c>
      <c r="I176" s="4">
        <f>Analise_Instancias!O172</f>
        <v>8.1942492486375862E-2</v>
      </c>
      <c r="J176">
        <f>Analise_Instancias!Q172</f>
        <v>12.942208051681519</v>
      </c>
    </row>
    <row r="177" spans="1:10">
      <c r="A177" t="s">
        <v>160</v>
      </c>
      <c r="B177" t="s">
        <v>226</v>
      </c>
      <c r="C177" s="4">
        <f>Analise_Instancias!L173</f>
        <v>0.23637578192965747</v>
      </c>
      <c r="D177">
        <f>Analise_Instancias!M173</f>
        <v>5.5244719982147217</v>
      </c>
      <c r="E177" s="4">
        <f>Analise_Instancias!F173</f>
        <v>0.44280084225734284</v>
      </c>
      <c r="F177">
        <f>Analise_Instancias!G173</f>
        <v>3.350753545761108</v>
      </c>
      <c r="G177" s="4">
        <f>Analise_Instancias!I173</f>
        <v>0.22911882094328684</v>
      </c>
      <c r="H177">
        <f>Analise_Instancias!J173</f>
        <v>5.0240893363952637</v>
      </c>
      <c r="I177" s="4">
        <f>Analise_Instancias!O173</f>
        <v>0.22911882094328684</v>
      </c>
      <c r="J177">
        <f>Analise_Instancias!Q173</f>
        <v>13.899314880371094</v>
      </c>
    </row>
    <row r="178" spans="1:10">
      <c r="A178" t="s">
        <v>160</v>
      </c>
      <c r="B178" t="s">
        <v>227</v>
      </c>
      <c r="C178" s="4">
        <f>Analise_Instancias!L174</f>
        <v>0.11676543115262561</v>
      </c>
      <c r="D178">
        <f>Analise_Instancias!M174</f>
        <v>7.1975193023681641</v>
      </c>
      <c r="E178" s="4">
        <f>Analise_Instancias!F174</f>
        <v>0.13755323758925986</v>
      </c>
      <c r="F178">
        <f>Analise_Instancias!G174</f>
        <v>4.9844684600830078</v>
      </c>
      <c r="G178" s="4">
        <f>Analise_Instancias!I174</f>
        <v>0.11188423874332809</v>
      </c>
      <c r="H178">
        <f>Analise_Instancias!J174</f>
        <v>7.0359036922454834</v>
      </c>
      <c r="I178" s="4">
        <f>Analise_Instancias!O174</f>
        <v>0.11188423874332809</v>
      </c>
      <c r="J178">
        <f>Analise_Instancias!Q174</f>
        <v>19.217891454696655</v>
      </c>
    </row>
    <row r="179" spans="1:10">
      <c r="A179" t="s">
        <v>160</v>
      </c>
      <c r="B179" t="s">
        <v>228</v>
      </c>
      <c r="C179" s="4">
        <f>Analise_Instancias!L175</f>
        <v>8.9263679582779032E-2</v>
      </c>
      <c r="D179">
        <f>Analise_Instancias!M175</f>
        <v>6.3564865589141846</v>
      </c>
      <c r="E179" s="4">
        <f>Analise_Instancias!F175</f>
        <v>0.16828243258728448</v>
      </c>
      <c r="F179">
        <f>Analise_Instancias!G175</f>
        <v>3.6729617118835449</v>
      </c>
      <c r="G179" s="4">
        <f>Analise_Instancias!I175</f>
        <v>0.122792823983499</v>
      </c>
      <c r="H179">
        <f>Analise_Instancias!J175</f>
        <v>5.2639756202697754</v>
      </c>
      <c r="I179" s="4">
        <f>Analise_Instancias!O175</f>
        <v>8.9263679582779032E-2</v>
      </c>
      <c r="J179">
        <f>Analise_Instancias!Q175</f>
        <v>15.293423891067505</v>
      </c>
    </row>
    <row r="180" spans="1:10">
      <c r="A180" t="s">
        <v>160</v>
      </c>
      <c r="B180" t="s">
        <v>229</v>
      </c>
      <c r="C180" s="4">
        <f>Analise_Instancias!L176</f>
        <v>9.7241729088639151E-2</v>
      </c>
      <c r="D180">
        <f>Analise_Instancias!M176</f>
        <v>3.977703332901001</v>
      </c>
      <c r="E180" s="4">
        <f>Analise_Instancias!F176</f>
        <v>0.31732007618488933</v>
      </c>
      <c r="F180">
        <f>Analise_Instancias!G176</f>
        <v>3.8529212474822998</v>
      </c>
      <c r="G180" s="4">
        <f>Analise_Instancias!I176</f>
        <v>0.15684719213934395</v>
      </c>
      <c r="H180">
        <f>Analise_Instancias!J176</f>
        <v>4.764615535736084</v>
      </c>
      <c r="I180" s="4">
        <f>Analise_Instancias!O176</f>
        <v>9.7241729088639151E-2</v>
      </c>
      <c r="J180">
        <f>Analise_Instancias!Q176</f>
        <v>12.595240116119385</v>
      </c>
    </row>
    <row r="181" spans="1:10">
      <c r="A181" t="s">
        <v>160</v>
      </c>
      <c r="B181" t="s">
        <v>230</v>
      </c>
      <c r="C181" s="4">
        <f>Analise_Instancias!L177</f>
        <v>5.3490559905237989E-2</v>
      </c>
      <c r="D181">
        <f>Analise_Instancias!M177</f>
        <v>4.2209887504577637</v>
      </c>
      <c r="E181" s="4">
        <f>Analise_Instancias!F177</f>
        <v>0.11410543004073603</v>
      </c>
      <c r="F181">
        <f>Analise_Instancias!G177</f>
        <v>4.0426056385040283</v>
      </c>
      <c r="G181" s="4">
        <f>Analise_Instancias!I177</f>
        <v>0.37240185226648936</v>
      </c>
      <c r="H181">
        <f>Analise_Instancias!J177</f>
        <v>4.6217935085296631</v>
      </c>
      <c r="I181" s="4">
        <f>Analise_Instancias!O177</f>
        <v>5.3490559905237989E-2</v>
      </c>
      <c r="J181">
        <f>Analise_Instancias!Q177</f>
        <v>12.885387897491455</v>
      </c>
    </row>
    <row r="182" spans="1:10">
      <c r="A182" t="s">
        <v>160</v>
      </c>
      <c r="B182" t="s">
        <v>231</v>
      </c>
      <c r="C182" s="4">
        <f>Analise_Instancias!L178</f>
        <v>0.12440593557600921</v>
      </c>
      <c r="D182">
        <f>Analise_Instancias!M178</f>
        <v>4.2172939777374268</v>
      </c>
      <c r="E182" s="4">
        <f>Analise_Instancias!F178</f>
        <v>0.3236836804264287</v>
      </c>
      <c r="F182">
        <f>Analise_Instancias!G178</f>
        <v>3.5331659317016602</v>
      </c>
      <c r="G182" s="4">
        <f>Analise_Instancias!I178</f>
        <v>0.20320473585802246</v>
      </c>
      <c r="H182">
        <f>Analise_Instancias!J178</f>
        <v>4.6102609634399414</v>
      </c>
      <c r="I182" s="4">
        <f>Analise_Instancias!O178</f>
        <v>0.12440593557600921</v>
      </c>
      <c r="J182">
        <f>Analise_Instancias!Q178</f>
        <v>12.360720872879028</v>
      </c>
    </row>
    <row r="183" spans="1:10">
      <c r="A183" t="s">
        <v>160</v>
      </c>
      <c r="B183" t="s">
        <v>232</v>
      </c>
      <c r="C183" s="4">
        <f>Analise_Instancias!L179</f>
        <v>0.10406013694022365</v>
      </c>
      <c r="D183">
        <f>Analise_Instancias!M179</f>
        <v>7.6924009323120117</v>
      </c>
      <c r="E183" s="4">
        <f>Analise_Instancias!F179</f>
        <v>0.18188404390884449</v>
      </c>
      <c r="F183">
        <f>Analise_Instancias!G179</f>
        <v>5.4267203807830811</v>
      </c>
      <c r="G183" s="4">
        <f>Analise_Instancias!I179</f>
        <v>0.13191200038164719</v>
      </c>
      <c r="H183">
        <f>Analise_Instancias!J179</f>
        <v>6.5050003528594971</v>
      </c>
      <c r="I183" s="4">
        <f>Analise_Instancias!O179</f>
        <v>0.10406013694022365</v>
      </c>
      <c r="J183">
        <f>Analise_Instancias!Q179</f>
        <v>19.62412166595459</v>
      </c>
    </row>
    <row r="184" spans="1:10">
      <c r="A184" t="s">
        <v>160</v>
      </c>
      <c r="B184" t="s">
        <v>233</v>
      </c>
      <c r="C184" s="4">
        <f>Analise_Instancias!L180</f>
        <v>0.10994895672985683</v>
      </c>
      <c r="D184">
        <f>Analise_Instancias!M180</f>
        <v>5.9977829456329346</v>
      </c>
      <c r="E184" s="4">
        <f>Analise_Instancias!F180</f>
        <v>0.20013413190856766</v>
      </c>
      <c r="F184">
        <f>Analise_Instancias!G180</f>
        <v>3.6674187183380131</v>
      </c>
      <c r="G184" s="4">
        <f>Analise_Instancias!I180</f>
        <v>0.16395443007612331</v>
      </c>
      <c r="H184">
        <f>Analise_Instancias!J180</f>
        <v>4.9912252426147461</v>
      </c>
      <c r="I184" s="4">
        <f>Analise_Instancias!O180</f>
        <v>0.10994895672985683</v>
      </c>
      <c r="J184">
        <f>Analise_Instancias!Q180</f>
        <v>14.656426906585693</v>
      </c>
    </row>
    <row r="185" spans="1:10">
      <c r="A185" t="s">
        <v>160</v>
      </c>
      <c r="B185" t="s">
        <v>234</v>
      </c>
      <c r="C185" s="4">
        <f>Analise_Instancias!L181</f>
        <v>0.18365664648212232</v>
      </c>
      <c r="D185">
        <f>Analise_Instancias!M181</f>
        <v>4.3046698570251456</v>
      </c>
      <c r="E185" s="4">
        <f>Analise_Instancias!F181</f>
        <v>0.31049280925605527</v>
      </c>
      <c r="F185">
        <f>Analise_Instancias!G181</f>
        <v>3.571320772171021</v>
      </c>
      <c r="G185" s="4">
        <f>Analise_Instancias!I181</f>
        <v>0.22417937211649375</v>
      </c>
      <c r="H185">
        <f>Analise_Instancias!J181</f>
        <v>4.2081582546234131</v>
      </c>
      <c r="I185" s="4">
        <f>Analise_Instancias!O181</f>
        <v>0.18365664648212232</v>
      </c>
      <c r="J185">
        <f>Analise_Instancias!Q181</f>
        <v>12.08414888381958</v>
      </c>
    </row>
    <row r="186" spans="1:10">
      <c r="A186" t="s">
        <v>160</v>
      </c>
      <c r="B186" t="s">
        <v>235</v>
      </c>
      <c r="C186" s="4">
        <f>Analise_Instancias!L182</f>
        <v>0.1208047842486597</v>
      </c>
      <c r="D186">
        <f>Analise_Instancias!M182</f>
        <v>4.28562331199646</v>
      </c>
      <c r="E186" s="4">
        <f>Analise_Instancias!F182</f>
        <v>0.35548447851557929</v>
      </c>
      <c r="F186">
        <f>Analise_Instancias!G182</f>
        <v>3.8534615039825439</v>
      </c>
      <c r="G186" s="4">
        <f>Analise_Instancias!I182</f>
        <v>0.16171437893578666</v>
      </c>
      <c r="H186">
        <f>Analise_Instancias!J182</f>
        <v>4.3587892055511466</v>
      </c>
      <c r="I186" s="4">
        <f>Analise_Instancias!O182</f>
        <v>0.1208047842486597</v>
      </c>
      <c r="J186">
        <f>Analise_Instancias!Q182</f>
        <v>12.497874021530151</v>
      </c>
    </row>
    <row r="187" spans="1:10">
      <c r="A187" t="s">
        <v>160</v>
      </c>
      <c r="B187" t="s">
        <v>236</v>
      </c>
      <c r="C187" s="4">
        <f>Analise_Instancias!L183</f>
        <v>0.35540407366842297</v>
      </c>
      <c r="D187">
        <f>Analise_Instancias!M183</f>
        <v>5.7367475032806396</v>
      </c>
      <c r="E187" s="4">
        <f>Analise_Instancias!F183</f>
        <v>0.24674637195843951</v>
      </c>
      <c r="F187">
        <f>Analise_Instancias!G183</f>
        <v>3.96668529510498</v>
      </c>
      <c r="G187" s="4">
        <f>Analise_Instancias!I183</f>
        <v>0.14651316714522533</v>
      </c>
      <c r="H187">
        <f>Analise_Instancias!J183</f>
        <v>4.7475693225860596</v>
      </c>
      <c r="I187" s="4">
        <f>Analise_Instancias!O183</f>
        <v>0.14651316714522533</v>
      </c>
      <c r="J187">
        <f>Analise_Instancias!Q183</f>
        <v>14.45100212097168</v>
      </c>
    </row>
    <row r="188" spans="1:10">
      <c r="A188" t="s">
        <v>160</v>
      </c>
      <c r="B188" t="s">
        <v>237</v>
      </c>
      <c r="C188" s="4">
        <f>Analise_Instancias!L184</f>
        <v>0.1223544000504424</v>
      </c>
      <c r="D188">
        <f>Analise_Instancias!M184</f>
        <v>7.2887382507324219</v>
      </c>
      <c r="E188" s="4">
        <f>Analise_Instancias!F184</f>
        <v>0.18088542542403152</v>
      </c>
      <c r="F188">
        <f>Analise_Instancias!G184</f>
        <v>5.731266975402832</v>
      </c>
      <c r="G188" s="4">
        <f>Analise_Instancias!I184</f>
        <v>0.15058762466108999</v>
      </c>
      <c r="H188">
        <f>Analise_Instancias!J184</f>
        <v>6.2301850318908691</v>
      </c>
      <c r="I188" s="4">
        <f>Analise_Instancias!O184</f>
        <v>0.1223544000504424</v>
      </c>
      <c r="J188">
        <f>Analise_Instancias!Q184</f>
        <v>19.250190258026123</v>
      </c>
    </row>
    <row r="189" spans="1:10">
      <c r="A189" t="s">
        <v>160</v>
      </c>
      <c r="B189" t="s">
        <v>238</v>
      </c>
      <c r="C189" s="4">
        <f>Analise_Instancias!L185</f>
        <v>0.13920313090704561</v>
      </c>
      <c r="D189">
        <f>Analise_Instancias!M185</f>
        <v>5.5793147087097168</v>
      </c>
      <c r="E189" s="4">
        <f>Analise_Instancias!F185</f>
        <v>0.2589856248443998</v>
      </c>
      <c r="F189">
        <f>Analise_Instancias!G185</f>
        <v>3.9650578498840332</v>
      </c>
      <c r="G189" s="4">
        <f>Analise_Instancias!I185</f>
        <v>0.16227914853251701</v>
      </c>
      <c r="H189">
        <f>Analise_Instancias!J185</f>
        <v>4.8113713264465332</v>
      </c>
      <c r="I189" s="4">
        <f>Analise_Instancias!O185</f>
        <v>0.13920313090704561</v>
      </c>
      <c r="J189">
        <f>Analise_Instancias!Q185</f>
        <v>14.355743885040283</v>
      </c>
    </row>
    <row r="190" spans="1:10">
      <c r="A190" t="s">
        <v>160</v>
      </c>
      <c r="B190" t="s">
        <v>239</v>
      </c>
      <c r="C190" s="4">
        <f>Analise_Instancias!L186</f>
        <v>0.1271892321743513</v>
      </c>
      <c r="D190">
        <f>Analise_Instancias!M186</f>
        <v>4.2039332389831543</v>
      </c>
      <c r="E190" s="4">
        <f>Analise_Instancias!F186</f>
        <v>0.34357113987570331</v>
      </c>
      <c r="F190">
        <f>Analise_Instancias!G186</f>
        <v>4.3246946334838867</v>
      </c>
      <c r="G190" s="4">
        <f>Analise_Instancias!I186</f>
        <v>0.17515825774754346</v>
      </c>
      <c r="H190">
        <f>Analise_Instancias!J186</f>
        <v>4.5533185005187988</v>
      </c>
      <c r="I190" s="4">
        <f>Analise_Instancias!O186</f>
        <v>0.1271892321743513</v>
      </c>
      <c r="J190">
        <f>Analise_Instancias!Q186</f>
        <v>13.08194637298584</v>
      </c>
    </row>
    <row r="191" spans="1:10">
      <c r="A191" t="s">
        <v>160</v>
      </c>
      <c r="B191" t="s">
        <v>240</v>
      </c>
      <c r="C191" s="4">
        <f>Analise_Instancias!L187</f>
        <v>0.32014660816549778</v>
      </c>
      <c r="D191">
        <f>Analise_Instancias!M187</f>
        <v>4.1948461532592773</v>
      </c>
      <c r="E191" s="4">
        <f>Analise_Instancias!F187</f>
        <v>0.36523701418827614</v>
      </c>
      <c r="F191">
        <f>Analise_Instancias!G187</f>
        <v>4.2048954963684082</v>
      </c>
      <c r="G191" s="4">
        <f>Analise_Instancias!I187</f>
        <v>0.1856485465864488</v>
      </c>
      <c r="H191">
        <f>Analise_Instancias!J187</f>
        <v>4.1347610950469971</v>
      </c>
      <c r="I191" s="4">
        <f>Analise_Instancias!O187</f>
        <v>0.1856485465864488</v>
      </c>
      <c r="J191">
        <f>Analise_Instancias!Q187</f>
        <v>12.534502744674683</v>
      </c>
    </row>
    <row r="192" spans="1:10">
      <c r="A192" t="s">
        <v>160</v>
      </c>
      <c r="B192" t="s">
        <v>241</v>
      </c>
      <c r="C192" s="4">
        <f>Analise_Instancias!L188</f>
        <v>9.6405077217197377E-2</v>
      </c>
      <c r="D192">
        <f>Analise_Instancias!M188</f>
        <v>4.3515102863311768</v>
      </c>
      <c r="E192" s="4">
        <f>Analise_Instancias!F188</f>
        <v>0.20905319625023555</v>
      </c>
      <c r="F192">
        <f>Analise_Instancias!G188</f>
        <v>4.160207986831665</v>
      </c>
      <c r="G192" s="4">
        <f>Analise_Instancias!I188</f>
        <v>0.14645665021826515</v>
      </c>
      <c r="H192">
        <f>Analise_Instancias!J188</f>
        <v>4.5685088634490967</v>
      </c>
      <c r="I192" s="4">
        <f>Analise_Instancias!O188</f>
        <v>9.6405077217197377E-2</v>
      </c>
      <c r="J192">
        <f>Analise_Instancias!Q188</f>
        <v>13.080227136611938</v>
      </c>
    </row>
    <row r="193" spans="1:10">
      <c r="A193" t="s">
        <v>160</v>
      </c>
      <c r="B193" t="s">
        <v>242</v>
      </c>
      <c r="C193" s="4">
        <f>Analise_Instancias!L189</f>
        <v>0.14760986373852791</v>
      </c>
      <c r="D193">
        <f>Analise_Instancias!M189</f>
        <v>7.6648499965667716</v>
      </c>
      <c r="E193" s="4">
        <f>Analise_Instancias!F189</f>
        <v>0.17752695378348005</v>
      </c>
      <c r="F193">
        <f>Analise_Instancias!G189</f>
        <v>5.7171149253845206</v>
      </c>
      <c r="G193" s="4">
        <f>Analise_Instancias!I189</f>
        <v>0.14447403539988768</v>
      </c>
      <c r="H193">
        <f>Analise_Instancias!J189</f>
        <v>9.5028665065765381</v>
      </c>
      <c r="I193" s="4">
        <f>Analise_Instancias!O189</f>
        <v>0.14447403539988768</v>
      </c>
      <c r="J193">
        <f>Analise_Instancias!Q189</f>
        <v>22.884831428527832</v>
      </c>
    </row>
    <row r="194" spans="1:10">
      <c r="A194" t="s">
        <v>160</v>
      </c>
      <c r="B194" t="s">
        <v>243</v>
      </c>
      <c r="C194" s="4">
        <f>Analise_Instancias!L190</f>
        <v>0.14712541515184641</v>
      </c>
      <c r="D194">
        <f>Analise_Instancias!M190</f>
        <v>8.5458202362060547</v>
      </c>
      <c r="E194" s="4">
        <f>Analise_Instancias!F190</f>
        <v>0.19283269380586621</v>
      </c>
      <c r="F194">
        <f>Analise_Instancias!G190</f>
        <v>7.2184548377990723</v>
      </c>
      <c r="G194" s="4">
        <f>Analise_Instancias!I190</f>
        <v>0.13780350504332617</v>
      </c>
      <c r="H194">
        <f>Analise_Instancias!J190</f>
        <v>8.2351593971252441</v>
      </c>
      <c r="I194" s="4">
        <f>Analise_Instancias!O190</f>
        <v>0.13780350504332617</v>
      </c>
      <c r="J194">
        <f>Analise_Instancias!Q190</f>
        <v>23.999434471130371</v>
      </c>
    </row>
    <row r="195" spans="1:10">
      <c r="A195" t="s">
        <v>160</v>
      </c>
      <c r="B195" t="s">
        <v>244</v>
      </c>
      <c r="C195" s="4">
        <f>Analise_Instancias!L191</f>
        <v>0.13151780477970831</v>
      </c>
      <c r="D195">
        <f>Analise_Instancias!M191</f>
        <v>6.5493643283843994</v>
      </c>
      <c r="E195" s="4">
        <f>Analise_Instancias!F191</f>
        <v>0.34731691224983496</v>
      </c>
      <c r="F195">
        <f>Analise_Instancias!G191</f>
        <v>4.8065297603607178</v>
      </c>
      <c r="G195" s="4">
        <f>Analise_Instancias!I191</f>
        <v>0.18063810387801471</v>
      </c>
      <c r="H195">
        <f>Analise_Instancias!J191</f>
        <v>4.2850077152252197</v>
      </c>
      <c r="I195" s="4">
        <f>Analise_Instancias!O191</f>
        <v>0.13151780477970831</v>
      </c>
      <c r="J195">
        <f>Analise_Instancias!Q191</f>
        <v>15.640901803970337</v>
      </c>
    </row>
    <row r="196" spans="1:10">
      <c r="A196" t="s">
        <v>160</v>
      </c>
      <c r="B196" t="s">
        <v>245</v>
      </c>
      <c r="C196" s="4">
        <f>Analise_Instancias!L192</f>
        <v>7.3640510754000799E-2</v>
      </c>
      <c r="D196">
        <f>Analise_Instancias!M192</f>
        <v>4.6699559688568124</v>
      </c>
      <c r="E196" s="4">
        <f>Analise_Instancias!F192</f>
        <v>0.23755204963807475</v>
      </c>
      <c r="F196">
        <f>Analise_Instancias!G192</f>
        <v>5.8252782821655273</v>
      </c>
      <c r="G196" s="4">
        <f>Analise_Instancias!I192</f>
        <v>0.13180688725998801</v>
      </c>
      <c r="H196">
        <f>Analise_Instancias!J192</f>
        <v>4.2293722629547119</v>
      </c>
      <c r="I196" s="4">
        <f>Analise_Instancias!O192</f>
        <v>7.3640510754000799E-2</v>
      </c>
      <c r="J196">
        <f>Analise_Instancias!Q192</f>
        <v>14.724606513977051</v>
      </c>
    </row>
    <row r="197" spans="1:10">
      <c r="A197" t="s">
        <v>160</v>
      </c>
      <c r="B197" t="s">
        <v>246</v>
      </c>
      <c r="C197" s="4">
        <f>Analise_Instancias!L193</f>
        <v>0.17677138931478109</v>
      </c>
      <c r="D197">
        <f>Analise_Instancias!M193</f>
        <v>5.4424245357513428</v>
      </c>
      <c r="E197" s="4">
        <f>Analise_Instancias!F193</f>
        <v>0.48660925287621337</v>
      </c>
      <c r="F197">
        <f>Analise_Instancias!G193</f>
        <v>6.3651740550994873</v>
      </c>
      <c r="G197" s="4">
        <f>Analise_Instancias!I193</f>
        <v>0.20843324187858814</v>
      </c>
      <c r="H197">
        <f>Analise_Instancias!J193</f>
        <v>4.3605067729949951</v>
      </c>
      <c r="I197" s="4">
        <f>Analise_Instancias!O193</f>
        <v>0.17677138931478109</v>
      </c>
      <c r="J197">
        <f>Analise_Instancias!Q193</f>
        <v>16.168105363845825</v>
      </c>
    </row>
    <row r="198" spans="1:10">
      <c r="A198" t="s">
        <v>160</v>
      </c>
      <c r="B198" t="s">
        <v>247</v>
      </c>
      <c r="C198" s="4">
        <f>Analise_Instancias!L194</f>
        <v>0.12204048936388934</v>
      </c>
      <c r="D198">
        <f>Analise_Instancias!M194</f>
        <v>10.535243988037109</v>
      </c>
      <c r="E198" s="4">
        <f>Analise_Instancias!F194</f>
        <v>0.22135613623179884</v>
      </c>
      <c r="F198">
        <f>Analise_Instancias!G194</f>
        <v>6.2758150100708008</v>
      </c>
      <c r="G198" s="4">
        <f>Analise_Instancias!I194</f>
        <v>0.14021414488901285</v>
      </c>
      <c r="H198">
        <f>Analise_Instancias!J194</f>
        <v>6.3029379844665527</v>
      </c>
      <c r="I198" s="4">
        <f>Analise_Instancias!O194</f>
        <v>0.12204048936388934</v>
      </c>
      <c r="J198">
        <f>Analise_Instancias!Q194</f>
        <v>23.113996982574463</v>
      </c>
    </row>
    <row r="199" spans="1:10">
      <c r="A199" t="s">
        <v>160</v>
      </c>
      <c r="B199" t="s">
        <v>248</v>
      </c>
      <c r="C199" s="4">
        <f>Analise_Instancias!L195</f>
        <v>0.15653209081261577</v>
      </c>
      <c r="D199">
        <f>Analise_Instancias!M195</f>
        <v>7.0556538105010986</v>
      </c>
      <c r="E199" s="4">
        <f>Analise_Instancias!F195</f>
        <v>0.43436272551087751</v>
      </c>
      <c r="F199">
        <f>Analise_Instancias!G195</f>
        <v>5.6654336452484131</v>
      </c>
      <c r="G199" s="4">
        <f>Analise_Instancias!I195</f>
        <v>0.19255761527908999</v>
      </c>
      <c r="H199">
        <f>Analise_Instancias!J195</f>
        <v>4.7581663131713867</v>
      </c>
      <c r="I199" s="4">
        <f>Analise_Instancias!O195</f>
        <v>0.15653209081261577</v>
      </c>
      <c r="J199">
        <f>Analise_Instancias!Q195</f>
        <v>17.479253768920898</v>
      </c>
    </row>
    <row r="200" spans="1:10">
      <c r="A200" t="s">
        <v>160</v>
      </c>
      <c r="B200" t="s">
        <v>249</v>
      </c>
      <c r="C200" s="4">
        <f>Analise_Instancias!L196</f>
        <v>0.12651064745623475</v>
      </c>
      <c r="D200">
        <f>Analise_Instancias!M196</f>
        <v>9.8971655368804932</v>
      </c>
      <c r="E200" s="4">
        <f>Analise_Instancias!F196</f>
        <v>0.20998300077785648</v>
      </c>
      <c r="F200">
        <f>Analise_Instancias!G196</f>
        <v>6.6166858673095703</v>
      </c>
      <c r="G200" s="4">
        <f>Analise_Instancias!I196</f>
        <v>0.1372965091507381</v>
      </c>
      <c r="H200">
        <f>Analise_Instancias!J196</f>
        <v>7.397197961807251</v>
      </c>
      <c r="I200" s="4">
        <f>Analise_Instancias!O196</f>
        <v>0.12651064745623475</v>
      </c>
      <c r="J200">
        <f>Analise_Instancias!Q196</f>
        <v>23.911049365997314</v>
      </c>
    </row>
    <row r="201" spans="1:10">
      <c r="A201" t="s">
        <v>160</v>
      </c>
      <c r="B201" t="s">
        <v>250</v>
      </c>
      <c r="C201" s="4">
        <f>Analise_Instancias!L197</f>
        <v>0.12311665066449318</v>
      </c>
      <c r="D201">
        <f>Analise_Instancias!M197</f>
        <v>7.9261257648468018</v>
      </c>
      <c r="E201" s="4">
        <f>Analise_Instancias!F197</f>
        <v>0.32158454328185004</v>
      </c>
      <c r="F201">
        <f>Analise_Instancias!G197</f>
        <v>4.7636833190917969</v>
      </c>
      <c r="G201" s="4">
        <f>Analise_Instancias!I197</f>
        <v>0.17262100060785235</v>
      </c>
      <c r="H201">
        <f>Analise_Instancias!J197</f>
        <v>4.9241642951965332</v>
      </c>
      <c r="I201" s="4">
        <f>Analise_Instancias!O197</f>
        <v>0.12311665066449318</v>
      </c>
      <c r="J201">
        <f>Analise_Instancias!Q197</f>
        <v>17.613973379135132</v>
      </c>
    </row>
    <row r="202" spans="1:10">
      <c r="A202" t="s">
        <v>160</v>
      </c>
      <c r="B202" t="s">
        <v>251</v>
      </c>
      <c r="C202" s="4">
        <f>Analise_Instancias!L198</f>
        <v>0.15975539993998167</v>
      </c>
      <c r="D202">
        <f>Analise_Instancias!M198</f>
        <v>4.862715482711792</v>
      </c>
      <c r="E202" s="4">
        <f>Analise_Instancias!F198</f>
        <v>0.29273936551131485</v>
      </c>
      <c r="F202">
        <f>Analise_Instancias!G198</f>
        <v>4.0989890098571777</v>
      </c>
      <c r="G202" s="4">
        <f>Analise_Instancias!I198</f>
        <v>0.20292369579599234</v>
      </c>
      <c r="H202">
        <f>Analise_Instancias!J198</f>
        <v>4.7897729873657227</v>
      </c>
      <c r="I202" s="4">
        <f>Analise_Instancias!O198</f>
        <v>0.15975539993998167</v>
      </c>
      <c r="J202">
        <f>Analise_Instancias!Q198</f>
        <v>13.751477479934692</v>
      </c>
    </row>
    <row r="203" spans="1:10">
      <c r="A203" t="s">
        <v>160</v>
      </c>
      <c r="B203" t="s">
        <v>252</v>
      </c>
      <c r="C203" s="4">
        <f>Analise_Instancias!L199</f>
        <v>0.15981234307903436</v>
      </c>
      <c r="D203">
        <f>Analise_Instancias!M199</f>
        <v>12.31290030479431</v>
      </c>
      <c r="E203" s="4">
        <f>Analise_Instancias!F199</f>
        <v>0.21700450129963755</v>
      </c>
      <c r="F203">
        <f>Analise_Instancias!G199</f>
        <v>6.3142843246459961</v>
      </c>
      <c r="G203" s="4">
        <f>Analise_Instancias!I199</f>
        <v>0.20684653682939014</v>
      </c>
      <c r="H203">
        <f>Analise_Instancias!J199</f>
        <v>7.9372501373291016</v>
      </c>
      <c r="I203" s="4">
        <f>Analise_Instancias!O199</f>
        <v>0.15981234307903436</v>
      </c>
      <c r="J203">
        <f>Analise_Instancias!Q199</f>
        <v>26.564434766769409</v>
      </c>
    </row>
    <row r="204" spans="1:10">
      <c r="A204" t="s">
        <v>160</v>
      </c>
      <c r="B204" t="s">
        <v>253</v>
      </c>
      <c r="C204" s="4">
        <f>Analise_Instancias!L200</f>
        <v>0.1121217972044577</v>
      </c>
      <c r="D204">
        <f>Analise_Instancias!M200</f>
        <v>11.70023822784424</v>
      </c>
      <c r="E204" s="4">
        <f>Analise_Instancias!F200</f>
        <v>0.21529315515363612</v>
      </c>
      <c r="F204">
        <f>Analise_Instancias!G200</f>
        <v>6.6157922744750977</v>
      </c>
      <c r="G204" s="4">
        <f>Analise_Instancias!I200</f>
        <v>0.15792091856485846</v>
      </c>
      <c r="H204">
        <f>Analise_Instancias!J200</f>
        <v>7.3984439373016357</v>
      </c>
      <c r="I204" s="4">
        <f>Analise_Instancias!O200</f>
        <v>0.1121217972044577</v>
      </c>
      <c r="J204">
        <f>Analise_Instancias!Q200</f>
        <v>25.714474439620972</v>
      </c>
    </row>
    <row r="205" spans="1:10">
      <c r="A205" t="s">
        <v>160</v>
      </c>
      <c r="B205" t="s">
        <v>254</v>
      </c>
      <c r="C205" s="4">
        <f>Analise_Instancias!L201</f>
        <v>0.1340303244253358</v>
      </c>
      <c r="D205">
        <f>Analise_Instancias!M201</f>
        <v>7.4975242614746094</v>
      </c>
      <c r="E205" s="4">
        <f>Analise_Instancias!F201</f>
        <v>0.40220724090934645</v>
      </c>
      <c r="F205">
        <f>Analise_Instancias!G201</f>
        <v>6.0106086730957031</v>
      </c>
      <c r="G205" s="4">
        <f>Analise_Instancias!I201</f>
        <v>0.18219278648906867</v>
      </c>
      <c r="H205">
        <f>Analise_Instancias!J201</f>
        <v>5.8649353981018066</v>
      </c>
      <c r="I205" s="4">
        <f>Analise_Instancias!O201</f>
        <v>0.1340303244253358</v>
      </c>
      <c r="J205">
        <f>Analise_Instancias!Q201</f>
        <v>19.373068332672119</v>
      </c>
    </row>
    <row r="206" spans="1:10">
      <c r="A206" t="s">
        <v>160</v>
      </c>
      <c r="B206" t="s">
        <v>255</v>
      </c>
      <c r="C206" s="4">
        <f>Analise_Instancias!L202</f>
        <v>0.10023687927370872</v>
      </c>
      <c r="D206">
        <f>Analise_Instancias!M202</f>
        <v>6.1692237854003906</v>
      </c>
      <c r="E206" s="4">
        <f>Analise_Instancias!F202</f>
        <v>0.25316814620489625</v>
      </c>
      <c r="F206">
        <f>Analise_Instancias!G202</f>
        <v>4.6888704299926758</v>
      </c>
      <c r="G206" s="4">
        <f>Analise_Instancias!I202</f>
        <v>0.19595788351342924</v>
      </c>
      <c r="H206">
        <f>Analise_Instancias!J202</f>
        <v>5.9172179698944092</v>
      </c>
      <c r="I206" s="4">
        <f>Analise_Instancias!O202</f>
        <v>0.10023687927370872</v>
      </c>
      <c r="J206">
        <f>Analise_Instancias!Q202</f>
        <v>16.775312185287476</v>
      </c>
    </row>
    <row r="207" spans="1:10">
      <c r="A207" t="s">
        <v>160</v>
      </c>
      <c r="B207" t="s">
        <v>256</v>
      </c>
      <c r="C207" s="4">
        <f>Analise_Instancias!L203</f>
        <v>0.14738253690122538</v>
      </c>
      <c r="D207">
        <f>Analise_Instancias!M203</f>
        <v>5.9110758304595947</v>
      </c>
      <c r="E207" s="4">
        <f>Analise_Instancias!F203</f>
        <v>0.33164947317118454</v>
      </c>
      <c r="F207">
        <f>Analise_Instancias!G203</f>
        <v>4.6706147193908691</v>
      </c>
      <c r="G207" s="4">
        <f>Analise_Instancias!I203</f>
        <v>0.21761105180096552</v>
      </c>
      <c r="H207">
        <f>Analise_Instancias!J203</f>
        <v>5.4556407928466797</v>
      </c>
      <c r="I207" s="4">
        <f>Analise_Instancias!O203</f>
        <v>0.14738253690122538</v>
      </c>
      <c r="J207">
        <f>Analise_Instancias!Q203</f>
        <v>16.037331342697144</v>
      </c>
    </row>
    <row r="208" spans="1:10">
      <c r="A208" t="s">
        <v>160</v>
      </c>
      <c r="B208" t="s">
        <v>257</v>
      </c>
      <c r="C208" s="4">
        <f>Analise_Instancias!L204</f>
        <v>0.12058190604503927</v>
      </c>
      <c r="D208">
        <f>Analise_Instancias!M204</f>
        <v>17.02250242233276</v>
      </c>
      <c r="E208" s="4">
        <f>Analise_Instancias!F204</f>
        <v>0.1605668952150654</v>
      </c>
      <c r="F208">
        <f>Analise_Instancias!G204</f>
        <v>9.0620517730712891</v>
      </c>
      <c r="G208" s="4">
        <f>Analise_Instancias!I204</f>
        <v>0.12936796925077232</v>
      </c>
      <c r="H208">
        <f>Analise_Instancias!J204</f>
        <v>8.737368106842041</v>
      </c>
      <c r="I208" s="4">
        <f>Analise_Instancias!O204</f>
        <v>0.12058190604503927</v>
      </c>
      <c r="J208">
        <f>Analise_Instancias!Q204</f>
        <v>34.821922302246094</v>
      </c>
    </row>
    <row r="209" spans="1:10">
      <c r="A209" t="s">
        <v>160</v>
      </c>
      <c r="B209" t="s">
        <v>258</v>
      </c>
      <c r="C209" s="4">
        <f>Analise_Instancias!L205</f>
        <v>0.18583619033266774</v>
      </c>
      <c r="D209">
        <f>Analise_Instancias!M205</f>
        <v>13.29560375213623</v>
      </c>
      <c r="E209" s="4">
        <f>Analise_Instancias!F205</f>
        <v>0.28442032739328638</v>
      </c>
      <c r="F209">
        <f>Analise_Instancias!G205</f>
        <v>8.5126533508300781</v>
      </c>
      <c r="G209" s="4">
        <f>Analise_Instancias!I205</f>
        <v>0.20841088045812461</v>
      </c>
      <c r="H209">
        <f>Analise_Instancias!J205</f>
        <v>11.374032974243161</v>
      </c>
      <c r="I209" s="4">
        <f>Analise_Instancias!O205</f>
        <v>0.18583619033266774</v>
      </c>
      <c r="J209">
        <f>Analise_Instancias!Q205</f>
        <v>33.182290077209473</v>
      </c>
    </row>
    <row r="210" spans="1:10">
      <c r="A210" t="s">
        <v>160</v>
      </c>
      <c r="B210" t="s">
        <v>259</v>
      </c>
      <c r="C210" s="4">
        <f>Analise_Instancias!L206</f>
        <v>0.25213418870297777</v>
      </c>
      <c r="D210">
        <f>Analise_Instancias!M206</f>
        <v>5.1890792846679688</v>
      </c>
      <c r="E210" s="4">
        <f>Analise_Instancias!F206</f>
        <v>0.60943953665243078</v>
      </c>
      <c r="F210">
        <f>Analise_Instancias!G206</f>
        <v>6.1925833225250244</v>
      </c>
      <c r="G210" s="4">
        <f>Analise_Instancias!I206</f>
        <v>0.35396306236471076</v>
      </c>
      <c r="H210">
        <f>Analise_Instancias!J206</f>
        <v>5.1560418605804443</v>
      </c>
      <c r="I210" s="4">
        <f>Analise_Instancias!O206</f>
        <v>0.25213418870297777</v>
      </c>
      <c r="J210">
        <f>Analise_Instancias!Q206</f>
        <v>16.537704467773438</v>
      </c>
    </row>
    <row r="211" spans="1:10">
      <c r="A211" t="s">
        <v>160</v>
      </c>
      <c r="B211" t="s">
        <v>260</v>
      </c>
      <c r="C211" s="4">
        <f>Analise_Instancias!L207</f>
        <v>8.9035682616662282E-2</v>
      </c>
      <c r="D211">
        <f>Analise_Instancias!M207</f>
        <v>7.2582247257232666</v>
      </c>
      <c r="E211" s="4">
        <f>Analise_Instancias!F207</f>
        <v>0.38564158948023142</v>
      </c>
      <c r="F211">
        <f>Analise_Instancias!G207</f>
        <v>11.60901880264282</v>
      </c>
      <c r="G211" s="4">
        <f>Analise_Instancias!I207</f>
        <v>0.11834569051741517</v>
      </c>
      <c r="H211">
        <f>Analise_Instancias!J207</f>
        <v>7.4955377578735352</v>
      </c>
      <c r="I211" s="4">
        <f>Analise_Instancias!O207</f>
        <v>8.9035682616662282E-2</v>
      </c>
      <c r="J211">
        <f>Analise_Instancias!Q207</f>
        <v>26.362781286239624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120"/>
  <sheetViews>
    <sheetView workbookViewId="0"/>
  </sheetViews>
  <sheetFormatPr defaultRowHeight="14"/>
  <sheetData>
    <row r="1" spans="1:58">
      <c r="D1" t="s">
        <v>261</v>
      </c>
    </row>
    <row r="2" spans="1:58">
      <c r="A2" s="1" t="s">
        <v>5</v>
      </c>
      <c r="B2" s="1" t="s">
        <v>262</v>
      </c>
      <c r="C2" s="1" t="s">
        <v>263</v>
      </c>
      <c r="D2" s="1" t="s">
        <v>264</v>
      </c>
      <c r="E2" s="1" t="s">
        <v>265</v>
      </c>
      <c r="F2" s="1" t="s">
        <v>266</v>
      </c>
      <c r="G2" s="1" t="s">
        <v>267</v>
      </c>
      <c r="H2" s="1" t="s">
        <v>268</v>
      </c>
      <c r="I2" s="1" t="s">
        <v>269</v>
      </c>
      <c r="J2" s="1" t="s">
        <v>270</v>
      </c>
      <c r="K2" s="1" t="s">
        <v>271</v>
      </c>
      <c r="L2" s="1" t="s">
        <v>272</v>
      </c>
    </row>
    <row r="3" spans="1:58">
      <c r="A3" t="s">
        <v>15</v>
      </c>
      <c r="B3">
        <f>Analise_Sets!B2</f>
        <v>27</v>
      </c>
      <c r="C3" t="s">
        <v>273</v>
      </c>
      <c r="D3">
        <v>100</v>
      </c>
      <c r="E3">
        <f>Analise_Sets!O2</f>
        <v>11.292921684406421</v>
      </c>
      <c r="F3" s="4">
        <f>Analise_Sets!C2</f>
        <v>1.9698879973811163E-2</v>
      </c>
      <c r="G3" s="4">
        <f>Analise_Sets!D2</f>
        <v>1.265327895827237E-2</v>
      </c>
      <c r="H3" s="4">
        <f>Analise_Sets!E2</f>
        <v>3.4561362870619838E-3</v>
      </c>
      <c r="I3" s="4">
        <f>Analise_Sets!F2</f>
        <v>1.1750388295948544E-2</v>
      </c>
      <c r="J3" s="4">
        <f>Analise_Sets!G2</f>
        <v>1.5008983045521118E-2</v>
      </c>
      <c r="K3" s="4">
        <f>Analise_Sets!H2</f>
        <v>2.3399457801431933E-2</v>
      </c>
      <c r="L3" s="4">
        <f>Analise_Sets!I2</f>
        <v>5.0454026561672416E-2</v>
      </c>
    </row>
    <row r="4" spans="1:58">
      <c r="A4" t="s">
        <v>43</v>
      </c>
      <c r="B4">
        <f>Analise_Sets!B3</f>
        <v>23</v>
      </c>
      <c r="C4" t="s">
        <v>274</v>
      </c>
      <c r="D4">
        <v>100</v>
      </c>
      <c r="E4">
        <f>Analise_Sets!O3</f>
        <v>11.885841411093008</v>
      </c>
      <c r="F4" s="4">
        <f>Analise_Sets!C3</f>
        <v>2.4573060672367232E-2</v>
      </c>
      <c r="G4" s="4">
        <f>Analise_Sets!D3</f>
        <v>1.5822579092432093E-2</v>
      </c>
      <c r="H4" s="4">
        <f>Analise_Sets!E3</f>
        <v>0</v>
      </c>
      <c r="I4" s="4">
        <f>Analise_Sets!F3</f>
        <v>1.5492650536313213E-2</v>
      </c>
      <c r="J4" s="4">
        <f>Analise_Sets!G3</f>
        <v>2.2957774366395567E-2</v>
      </c>
      <c r="K4" s="4">
        <f>Analise_Sets!H3</f>
        <v>3.3337965888174392E-2</v>
      </c>
      <c r="L4" s="4">
        <f>Analise_Sets!I3</f>
        <v>6.4526043107024256E-2</v>
      </c>
    </row>
    <row r="5" spans="1:58">
      <c r="A5" t="s">
        <v>67</v>
      </c>
      <c r="B5">
        <f>Analise_Sets!B4</f>
        <v>11</v>
      </c>
      <c r="C5" t="s">
        <v>275</v>
      </c>
      <c r="D5" t="s">
        <v>276</v>
      </c>
      <c r="E5">
        <f>Analise_Sets!O4</f>
        <v>19.385840892791748</v>
      </c>
      <c r="F5" s="4">
        <f>Analise_Sets!C4</f>
        <v>2.0385736575471079E-2</v>
      </c>
      <c r="G5" s="4">
        <f>Analise_Sets!D4</f>
        <v>1.7565842344328907E-2</v>
      </c>
      <c r="H5" s="4">
        <f>Analise_Sets!E4</f>
        <v>0</v>
      </c>
      <c r="I5" s="4">
        <f>Analise_Sets!F4</f>
        <v>4.4643483955241203E-3</v>
      </c>
      <c r="J5" s="4">
        <f>Analise_Sets!G4</f>
        <v>1.9138465933248305E-2</v>
      </c>
      <c r="K5" s="4">
        <f>Analise_Sets!H4</f>
        <v>3.5754710887317187E-2</v>
      </c>
      <c r="L5" s="4">
        <f>Analise_Sets!I4</f>
        <v>4.5604530627636253E-2</v>
      </c>
    </row>
    <row r="6" spans="1:58">
      <c r="A6" t="s">
        <v>79</v>
      </c>
      <c r="B6">
        <f>Analise_Sets!B5</f>
        <v>3</v>
      </c>
      <c r="C6" t="s">
        <v>277</v>
      </c>
      <c r="D6" t="s">
        <v>278</v>
      </c>
      <c r="E6">
        <f>Analise_Sets!O5</f>
        <v>19.976678291956585</v>
      </c>
      <c r="F6" s="4">
        <f>Analise_Sets!C5</f>
        <v>7.3723506397937788E-2</v>
      </c>
      <c r="G6" s="4">
        <f>Analise_Sets!D5</f>
        <v>6.8354820337337502E-2</v>
      </c>
      <c r="H6" s="4">
        <f>Analise_Sets!E5</f>
        <v>5.1744998489295924E-3</v>
      </c>
      <c r="I6" s="4">
        <f>Analise_Sets!F5</f>
        <v>3.9644023951198815E-2</v>
      </c>
      <c r="J6" s="4">
        <f>Analise_Sets!G5</f>
        <v>7.4113548053468037E-2</v>
      </c>
      <c r="K6" s="4">
        <f>Analise_Sets!H5</f>
        <v>0.10799800967244189</v>
      </c>
      <c r="L6" s="4">
        <f>Analise_Sets!I5</f>
        <v>0.14188247129141573</v>
      </c>
    </row>
    <row r="7" spans="1:58">
      <c r="A7" t="s">
        <v>115</v>
      </c>
      <c r="B7">
        <f>Analise_Sets!B6</f>
        <v>5</v>
      </c>
      <c r="C7" t="s">
        <v>279</v>
      </c>
      <c r="D7">
        <v>200</v>
      </c>
      <c r="E7">
        <f>Analise_Sets!O6</f>
        <v>12.215056991577148</v>
      </c>
      <c r="F7" s="4">
        <f>Analise_Sets!C6</f>
        <v>5.1418655023051318E-2</v>
      </c>
      <c r="G7" s="4">
        <f>Analise_Sets!D6</f>
        <v>2.3391577844062698E-2</v>
      </c>
      <c r="H7" s="4">
        <f>Analise_Sets!E6</f>
        <v>1.4147130454458923E-2</v>
      </c>
      <c r="I7" s="4">
        <f>Analise_Sets!F6</f>
        <v>4.2398537611822995E-2</v>
      </c>
      <c r="J7" s="4">
        <f>Analise_Sets!G6</f>
        <v>6.6024043642241459E-2</v>
      </c>
      <c r="K7" s="4">
        <f>Analise_Sets!H6</f>
        <v>6.6076899509803999E-2</v>
      </c>
      <c r="L7" s="4">
        <f>Analise_Sets!I6</f>
        <v>6.8446663896929216E-2</v>
      </c>
    </row>
    <row r="8" spans="1:58">
      <c r="A8" t="s">
        <v>121</v>
      </c>
      <c r="B8">
        <f>Analise_Sets!B7</f>
        <v>24</v>
      </c>
      <c r="C8" t="s">
        <v>280</v>
      </c>
      <c r="D8" t="s">
        <v>281</v>
      </c>
      <c r="E8">
        <f>Analise_Sets!O7</f>
        <v>14.499927779038748</v>
      </c>
      <c r="F8" s="4">
        <f>Analise_Sets!C7</f>
        <v>2.3712541317419029E-2</v>
      </c>
      <c r="G8" s="4">
        <f>Analise_Sets!D7</f>
        <v>1.9470974527149562E-2</v>
      </c>
      <c r="H8" s="4">
        <f>Analise_Sets!E7</f>
        <v>0</v>
      </c>
      <c r="I8" s="4">
        <f>Analise_Sets!F7</f>
        <v>8.53580971655854E-3</v>
      </c>
      <c r="J8" s="4">
        <f>Analise_Sets!G7</f>
        <v>2.2569660036524941E-2</v>
      </c>
      <c r="K8" s="4">
        <f>Analise_Sets!H7</f>
        <v>3.069986785047607E-2</v>
      </c>
      <c r="L8" s="4">
        <f>Analise_Sets!I7</f>
        <v>7.8291946076623153E-2</v>
      </c>
    </row>
    <row r="9" spans="1:58">
      <c r="A9" t="s">
        <v>146</v>
      </c>
      <c r="B9">
        <f>Analise_Sets!B8</f>
        <v>13</v>
      </c>
      <c r="C9" t="s">
        <v>282</v>
      </c>
      <c r="D9" t="s">
        <v>283</v>
      </c>
      <c r="E9">
        <f>Analise_Sets!O8</f>
        <v>19.63747237278865</v>
      </c>
      <c r="F9" s="4">
        <f>Analise_Sets!C8</f>
        <v>6.9056398979396291E-2</v>
      </c>
      <c r="G9" s="4">
        <f>Analise_Sets!D8</f>
        <v>2.4427950792579228E-2</v>
      </c>
      <c r="H9" s="4">
        <f>Analise_Sets!E8</f>
        <v>4.0010494057361123E-2</v>
      </c>
      <c r="I9" s="4">
        <f>Analise_Sets!F8</f>
        <v>6.1838101440399251E-2</v>
      </c>
      <c r="J9" s="4">
        <f>Analise_Sets!G8</f>
        <v>6.7534396770788874E-2</v>
      </c>
      <c r="K9" s="4">
        <f>Analise_Sets!H8</f>
        <v>6.8383309368279965E-2</v>
      </c>
      <c r="L9" s="4">
        <f>Analise_Sets!I8</f>
        <v>0.13418335421050642</v>
      </c>
    </row>
    <row r="10" spans="1:58">
      <c r="A10" t="s">
        <v>160</v>
      </c>
      <c r="B10">
        <f>Analise_Sets!B9</f>
        <v>100</v>
      </c>
      <c r="C10" t="s">
        <v>284</v>
      </c>
      <c r="D10" t="s">
        <v>285</v>
      </c>
      <c r="E10">
        <f>Analise_Sets!O9</f>
        <v>13.02729240655899</v>
      </c>
      <c r="F10" s="4">
        <f>Analise_Sets!C9</f>
        <v>9.9394179968802662E-2</v>
      </c>
      <c r="G10" s="4">
        <f>Analise_Sets!D9</f>
        <v>4.4483975785646904E-2</v>
      </c>
      <c r="H10" s="4">
        <f>Analise_Sets!E9</f>
        <v>2.3559803853936634E-2</v>
      </c>
      <c r="I10" s="4">
        <f>Analise_Sets!F9</f>
        <v>6.5771706172925937E-2</v>
      </c>
      <c r="J10" s="4">
        <f>Analise_Sets!G9</f>
        <v>9.3025961605435303E-2</v>
      </c>
      <c r="K10" s="4">
        <f>Analise_Sets!H9</f>
        <v>0.1243821994198816</v>
      </c>
      <c r="L10" s="4">
        <f>Analise_Sets!I9</f>
        <v>0.25213418870297777</v>
      </c>
    </row>
    <row r="13" spans="1:58">
      <c r="A13" t="s">
        <v>5</v>
      </c>
      <c r="B13" t="s">
        <v>15</v>
      </c>
      <c r="I13" t="s">
        <v>5</v>
      </c>
      <c r="J13" t="s">
        <v>43</v>
      </c>
      <c r="Q13" t="s">
        <v>5</v>
      </c>
      <c r="R13" t="s">
        <v>67</v>
      </c>
      <c r="Y13" t="s">
        <v>5</v>
      </c>
      <c r="Z13" t="s">
        <v>79</v>
      </c>
      <c r="AG13" t="s">
        <v>5</v>
      </c>
      <c r="AH13" t="s">
        <v>115</v>
      </c>
      <c r="AO13" t="s">
        <v>5</v>
      </c>
      <c r="AP13" t="s">
        <v>121</v>
      </c>
      <c r="AW13" t="s">
        <v>5</v>
      </c>
      <c r="AX13" t="s">
        <v>146</v>
      </c>
      <c r="BE13" t="s">
        <v>5</v>
      </c>
      <c r="BF13" t="s">
        <v>160</v>
      </c>
    </row>
    <row r="14" spans="1:58">
      <c r="A14" t="s">
        <v>286</v>
      </c>
      <c r="B14">
        <v>27</v>
      </c>
      <c r="I14" t="s">
        <v>286</v>
      </c>
      <c r="J14">
        <v>23</v>
      </c>
      <c r="Q14" t="s">
        <v>286</v>
      </c>
      <c r="R14">
        <v>11</v>
      </c>
      <c r="Y14" t="s">
        <v>286</v>
      </c>
      <c r="Z14">
        <v>3</v>
      </c>
      <c r="AG14" t="s">
        <v>286</v>
      </c>
      <c r="AH14">
        <v>5</v>
      </c>
      <c r="AO14" t="s">
        <v>286</v>
      </c>
      <c r="AP14">
        <v>24</v>
      </c>
      <c r="AW14" t="s">
        <v>286</v>
      </c>
      <c r="AX14">
        <v>13</v>
      </c>
      <c r="BE14" t="s">
        <v>286</v>
      </c>
      <c r="BF14">
        <v>100</v>
      </c>
    </row>
    <row r="15" spans="1:58">
      <c r="A15" t="s">
        <v>287</v>
      </c>
      <c r="B15">
        <v>6</v>
      </c>
      <c r="I15" t="s">
        <v>287</v>
      </c>
      <c r="J15">
        <v>33</v>
      </c>
      <c r="Q15" t="s">
        <v>287</v>
      </c>
      <c r="R15">
        <v>56</v>
      </c>
      <c r="Y15" t="s">
        <v>287</v>
      </c>
      <c r="Z15">
        <v>67</v>
      </c>
      <c r="AG15" t="s">
        <v>287</v>
      </c>
      <c r="AH15">
        <v>102</v>
      </c>
      <c r="AO15" t="s">
        <v>287</v>
      </c>
      <c r="AP15">
        <v>107</v>
      </c>
      <c r="AW15" t="s">
        <v>287</v>
      </c>
      <c r="AX15">
        <v>131</v>
      </c>
      <c r="BE15" t="s">
        <v>287</v>
      </c>
      <c r="BF15">
        <v>144</v>
      </c>
    </row>
    <row r="17" spans="1:63">
      <c r="A17" t="s">
        <v>266</v>
      </c>
      <c r="B17" t="s">
        <v>267</v>
      </c>
      <c r="C17" t="s">
        <v>268</v>
      </c>
      <c r="D17" t="s">
        <v>269</v>
      </c>
      <c r="E17" t="s">
        <v>270</v>
      </c>
      <c r="F17" t="s">
        <v>271</v>
      </c>
      <c r="G17" t="s">
        <v>272</v>
      </c>
      <c r="I17" t="s">
        <v>266</v>
      </c>
      <c r="J17" t="s">
        <v>267</v>
      </c>
      <c r="K17" t="s">
        <v>268</v>
      </c>
      <c r="L17" t="s">
        <v>269</v>
      </c>
      <c r="M17" t="s">
        <v>270</v>
      </c>
      <c r="N17" t="s">
        <v>271</v>
      </c>
      <c r="O17" t="s">
        <v>272</v>
      </c>
      <c r="Q17" t="s">
        <v>266</v>
      </c>
      <c r="R17" t="s">
        <v>267</v>
      </c>
      <c r="S17" t="s">
        <v>268</v>
      </c>
      <c r="T17" t="s">
        <v>269</v>
      </c>
      <c r="U17" t="s">
        <v>270</v>
      </c>
      <c r="V17" t="s">
        <v>271</v>
      </c>
      <c r="W17" t="s">
        <v>272</v>
      </c>
      <c r="Y17" t="s">
        <v>266</v>
      </c>
      <c r="Z17" t="s">
        <v>267</v>
      </c>
      <c r="AA17" t="s">
        <v>268</v>
      </c>
      <c r="AB17" t="s">
        <v>269</v>
      </c>
      <c r="AC17" t="s">
        <v>270</v>
      </c>
      <c r="AD17" t="s">
        <v>271</v>
      </c>
      <c r="AE17" t="s">
        <v>272</v>
      </c>
      <c r="AG17" t="s">
        <v>266</v>
      </c>
      <c r="AH17" t="s">
        <v>267</v>
      </c>
      <c r="AI17" t="s">
        <v>268</v>
      </c>
      <c r="AJ17" t="s">
        <v>269</v>
      </c>
      <c r="AK17" t="s">
        <v>270</v>
      </c>
      <c r="AL17" t="s">
        <v>271</v>
      </c>
      <c r="AM17" t="s">
        <v>272</v>
      </c>
      <c r="AO17" t="s">
        <v>266</v>
      </c>
      <c r="AP17" t="s">
        <v>267</v>
      </c>
      <c r="AQ17" t="s">
        <v>268</v>
      </c>
      <c r="AR17" t="s">
        <v>269</v>
      </c>
      <c r="AS17" t="s">
        <v>270</v>
      </c>
      <c r="AT17" t="s">
        <v>271</v>
      </c>
      <c r="AU17" t="s">
        <v>272</v>
      </c>
      <c r="AW17" t="s">
        <v>266</v>
      </c>
      <c r="AX17" t="s">
        <v>267</v>
      </c>
      <c r="AY17" t="s">
        <v>268</v>
      </c>
      <c r="AZ17" t="s">
        <v>269</v>
      </c>
      <c r="BA17" t="s">
        <v>270</v>
      </c>
      <c r="BB17" t="s">
        <v>271</v>
      </c>
      <c r="BC17" t="s">
        <v>272</v>
      </c>
      <c r="BE17" t="s">
        <v>266</v>
      </c>
      <c r="BF17" t="s">
        <v>267</v>
      </c>
      <c r="BG17" t="s">
        <v>268</v>
      </c>
      <c r="BH17" t="s">
        <v>269</v>
      </c>
      <c r="BI17" t="s">
        <v>270</v>
      </c>
      <c r="BJ17" t="s">
        <v>271</v>
      </c>
      <c r="BK17" t="s">
        <v>272</v>
      </c>
    </row>
    <row r="18" spans="1:63">
      <c r="A18">
        <v>1.9698879973811163E-2</v>
      </c>
      <c r="B18">
        <v>1.2416748214933274E-2</v>
      </c>
      <c r="C18">
        <v>3.4561362870619838E-3</v>
      </c>
      <c r="D18">
        <v>1.1750388295948544E-2</v>
      </c>
      <c r="E18">
        <v>1.5008983045521118E-2</v>
      </c>
      <c r="F18">
        <v>2.3399457801431933E-2</v>
      </c>
      <c r="G18">
        <v>5.0454026561672416E-2</v>
      </c>
      <c r="I18">
        <v>2.4379942105435651E-2</v>
      </c>
      <c r="J18">
        <v>1.580444766264557E-2</v>
      </c>
      <c r="K18">
        <v>-4.4417270394263575E-3</v>
      </c>
      <c r="L18">
        <v>1.5492650536313213E-2</v>
      </c>
      <c r="M18">
        <v>2.2957774366395567E-2</v>
      </c>
      <c r="N18">
        <v>3.3337965888174392E-2</v>
      </c>
      <c r="O18">
        <v>6.4526043107024256E-2</v>
      </c>
      <c r="Q18">
        <v>1.5712531104659554E-2</v>
      </c>
      <c r="R18">
        <v>2.6256998701345409E-2</v>
      </c>
      <c r="S18">
        <v>-5.140526017892677E-2</v>
      </c>
      <c r="T18">
        <v>4.4643483955241203E-3</v>
      </c>
      <c r="U18">
        <v>1.9138465933248305E-2</v>
      </c>
      <c r="V18">
        <v>3.5754710887317187E-2</v>
      </c>
      <c r="W18">
        <v>4.5604530627636253E-2</v>
      </c>
      <c r="Y18">
        <v>7.3723506397937788E-2</v>
      </c>
      <c r="Z18">
        <v>5.5811477095365061E-2</v>
      </c>
      <c r="AA18">
        <v>5.1744998489295924E-3</v>
      </c>
      <c r="AB18">
        <v>3.9644023951198815E-2</v>
      </c>
      <c r="AC18">
        <v>7.4113548053468037E-2</v>
      </c>
      <c r="AD18">
        <v>0.10799800967244189</v>
      </c>
      <c r="AE18">
        <v>0.14188247129141573</v>
      </c>
      <c r="AG18">
        <v>5.1418655023051318E-2</v>
      </c>
      <c r="AH18">
        <v>2.0922063264120858E-2</v>
      </c>
      <c r="AI18">
        <v>1.4147130454458923E-2</v>
      </c>
      <c r="AJ18">
        <v>4.2398537611822995E-2</v>
      </c>
      <c r="AK18">
        <v>6.6024043642241459E-2</v>
      </c>
      <c r="AL18">
        <v>6.6076899509803999E-2</v>
      </c>
      <c r="AM18">
        <v>6.8446663896929216E-2</v>
      </c>
      <c r="AO18">
        <v>2.1540291363322247E-2</v>
      </c>
      <c r="AP18">
        <v>2.277653668810432E-2</v>
      </c>
      <c r="AQ18">
        <v>-2.8574327366658214E-2</v>
      </c>
      <c r="AR18">
        <v>8.53580971655854E-3</v>
      </c>
      <c r="AS18">
        <v>2.2569660036524941E-2</v>
      </c>
      <c r="AT18">
        <v>3.069986785047607E-2</v>
      </c>
      <c r="AU18">
        <v>7.8291946076623153E-2</v>
      </c>
      <c r="AW18">
        <v>6.9056398979396291E-2</v>
      </c>
      <c r="AX18">
        <v>2.3469615969943371E-2</v>
      </c>
      <c r="AY18">
        <v>4.0010494057361123E-2</v>
      </c>
      <c r="AZ18">
        <v>6.1838101440399251E-2</v>
      </c>
      <c r="BA18">
        <v>6.7534396770788874E-2</v>
      </c>
      <c r="BB18">
        <v>6.8383309368279965E-2</v>
      </c>
      <c r="BC18">
        <v>0.13418335421050642</v>
      </c>
      <c r="BE18">
        <v>9.9394179968802662E-2</v>
      </c>
      <c r="BF18">
        <v>4.4260997059273756E-2</v>
      </c>
      <c r="BG18">
        <v>2.3559803853936634E-2</v>
      </c>
      <c r="BH18">
        <v>6.5771706172925937E-2</v>
      </c>
      <c r="BI18">
        <v>9.3025961605435303E-2</v>
      </c>
      <c r="BJ18">
        <v>0.1243821994198816</v>
      </c>
      <c r="BK18">
        <v>0.25213418870297777</v>
      </c>
    </row>
    <row r="20" spans="1:63">
      <c r="A20" t="s">
        <v>288</v>
      </c>
      <c r="B20" t="s">
        <v>289</v>
      </c>
      <c r="I20" t="s">
        <v>290</v>
      </c>
      <c r="J20" t="s">
        <v>289</v>
      </c>
      <c r="Q20" t="s">
        <v>291</v>
      </c>
      <c r="R20" t="s">
        <v>289</v>
      </c>
      <c r="Y20" t="s">
        <v>292</v>
      </c>
      <c r="Z20" t="s">
        <v>289</v>
      </c>
      <c r="AG20" t="s">
        <v>293</v>
      </c>
      <c r="AH20" t="s">
        <v>289</v>
      </c>
      <c r="AO20" t="s">
        <v>294</v>
      </c>
      <c r="AP20" t="s">
        <v>289</v>
      </c>
      <c r="AW20" t="s">
        <v>295</v>
      </c>
      <c r="AX20" t="s">
        <v>289</v>
      </c>
      <c r="BE20" t="s">
        <v>296</v>
      </c>
      <c r="BF20" t="s">
        <v>289</v>
      </c>
    </row>
    <row r="21" spans="1:63">
      <c r="A21">
        <v>1.069065016143167E-2</v>
      </c>
      <c r="B21">
        <v>9.1835076808929443</v>
      </c>
      <c r="I21">
        <v>3.7612551734560906E-2</v>
      </c>
      <c r="J21">
        <v>9.9596843719482422</v>
      </c>
      <c r="Q21">
        <v>4.5604530627636253E-2</v>
      </c>
      <c r="R21">
        <v>20.368714332580566</v>
      </c>
      <c r="Y21">
        <v>0.14188247129141573</v>
      </c>
      <c r="Z21">
        <v>33.907053709030151</v>
      </c>
      <c r="AG21">
        <v>1.4147130454458923E-2</v>
      </c>
      <c r="AH21">
        <v>8.0180914402008057</v>
      </c>
      <c r="AO21">
        <v>6.6753191394777867E-2</v>
      </c>
      <c r="AP21">
        <v>8.4147636890411377</v>
      </c>
      <c r="AW21">
        <v>6.7959098902252935E-2</v>
      </c>
      <c r="AX21">
        <v>16.942796230316162</v>
      </c>
      <c r="BE21">
        <v>0.12437428736783906</v>
      </c>
      <c r="BF21">
        <v>17.911424160003662</v>
      </c>
    </row>
    <row r="22" spans="1:63">
      <c r="A22">
        <v>1.9843443439154784E-2</v>
      </c>
      <c r="B22">
        <v>9.1653635501861572</v>
      </c>
      <c r="I22">
        <v>8.746926554568546E-3</v>
      </c>
      <c r="J22">
        <v>9.7051272392272949</v>
      </c>
      <c r="Q22">
        <v>3.8253690567484622E-2</v>
      </c>
      <c r="R22">
        <v>20.368714332580566</v>
      </c>
      <c r="Y22">
        <v>5.1744998489295924E-3</v>
      </c>
      <c r="Z22">
        <v>11.620858669281006</v>
      </c>
      <c r="AG22">
        <v>4.2398537611822995E-2</v>
      </c>
      <c r="AH22">
        <v>7.9028398990631112</v>
      </c>
      <c r="AO22">
        <v>4.326850043402608E-3</v>
      </c>
      <c r="AP22">
        <v>5.4356191158294687</v>
      </c>
      <c r="AW22">
        <v>4.0010494057361123E-2</v>
      </c>
      <c r="AX22">
        <v>16.942796230316162</v>
      </c>
      <c r="BE22">
        <v>5.1820778854517746E-2</v>
      </c>
      <c r="BF22">
        <v>5.6703145503997803</v>
      </c>
    </row>
    <row r="23" spans="1:63">
      <c r="A23">
        <v>3.4561362870619838E-3</v>
      </c>
      <c r="B23">
        <v>9.1653635501861572</v>
      </c>
      <c r="I23">
        <v>1.6940930750981575E-2</v>
      </c>
      <c r="J23">
        <v>9.8264017105102539</v>
      </c>
      <c r="Q23">
        <v>7.4609374999989875E-4</v>
      </c>
      <c r="R23">
        <v>9.6456866264343244</v>
      </c>
      <c r="Y23">
        <v>7.4113548053468037E-2</v>
      </c>
      <c r="Z23">
        <v>14.402122497558594</v>
      </c>
      <c r="AG23">
        <v>6.6024043642241459E-2</v>
      </c>
      <c r="AH23">
        <v>10.644611358642578</v>
      </c>
      <c r="AO23">
        <v>4.0769469063236752E-2</v>
      </c>
      <c r="AP23">
        <v>13.712060451507568</v>
      </c>
      <c r="AW23">
        <v>7.1103448261493396E-2</v>
      </c>
      <c r="AX23">
        <v>16.942796230316162</v>
      </c>
      <c r="BE23">
        <v>4.671704299749635E-2</v>
      </c>
      <c r="BF23">
        <v>7.3362345695495605</v>
      </c>
    </row>
    <row r="24" spans="1:63">
      <c r="A24">
        <v>1.212136236744854E-2</v>
      </c>
      <c r="B24">
        <v>9.3210787773132324</v>
      </c>
      <c r="I24">
        <v>1.6213894482725255E-2</v>
      </c>
      <c r="J24">
        <v>9.8898653984069824</v>
      </c>
      <c r="Q24">
        <v>1.5546265721111396E-3</v>
      </c>
      <c r="R24">
        <v>5.9792466163635254</v>
      </c>
      <c r="AG24">
        <v>6.8446663896929216E-2</v>
      </c>
      <c r="AH24">
        <v>17.254871129989624</v>
      </c>
      <c r="AO24">
        <v>2.1394093831380134E-2</v>
      </c>
      <c r="AP24">
        <v>14.04751992225647</v>
      </c>
      <c r="AW24">
        <v>6.299950536058363E-2</v>
      </c>
      <c r="AX24">
        <v>16.942796230316162</v>
      </c>
      <c r="BE24">
        <v>3.0600110734920749E-2</v>
      </c>
      <c r="BF24">
        <v>7.694338321685791</v>
      </c>
    </row>
    <row r="25" spans="1:63">
      <c r="A25">
        <v>1.3855820752503023E-2</v>
      </c>
      <c r="B25">
        <v>9.9453456401824951</v>
      </c>
      <c r="I25">
        <v>2.8609034359346586E-2</v>
      </c>
      <c r="J25">
        <v>10.283905267715454</v>
      </c>
      <c r="Q25">
        <v>-5.140526017892677E-2</v>
      </c>
      <c r="R25">
        <v>4.5576293468475342</v>
      </c>
      <c r="AG25">
        <v>6.6076899509803999E-2</v>
      </c>
      <c r="AH25">
        <v>17.254871129989624</v>
      </c>
      <c r="AO25">
        <v>8.1116011922393039E-3</v>
      </c>
      <c r="AP25">
        <v>10.827728033065796</v>
      </c>
      <c r="AW25">
        <v>6.8383309368279965E-2</v>
      </c>
      <c r="AX25">
        <v>27.142813920974731</v>
      </c>
      <c r="BE25">
        <v>3.9238705675845198E-2</v>
      </c>
      <c r="BF25">
        <v>8.2404594421386719</v>
      </c>
    </row>
    <row r="26" spans="1:63">
      <c r="A26">
        <v>4.2508203708893966E-2</v>
      </c>
      <c r="B26">
        <v>12.016358137130737</v>
      </c>
      <c r="I26">
        <v>2.3203814130352773E-2</v>
      </c>
      <c r="J26">
        <v>10.636881589889526</v>
      </c>
      <c r="Q26">
        <v>7.374070218937101E-3</v>
      </c>
      <c r="R26">
        <v>11.987453937530518</v>
      </c>
      <c r="AO26">
        <v>9.494498923972694E-3</v>
      </c>
      <c r="AP26">
        <v>10.823854207992554</v>
      </c>
      <c r="AW26">
        <v>4.6815049677441989E-2</v>
      </c>
      <c r="AX26">
        <v>27.142813920974731</v>
      </c>
      <c r="BE26">
        <v>5.4362565162766385E-2</v>
      </c>
      <c r="BF26">
        <v>9.1661818027496338</v>
      </c>
    </row>
    <row r="27" spans="1:63">
      <c r="A27">
        <v>8.1600595198894066E-3</v>
      </c>
      <c r="B27">
        <v>12.016358137130737</v>
      </c>
      <c r="I27">
        <v>9.4216236207040893E-3</v>
      </c>
      <c r="J27">
        <v>13.075325727462769</v>
      </c>
      <c r="Q27">
        <v>7.5371974718090318E-3</v>
      </c>
      <c r="R27">
        <v>11.270205736160278</v>
      </c>
      <c r="AO27">
        <v>-2.3559671531664605E-2</v>
      </c>
      <c r="AP27">
        <v>10.823854207992554</v>
      </c>
      <c r="AW27">
        <v>9.8197457057185078E-2</v>
      </c>
      <c r="AX27">
        <v>27.142813920974731</v>
      </c>
      <c r="BE27">
        <v>5.7359046120744051E-2</v>
      </c>
      <c r="BF27">
        <v>8.8394739627838135</v>
      </c>
    </row>
    <row r="28" spans="1:63">
      <c r="A28">
        <v>1.3188359508775616E-2</v>
      </c>
      <c r="B28">
        <v>11.472368001937866</v>
      </c>
      <c r="I28">
        <v>2.7218792435884209E-2</v>
      </c>
      <c r="J28">
        <v>11.093323707580566</v>
      </c>
      <c r="Q28">
        <v>3.2025220020707845E-2</v>
      </c>
      <c r="R28">
        <v>32.266649723052979</v>
      </c>
      <c r="AO28">
        <v>1.8617107196656324E-2</v>
      </c>
      <c r="AP28">
        <v>11.126914262771606</v>
      </c>
      <c r="AW28">
        <v>6.6679100836738669E-2</v>
      </c>
      <c r="AX28">
        <v>27.142813920974731</v>
      </c>
      <c r="BE28">
        <v>4.2683879902384314E-2</v>
      </c>
      <c r="BF28">
        <v>8.5046582221984863</v>
      </c>
    </row>
    <row r="29" spans="1:63">
      <c r="A29">
        <v>1.3887205843217787E-2</v>
      </c>
      <c r="B29">
        <v>6.9933621883392334</v>
      </c>
      <c r="I29">
        <v>1.9928750598160683E-2</v>
      </c>
      <c r="J29">
        <v>11.260766983032227</v>
      </c>
      <c r="Q29">
        <v>3.3255731207149752E-2</v>
      </c>
      <c r="R29">
        <v>32.266649723052979</v>
      </c>
      <c r="AO29">
        <v>8.1357997577784502E-3</v>
      </c>
      <c r="AP29">
        <v>14.461716413497925</v>
      </c>
      <c r="AW29">
        <v>0.13418335421050642</v>
      </c>
      <c r="AX29">
        <v>25.904552459716797</v>
      </c>
      <c r="BE29">
        <v>0.13649616961341149</v>
      </c>
      <c r="BF29">
        <v>8.3587310314178467</v>
      </c>
    </row>
    <row r="30" spans="1:63">
      <c r="A30">
        <v>5.1539819306558599E-3</v>
      </c>
      <c r="B30">
        <v>6.9933621883392334</v>
      </c>
      <c r="I30">
        <v>6.4526043107024256E-2</v>
      </c>
      <c r="J30">
        <v>11.260766983032227</v>
      </c>
      <c r="Q30">
        <v>3.8753475961097905E-2</v>
      </c>
      <c r="R30">
        <v>32.266649723052979</v>
      </c>
      <c r="AO30">
        <v>8.6691463694852366E-3</v>
      </c>
      <c r="AP30">
        <v>13.977951288223267</v>
      </c>
      <c r="AW30">
        <v>4.3996851220139632E-2</v>
      </c>
      <c r="AX30">
        <v>13.260036945343018</v>
      </c>
      <c r="BE30">
        <v>2.3559803853936634E-2</v>
      </c>
      <c r="BF30">
        <v>8.2392976284027082</v>
      </c>
    </row>
    <row r="31" spans="1:63">
      <c r="A31">
        <v>2.0404502192836071E-2</v>
      </c>
      <c r="B31">
        <v>10.425825119018555</v>
      </c>
      <c r="I31">
        <v>1.8979133060264886E-2</v>
      </c>
      <c r="J31">
        <v>11.313071012496948</v>
      </c>
      <c r="Q31">
        <v>1.9138465933248305E-2</v>
      </c>
      <c r="R31">
        <v>32.266649723052979</v>
      </c>
      <c r="AO31">
        <v>3.9602433127918557E-2</v>
      </c>
      <c r="AP31">
        <v>20.962139129638672</v>
      </c>
      <c r="AW31">
        <v>6.7534396770788874E-2</v>
      </c>
      <c r="AX31">
        <v>13.260036945343018</v>
      </c>
      <c r="BE31">
        <v>6.7580737460191109E-2</v>
      </c>
      <c r="BF31">
        <v>8.3479523658752441</v>
      </c>
    </row>
    <row r="32" spans="1:63">
      <c r="A32">
        <v>5.0454026561672416E-2</v>
      </c>
      <c r="B32">
        <v>11.310103893280029</v>
      </c>
      <c r="I32">
        <v>5.6232359351180428E-3</v>
      </c>
      <c r="J32">
        <v>11.313071012496948</v>
      </c>
      <c r="AO32">
        <v>1.8016388269968431E-2</v>
      </c>
      <c r="AP32">
        <v>20.962139129638672</v>
      </c>
      <c r="AW32">
        <v>6.803301956898089E-2</v>
      </c>
      <c r="AX32">
        <v>13.260036945343018</v>
      </c>
      <c r="BE32">
        <v>6.4084868693610852E-2</v>
      </c>
      <c r="BF32">
        <v>9.4408457279205322</v>
      </c>
    </row>
    <row r="33" spans="1:58">
      <c r="A33">
        <v>1.178489804891969E-2</v>
      </c>
      <c r="B33">
        <v>11.310103893280029</v>
      </c>
      <c r="I33">
        <v>-4.4417270394263575E-3</v>
      </c>
      <c r="J33">
        <v>11.532374620437622</v>
      </c>
      <c r="AO33">
        <v>1.8235873118066515E-2</v>
      </c>
      <c r="AP33">
        <v>20.962139129638672</v>
      </c>
      <c r="AW33">
        <v>6.1838101440399251E-2</v>
      </c>
      <c r="AX33">
        <v>13.260036945343018</v>
      </c>
      <c r="BE33">
        <v>0.12651758364750232</v>
      </c>
      <c r="BF33">
        <v>8.9983782768249512</v>
      </c>
    </row>
    <row r="34" spans="1:58">
      <c r="A34">
        <v>1.1715878542977398E-2</v>
      </c>
      <c r="B34">
        <v>13.134425163269043</v>
      </c>
      <c r="I34">
        <v>1.477140658990117E-2</v>
      </c>
      <c r="J34">
        <v>11.42298412322998</v>
      </c>
      <c r="AO34">
        <v>3.3125616117366752E-2</v>
      </c>
      <c r="AP34">
        <v>12.330393314361572</v>
      </c>
      <c r="BE34">
        <v>4.064411923737854E-2</v>
      </c>
      <c r="BF34">
        <v>9.4030942916870117</v>
      </c>
    </row>
    <row r="35" spans="1:58">
      <c r="A35">
        <v>8.4231928588069938E-3</v>
      </c>
      <c r="B35">
        <v>10.902098894119263</v>
      </c>
      <c r="I35">
        <v>4.0261102700671847E-2</v>
      </c>
      <c r="J35">
        <v>12.893540620803833</v>
      </c>
      <c r="AO35">
        <v>2.3745226241669748E-2</v>
      </c>
      <c r="AP35">
        <v>21.682640314102173</v>
      </c>
      <c r="BE35">
        <v>4.6728011387749291E-2</v>
      </c>
      <c r="BF35">
        <v>9.8404741287231445</v>
      </c>
    </row>
    <row r="36" spans="1:58">
      <c r="A36">
        <v>1.3595309115872256E-2</v>
      </c>
      <c r="B36">
        <v>11.365095376968384</v>
      </c>
      <c r="I36">
        <v>1.4513980173997965E-3</v>
      </c>
      <c r="J36">
        <v>18.971728086471558</v>
      </c>
      <c r="AO36">
        <v>-2.8574327366658214E-2</v>
      </c>
      <c r="AP36">
        <v>21.682640314102173</v>
      </c>
      <c r="BE36">
        <v>3.4353983740331717E-2</v>
      </c>
      <c r="BF36">
        <v>9.6883397102355957</v>
      </c>
    </row>
    <row r="37" spans="1:58">
      <c r="A37">
        <v>5.4127252704583295E-3</v>
      </c>
      <c r="B37">
        <v>11.208788394927979</v>
      </c>
      <c r="I37">
        <v>2.2957774366395567E-2</v>
      </c>
      <c r="J37">
        <v>18.971728086471558</v>
      </c>
      <c r="AO37">
        <v>3.3870965662136987E-2</v>
      </c>
      <c r="AP37">
        <v>21.682640314102173</v>
      </c>
      <c r="BE37">
        <v>5.7570829313482674E-2</v>
      </c>
      <c r="BF37">
        <v>9.7494955062866211</v>
      </c>
    </row>
    <row r="38" spans="1:58">
      <c r="A38">
        <v>1.8314528665248853E-2</v>
      </c>
      <c r="B38">
        <v>12.427638530731201</v>
      </c>
      <c r="I38">
        <v>4.3290163743942456E-2</v>
      </c>
      <c r="J38">
        <v>11.509817600250244</v>
      </c>
      <c r="AO38">
        <v>3.4378985969385489E-4</v>
      </c>
      <c r="AP38">
        <v>21.682640314102173</v>
      </c>
      <c r="BE38">
        <v>8.7713253864092788E-2</v>
      </c>
      <c r="BF38">
        <v>9.4971671104431152</v>
      </c>
    </row>
    <row r="39" spans="1:58">
      <c r="A39">
        <v>1.8867706794682526E-2</v>
      </c>
      <c r="B39">
        <v>11.176435232162476</v>
      </c>
      <c r="I39">
        <v>5.025681552155925E-2</v>
      </c>
      <c r="J39">
        <v>11.233950138092041</v>
      </c>
      <c r="AO39">
        <v>2.3817328996555753E-2</v>
      </c>
      <c r="AP39">
        <v>15.42657208442688</v>
      </c>
      <c r="BE39">
        <v>4.4506332741796717E-2</v>
      </c>
      <c r="BF39">
        <v>9.9701931476593018</v>
      </c>
    </row>
    <row r="40" spans="1:58">
      <c r="A40">
        <v>3.8405161992262959E-2</v>
      </c>
      <c r="B40">
        <v>11.409239530563354</v>
      </c>
      <c r="I40">
        <v>2.2122368624145183E-2</v>
      </c>
      <c r="J40">
        <v>10.923311710357666</v>
      </c>
      <c r="AO40">
        <v>2.7607437007683311E-2</v>
      </c>
      <c r="AP40">
        <v>15.42657208442688</v>
      </c>
      <c r="BE40">
        <v>4.7046651739490519E-2</v>
      </c>
      <c r="BF40">
        <v>9.8055694103240967</v>
      </c>
    </row>
    <row r="41" spans="1:58">
      <c r="A41">
        <v>3.1584745608501663E-2</v>
      </c>
      <c r="B41">
        <v>10.341264963150024</v>
      </c>
      <c r="I41">
        <v>2.9063380041787878E-2</v>
      </c>
      <c r="J41">
        <v>15.286508083343506</v>
      </c>
      <c r="AO41">
        <v>2.6438549311474047E-2</v>
      </c>
      <c r="AP41">
        <v>10.831694364547729</v>
      </c>
      <c r="BE41">
        <v>9.0321333922261493E-2</v>
      </c>
      <c r="BF41">
        <v>9.2868125438690186</v>
      </c>
    </row>
    <row r="42" spans="1:58">
      <c r="A42">
        <v>2.2325210919663663E-2</v>
      </c>
      <c r="B42">
        <v>19.159807920455933</v>
      </c>
      <c r="I42">
        <v>2.6211240756436993E-2</v>
      </c>
      <c r="J42">
        <v>10.334748506546021</v>
      </c>
      <c r="AO42">
        <v>2.9891285094845843E-2</v>
      </c>
      <c r="AP42">
        <v>10.169124603271484</v>
      </c>
      <c r="BE42">
        <v>7.1715216930469117E-2</v>
      </c>
      <c r="BF42">
        <v>10.263688802719116</v>
      </c>
    </row>
    <row r="43" spans="1:58">
      <c r="A43">
        <v>1.5008983045521118E-2</v>
      </c>
      <c r="B43">
        <v>19.159807920455933</v>
      </c>
      <c r="I43">
        <v>3.7770014332514368E-2</v>
      </c>
      <c r="J43">
        <v>10.675469875335693</v>
      </c>
      <c r="AO43">
        <v>7.8291946076623153E-2</v>
      </c>
      <c r="AP43">
        <v>10.272475004196167</v>
      </c>
      <c r="BE43">
        <v>5.5875219258936903E-2</v>
      </c>
      <c r="BF43">
        <v>10.10144305229187</v>
      </c>
    </row>
    <row r="44" spans="1:58">
      <c r="A44">
        <v>2.4218540885974305E-2</v>
      </c>
      <c r="B44">
        <v>10.904804706573486</v>
      </c>
      <c r="AO44">
        <v>2.9842394961124397E-2</v>
      </c>
      <c r="AP44">
        <v>10.272475004196167</v>
      </c>
      <c r="BE44">
        <v>6.1696588295425459E-2</v>
      </c>
      <c r="BF44">
        <v>8.9607822895050049</v>
      </c>
    </row>
    <row r="45" spans="1:58">
      <c r="A45">
        <v>4.5887831731793005E-2</v>
      </c>
      <c r="B45">
        <v>10.83575177192688</v>
      </c>
      <c r="BE45">
        <v>5.1423584494063146E-2</v>
      </c>
      <c r="BF45">
        <v>9.402698278427124</v>
      </c>
    </row>
    <row r="46" spans="1:58">
      <c r="A46">
        <v>2.2580374716889562E-2</v>
      </c>
      <c r="B46">
        <v>13.770147562026978</v>
      </c>
      <c r="BE46">
        <v>0.1155543485457351</v>
      </c>
      <c r="BF46">
        <v>10.262157201766968</v>
      </c>
    </row>
    <row r="47" spans="1:58">
      <c r="A47">
        <v>3.0020918821787923E-2</v>
      </c>
      <c r="B47">
        <v>9.7950787544250488</v>
      </c>
      <c r="BE47">
        <v>4.7736869658573822E-2</v>
      </c>
      <c r="BF47">
        <v>12.128466606140137</v>
      </c>
    </row>
    <row r="48" spans="1:58">
      <c r="BE48">
        <v>6.4884303051660597E-2</v>
      </c>
      <c r="BF48">
        <v>8.8335676193237305</v>
      </c>
    </row>
    <row r="49" spans="57:58">
      <c r="BE49">
        <v>0.11003357839328731</v>
      </c>
      <c r="BF49">
        <v>8.5839335918426514</v>
      </c>
    </row>
    <row r="50" spans="57:58">
      <c r="BE50">
        <v>6.7883230954238094E-2</v>
      </c>
      <c r="BF50">
        <v>8.5178716182708722</v>
      </c>
    </row>
    <row r="51" spans="57:58">
      <c r="BE51">
        <v>0.1050115618759706</v>
      </c>
      <c r="BF51">
        <v>8.7433769702911377</v>
      </c>
    </row>
    <row r="52" spans="57:58">
      <c r="BE52">
        <v>6.5913100748027142E-2</v>
      </c>
      <c r="BF52">
        <v>9.6960144042968732</v>
      </c>
    </row>
    <row r="53" spans="57:58">
      <c r="BE53">
        <v>0.1237093047432527</v>
      </c>
      <c r="BF53">
        <v>9.4594569206237793</v>
      </c>
    </row>
    <row r="54" spans="57:58">
      <c r="BE54">
        <v>6.1839399040947152E-2</v>
      </c>
      <c r="BF54">
        <v>8.8447530269622803</v>
      </c>
    </row>
    <row r="55" spans="57:58">
      <c r="BE55">
        <v>6.3305136618185598E-2</v>
      </c>
      <c r="BF55">
        <v>9.0010340213775635</v>
      </c>
    </row>
    <row r="56" spans="57:58">
      <c r="BE56">
        <v>6.8049028305971815E-2</v>
      </c>
      <c r="BF56">
        <v>8.6748900413513184</v>
      </c>
    </row>
    <row r="57" spans="57:58">
      <c r="BE57">
        <v>0.10039908152044297</v>
      </c>
      <c r="BF57">
        <v>9.0765838623046875</v>
      </c>
    </row>
    <row r="58" spans="57:58">
      <c r="BE58">
        <v>7.3906723739763702E-2</v>
      </c>
      <c r="BF58">
        <v>9.1483774185180664</v>
      </c>
    </row>
    <row r="59" spans="57:58">
      <c r="BE59">
        <v>0.16816824546952214</v>
      </c>
      <c r="BF59">
        <v>9.5052878856658936</v>
      </c>
    </row>
    <row r="60" spans="57:58">
      <c r="BE60">
        <v>7.2844106311375167E-2</v>
      </c>
      <c r="BF60">
        <v>9.5660111904144287</v>
      </c>
    </row>
    <row r="61" spans="57:58">
      <c r="BE61">
        <v>0.10409723638509849</v>
      </c>
      <c r="BF61">
        <v>9.0264718532562256</v>
      </c>
    </row>
    <row r="62" spans="57:58">
      <c r="BE62">
        <v>9.6790561843806078E-2</v>
      </c>
      <c r="BF62">
        <v>9.7078711986541748</v>
      </c>
    </row>
    <row r="63" spans="57:58">
      <c r="BE63">
        <v>9.4642388573185521E-2</v>
      </c>
      <c r="BF63">
        <v>9.3804986476898193</v>
      </c>
    </row>
    <row r="64" spans="57:58">
      <c r="BE64">
        <v>8.6571747830913592E-2</v>
      </c>
      <c r="BF64">
        <v>9.2404716014862061</v>
      </c>
    </row>
    <row r="65" spans="57:58">
      <c r="BE65">
        <v>8.1915963867546848E-2</v>
      </c>
      <c r="BF65">
        <v>9.1632113456726074</v>
      </c>
    </row>
    <row r="66" spans="57:58">
      <c r="BE66">
        <v>9.1121487562357384E-2</v>
      </c>
      <c r="BF66">
        <v>10.114853143692017</v>
      </c>
    </row>
    <row r="67" spans="57:58">
      <c r="BE67">
        <v>7.948574721138213E-2</v>
      </c>
      <c r="BF67">
        <v>11.636857032775879</v>
      </c>
    </row>
    <row r="68" spans="57:58">
      <c r="BE68">
        <v>6.2918069204262572E-2</v>
      </c>
      <c r="BF68">
        <v>9.2928471565246582</v>
      </c>
    </row>
    <row r="69" spans="57:58">
      <c r="BE69">
        <v>8.4221428885667304E-2</v>
      </c>
      <c r="BF69">
        <v>9.2479863166809082</v>
      </c>
    </row>
    <row r="70" spans="57:58">
      <c r="BE70">
        <v>7.8534892352535302E-2</v>
      </c>
      <c r="BF70">
        <v>9.5423440933227539</v>
      </c>
    </row>
    <row r="71" spans="57:58">
      <c r="BE71">
        <v>7.3259456787344801E-2</v>
      </c>
      <c r="BF71">
        <v>9.7984614372253418</v>
      </c>
    </row>
    <row r="72" spans="57:58">
      <c r="BE72">
        <v>7.2694646720963929E-2</v>
      </c>
      <c r="BF72">
        <v>13.620095491409302</v>
      </c>
    </row>
    <row r="73" spans="57:58">
      <c r="BE73">
        <v>9.0353559750297352E-2</v>
      </c>
      <c r="BF73">
        <v>13.637347936630249</v>
      </c>
    </row>
    <row r="74" spans="57:58">
      <c r="BE74">
        <v>0.166506923125193</v>
      </c>
      <c r="BF74">
        <v>13.340061187744141</v>
      </c>
    </row>
    <row r="75" spans="57:58">
      <c r="BE75">
        <v>6.8513220803805508E-2</v>
      </c>
      <c r="BF75">
        <v>12.88707709312439</v>
      </c>
    </row>
    <row r="76" spans="57:58">
      <c r="BE76">
        <v>0.12529724072937665</v>
      </c>
      <c r="BF76">
        <v>13.14004921913147</v>
      </c>
    </row>
    <row r="77" spans="57:58">
      <c r="BE77">
        <v>6.6606358275845823E-2</v>
      </c>
      <c r="BF77">
        <v>13.441025972366333</v>
      </c>
    </row>
    <row r="78" spans="57:58">
      <c r="BE78">
        <v>9.5819589778586511E-2</v>
      </c>
      <c r="BF78">
        <v>10.68390679359436</v>
      </c>
    </row>
    <row r="79" spans="57:58">
      <c r="BE79">
        <v>0.11074065603763716</v>
      </c>
      <c r="BF79">
        <v>11.327511548995972</v>
      </c>
    </row>
    <row r="80" spans="57:58">
      <c r="BE80">
        <v>6.5347522447622319E-2</v>
      </c>
      <c r="BF80">
        <v>13.245702028274536</v>
      </c>
    </row>
    <row r="81" spans="57:58">
      <c r="BE81">
        <v>0.20634410907695822</v>
      </c>
      <c r="BF81">
        <v>12.858561277389526</v>
      </c>
    </row>
    <row r="82" spans="57:58">
      <c r="BE82">
        <v>0.10180188002096524</v>
      </c>
      <c r="BF82">
        <v>18.478302240371704</v>
      </c>
    </row>
    <row r="83" spans="57:58">
      <c r="BE83">
        <v>0.10372914406637235</v>
      </c>
      <c r="BF83">
        <v>14.606542587280273</v>
      </c>
    </row>
    <row r="84" spans="57:58">
      <c r="BE84">
        <v>9.1409534637685086E-2</v>
      </c>
      <c r="BF84">
        <v>13.084031820297241</v>
      </c>
    </row>
    <row r="85" spans="57:58">
      <c r="BE85">
        <v>8.1942492486375862E-2</v>
      </c>
      <c r="BF85">
        <v>12.942208051681519</v>
      </c>
    </row>
    <row r="86" spans="57:58">
      <c r="BE86">
        <v>0.22911882094328684</v>
      </c>
      <c r="BF86">
        <v>13.899314880371094</v>
      </c>
    </row>
    <row r="87" spans="57:58">
      <c r="BE87">
        <v>0.11188423874332809</v>
      </c>
      <c r="BF87">
        <v>19.217891454696655</v>
      </c>
    </row>
    <row r="88" spans="57:58">
      <c r="BE88">
        <v>8.9263679582779032E-2</v>
      </c>
      <c r="BF88">
        <v>15.293423891067505</v>
      </c>
    </row>
    <row r="89" spans="57:58">
      <c r="BE89">
        <v>9.7241729088639151E-2</v>
      </c>
      <c r="BF89">
        <v>12.595240116119385</v>
      </c>
    </row>
    <row r="90" spans="57:58">
      <c r="BE90">
        <v>5.3490559905237989E-2</v>
      </c>
      <c r="BF90">
        <v>12.885387897491455</v>
      </c>
    </row>
    <row r="91" spans="57:58">
      <c r="BE91">
        <v>0.12440593557600921</v>
      </c>
      <c r="BF91">
        <v>12.360720872879028</v>
      </c>
    </row>
    <row r="92" spans="57:58">
      <c r="BE92">
        <v>0.10406013694022365</v>
      </c>
      <c r="BF92">
        <v>19.62412166595459</v>
      </c>
    </row>
    <row r="93" spans="57:58">
      <c r="BE93">
        <v>0.10994895672985683</v>
      </c>
      <c r="BF93">
        <v>14.656426906585693</v>
      </c>
    </row>
    <row r="94" spans="57:58">
      <c r="BE94">
        <v>0.18365664648212232</v>
      </c>
      <c r="BF94">
        <v>12.08414888381958</v>
      </c>
    </row>
    <row r="95" spans="57:58">
      <c r="BE95">
        <v>0.1208047842486597</v>
      </c>
      <c r="BF95">
        <v>12.497874021530151</v>
      </c>
    </row>
    <row r="96" spans="57:58">
      <c r="BE96">
        <v>0.14651316714522533</v>
      </c>
      <c r="BF96">
        <v>14.45100212097168</v>
      </c>
    </row>
    <row r="97" spans="57:58">
      <c r="BE97">
        <v>0.1223544000504424</v>
      </c>
      <c r="BF97">
        <v>19.250190258026123</v>
      </c>
    </row>
    <row r="98" spans="57:58">
      <c r="BE98">
        <v>0.13920313090704561</v>
      </c>
      <c r="BF98">
        <v>14.355743885040283</v>
      </c>
    </row>
    <row r="99" spans="57:58">
      <c r="BE99">
        <v>0.1271892321743513</v>
      </c>
      <c r="BF99">
        <v>13.08194637298584</v>
      </c>
    </row>
    <row r="100" spans="57:58">
      <c r="BE100">
        <v>0.1856485465864488</v>
      </c>
      <c r="BF100">
        <v>12.534502744674683</v>
      </c>
    </row>
    <row r="101" spans="57:58">
      <c r="BE101">
        <v>9.6405077217197377E-2</v>
      </c>
      <c r="BF101">
        <v>13.080227136611938</v>
      </c>
    </row>
    <row r="102" spans="57:58">
      <c r="BE102">
        <v>0.14447403539988768</v>
      </c>
      <c r="BF102">
        <v>22.884831428527832</v>
      </c>
    </row>
    <row r="103" spans="57:58">
      <c r="BE103">
        <v>0.13780350504332617</v>
      </c>
      <c r="BF103">
        <v>23.999434471130371</v>
      </c>
    </row>
    <row r="104" spans="57:58">
      <c r="BE104">
        <v>0.13151780477970831</v>
      </c>
      <c r="BF104">
        <v>15.640901803970337</v>
      </c>
    </row>
    <row r="105" spans="57:58">
      <c r="BE105">
        <v>7.3640510754000799E-2</v>
      </c>
      <c r="BF105">
        <v>14.724606513977051</v>
      </c>
    </row>
    <row r="106" spans="57:58">
      <c r="BE106">
        <v>0.17677138931478109</v>
      </c>
      <c r="BF106">
        <v>16.168105363845825</v>
      </c>
    </row>
    <row r="107" spans="57:58">
      <c r="BE107">
        <v>0.12204048936388934</v>
      </c>
      <c r="BF107">
        <v>23.113996982574463</v>
      </c>
    </row>
    <row r="108" spans="57:58">
      <c r="BE108">
        <v>0.15653209081261577</v>
      </c>
      <c r="BF108">
        <v>17.479253768920898</v>
      </c>
    </row>
    <row r="109" spans="57:58">
      <c r="BE109">
        <v>0.12651064745623475</v>
      </c>
      <c r="BF109">
        <v>23.911049365997314</v>
      </c>
    </row>
    <row r="110" spans="57:58">
      <c r="BE110">
        <v>0.12311665066449318</v>
      </c>
      <c r="BF110">
        <v>17.613973379135132</v>
      </c>
    </row>
    <row r="111" spans="57:58">
      <c r="BE111">
        <v>0.15975539993998167</v>
      </c>
      <c r="BF111">
        <v>13.751477479934692</v>
      </c>
    </row>
    <row r="112" spans="57:58">
      <c r="BE112">
        <v>0.15981234307903436</v>
      </c>
      <c r="BF112">
        <v>26.564434766769409</v>
      </c>
    </row>
    <row r="113" spans="57:58">
      <c r="BE113">
        <v>0.1121217972044577</v>
      </c>
      <c r="BF113">
        <v>25.714474439620972</v>
      </c>
    </row>
    <row r="114" spans="57:58">
      <c r="BE114">
        <v>0.1340303244253358</v>
      </c>
      <c r="BF114">
        <v>19.373068332672119</v>
      </c>
    </row>
    <row r="115" spans="57:58">
      <c r="BE115">
        <v>0.10023687927370872</v>
      </c>
      <c r="BF115">
        <v>16.775312185287476</v>
      </c>
    </row>
    <row r="116" spans="57:58">
      <c r="BE116">
        <v>0.14738253690122538</v>
      </c>
      <c r="BF116">
        <v>16.037331342697144</v>
      </c>
    </row>
    <row r="117" spans="57:58">
      <c r="BE117">
        <v>0.12058190604503927</v>
      </c>
      <c r="BF117">
        <v>34.821922302246094</v>
      </c>
    </row>
    <row r="118" spans="57:58">
      <c r="BE118">
        <v>0.18583619033266774</v>
      </c>
      <c r="BF118">
        <v>33.182290077209473</v>
      </c>
    </row>
    <row r="119" spans="57:58">
      <c r="BE119">
        <v>0.25213418870297777</v>
      </c>
      <c r="BF119">
        <v>16.537704467773438</v>
      </c>
    </row>
    <row r="120" spans="57:58">
      <c r="BE120">
        <v>8.9035682616662282E-2</v>
      </c>
      <c r="BF120">
        <v>26.362781286239624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18"/>
  <sheetViews>
    <sheetView tabSelected="1" topLeftCell="B1" workbookViewId="0">
      <selection activeCell="J2" sqref="J2"/>
    </sheetView>
  </sheetViews>
  <sheetFormatPr defaultRowHeight="14"/>
  <cols>
    <col min="1" max="2" width="14" customWidth="1"/>
    <col min="3" max="3" width="42" customWidth="1"/>
    <col min="4" max="22" width="14" customWidth="1"/>
  </cols>
  <sheetData>
    <row r="1" spans="1:22">
      <c r="A1" s="1" t="s">
        <v>297</v>
      </c>
      <c r="B1" s="1" t="s">
        <v>298</v>
      </c>
      <c r="C1" s="1" t="s">
        <v>299</v>
      </c>
      <c r="D1" s="1" t="s">
        <v>300</v>
      </c>
      <c r="E1" s="1" t="s">
        <v>5</v>
      </c>
      <c r="F1" s="1" t="s">
        <v>301</v>
      </c>
      <c r="G1" s="1" t="s">
        <v>6</v>
      </c>
      <c r="H1" s="1" t="s">
        <v>0</v>
      </c>
      <c r="I1" s="1" t="s">
        <v>302</v>
      </c>
      <c r="J1" s="1" t="s">
        <v>1240</v>
      </c>
      <c r="K1" s="1" t="s">
        <v>303</v>
      </c>
      <c r="L1" s="1" t="s">
        <v>304</v>
      </c>
      <c r="M1" s="1" t="s">
        <v>305</v>
      </c>
      <c r="N1" s="1" t="s">
        <v>306</v>
      </c>
      <c r="O1" s="1"/>
      <c r="P1" s="1"/>
      <c r="Q1" s="1"/>
      <c r="R1" s="1"/>
      <c r="S1" s="1"/>
      <c r="T1" s="1"/>
      <c r="U1" s="1"/>
      <c r="V1" s="1"/>
    </row>
    <row r="2" spans="1:22">
      <c r="A2">
        <v>0</v>
      </c>
      <c r="B2">
        <v>833.01885986328125</v>
      </c>
      <c r="C2" t="s">
        <v>307</v>
      </c>
      <c r="D2">
        <v>3.240628719329834</v>
      </c>
      <c r="E2" t="s">
        <v>15</v>
      </c>
      <c r="F2" t="s">
        <v>308</v>
      </c>
      <c r="G2" t="s">
        <v>16</v>
      </c>
      <c r="H2" t="s">
        <v>2</v>
      </c>
      <c r="I2">
        <v>1</v>
      </c>
      <c r="J2">
        <v>784</v>
      </c>
      <c r="K2">
        <v>784</v>
      </c>
      <c r="L2">
        <v>0</v>
      </c>
      <c r="M2">
        <v>0</v>
      </c>
      <c r="N2" s="4">
        <f t="shared" ref="N2:N65" si="0">IFERROR(B2/J2-1,"")</f>
        <v>6.2524055948062873E-2</v>
      </c>
      <c r="P2">
        <v>1</v>
      </c>
      <c r="Q2">
        <v>0</v>
      </c>
      <c r="R2">
        <v>0</v>
      </c>
      <c r="T2" t="s">
        <v>16</v>
      </c>
    </row>
    <row r="3" spans="1:22">
      <c r="A3">
        <v>1</v>
      </c>
      <c r="B3">
        <v>792.3814697265625</v>
      </c>
      <c r="C3" t="s">
        <v>309</v>
      </c>
      <c r="D3">
        <v>2.4586789608001709</v>
      </c>
      <c r="E3" t="s">
        <v>15</v>
      </c>
      <c r="F3" t="s">
        <v>308</v>
      </c>
      <c r="G3" t="s">
        <v>16</v>
      </c>
      <c r="H3" t="s">
        <v>3</v>
      </c>
      <c r="I3">
        <v>1</v>
      </c>
      <c r="J3">
        <v>784</v>
      </c>
      <c r="K3">
        <v>0</v>
      </c>
      <c r="L3">
        <v>0</v>
      </c>
      <c r="M3">
        <v>784</v>
      </c>
      <c r="N3" s="4">
        <f t="shared" si="0"/>
        <v>1.069065016143167E-2</v>
      </c>
      <c r="P3">
        <v>0</v>
      </c>
      <c r="Q3">
        <v>0</v>
      </c>
      <c r="R3">
        <v>1</v>
      </c>
      <c r="V3" t="s">
        <v>16</v>
      </c>
    </row>
    <row r="4" spans="1:22">
      <c r="A4">
        <v>2</v>
      </c>
      <c r="B4">
        <v>832.48455810546875</v>
      </c>
      <c r="C4" t="s">
        <v>310</v>
      </c>
      <c r="D4">
        <v>3.484200000762939</v>
      </c>
      <c r="E4" t="s">
        <v>15</v>
      </c>
      <c r="F4" t="s">
        <v>308</v>
      </c>
      <c r="G4" t="s">
        <v>16</v>
      </c>
      <c r="H4" t="s">
        <v>4</v>
      </c>
      <c r="I4">
        <v>1</v>
      </c>
      <c r="J4">
        <v>784</v>
      </c>
      <c r="K4">
        <v>0</v>
      </c>
      <c r="L4">
        <v>784</v>
      </c>
      <c r="M4">
        <v>0</v>
      </c>
      <c r="N4" s="4">
        <f t="shared" si="0"/>
        <v>6.1842548603914249E-2</v>
      </c>
      <c r="P4">
        <v>0</v>
      </c>
      <c r="Q4">
        <v>1</v>
      </c>
      <c r="R4">
        <v>0</v>
      </c>
      <c r="U4" t="s">
        <v>16</v>
      </c>
    </row>
    <row r="5" spans="1:22">
      <c r="A5">
        <v>3</v>
      </c>
      <c r="B5">
        <v>730.66632080078125</v>
      </c>
      <c r="C5" t="s">
        <v>311</v>
      </c>
      <c r="D5">
        <v>3.5166168212890621</v>
      </c>
      <c r="E5" t="s">
        <v>15</v>
      </c>
      <c r="F5" t="s">
        <v>312</v>
      </c>
      <c r="G5" t="s">
        <v>17</v>
      </c>
      <c r="H5" t="s">
        <v>2</v>
      </c>
      <c r="I5">
        <v>2</v>
      </c>
      <c r="J5">
        <v>661</v>
      </c>
      <c r="K5">
        <v>661</v>
      </c>
      <c r="L5">
        <v>0</v>
      </c>
      <c r="M5">
        <v>0</v>
      </c>
      <c r="N5" s="4">
        <f t="shared" si="0"/>
        <v>0.10539534160481279</v>
      </c>
      <c r="P5">
        <v>2</v>
      </c>
      <c r="Q5">
        <v>0</v>
      </c>
      <c r="R5">
        <v>0</v>
      </c>
      <c r="T5" t="s">
        <v>17</v>
      </c>
    </row>
    <row r="6" spans="1:22">
      <c r="A6">
        <v>4</v>
      </c>
      <c r="B6">
        <v>777.43853759765625</v>
      </c>
      <c r="C6" t="s">
        <v>313</v>
      </c>
      <c r="D6">
        <v>3.5166168212890621</v>
      </c>
      <c r="E6" t="s">
        <v>15</v>
      </c>
      <c r="F6" t="s">
        <v>312</v>
      </c>
      <c r="G6" t="s">
        <v>18</v>
      </c>
      <c r="H6" t="s">
        <v>2</v>
      </c>
      <c r="I6">
        <v>2</v>
      </c>
      <c r="J6">
        <v>742</v>
      </c>
      <c r="K6">
        <v>742</v>
      </c>
      <c r="L6">
        <v>0</v>
      </c>
      <c r="M6">
        <v>0</v>
      </c>
      <c r="N6" s="4">
        <f t="shared" si="0"/>
        <v>4.7760832341854798E-2</v>
      </c>
      <c r="P6">
        <v>2</v>
      </c>
      <c r="Q6">
        <v>0</v>
      </c>
      <c r="R6">
        <v>0</v>
      </c>
      <c r="T6" t="s">
        <v>18</v>
      </c>
    </row>
    <row r="7" spans="1:22">
      <c r="A7">
        <v>5</v>
      </c>
      <c r="B7">
        <v>674.8570556640625</v>
      </c>
      <c r="C7" t="s">
        <v>314</v>
      </c>
      <c r="D7">
        <v>1.9951877593994141</v>
      </c>
      <c r="E7" t="s">
        <v>15</v>
      </c>
      <c r="F7" t="s">
        <v>312</v>
      </c>
      <c r="G7" t="s">
        <v>17</v>
      </c>
      <c r="H7" t="s">
        <v>3</v>
      </c>
      <c r="I7">
        <v>2</v>
      </c>
      <c r="J7">
        <v>661</v>
      </c>
      <c r="K7">
        <v>0</v>
      </c>
      <c r="L7">
        <v>0</v>
      </c>
      <c r="M7">
        <v>661</v>
      </c>
      <c r="N7" s="4">
        <f t="shared" si="0"/>
        <v>2.0963775588596745E-2</v>
      </c>
      <c r="P7">
        <v>0</v>
      </c>
      <c r="Q7">
        <v>0</v>
      </c>
      <c r="R7">
        <v>2</v>
      </c>
      <c r="V7" t="s">
        <v>17</v>
      </c>
    </row>
    <row r="8" spans="1:22">
      <c r="A8">
        <v>6</v>
      </c>
      <c r="B8">
        <v>762.57525634765625</v>
      </c>
      <c r="C8" t="s">
        <v>315</v>
      </c>
      <c r="D8">
        <v>1.9951877593994141</v>
      </c>
      <c r="E8" t="s">
        <v>15</v>
      </c>
      <c r="F8" t="s">
        <v>312</v>
      </c>
      <c r="G8" t="s">
        <v>18</v>
      </c>
      <c r="H8" t="s">
        <v>3</v>
      </c>
      <c r="I8">
        <v>2</v>
      </c>
      <c r="J8">
        <v>742</v>
      </c>
      <c r="K8">
        <v>0</v>
      </c>
      <c r="L8">
        <v>0</v>
      </c>
      <c r="M8">
        <v>742</v>
      </c>
      <c r="N8" s="4">
        <f t="shared" si="0"/>
        <v>2.7729455994145891E-2</v>
      </c>
      <c r="P8">
        <v>0</v>
      </c>
      <c r="Q8">
        <v>0</v>
      </c>
      <c r="R8">
        <v>2</v>
      </c>
      <c r="V8" t="s">
        <v>18</v>
      </c>
    </row>
    <row r="9" spans="1:22">
      <c r="A9">
        <v>7</v>
      </c>
      <c r="B9">
        <v>674.11651611328125</v>
      </c>
      <c r="C9" t="s">
        <v>316</v>
      </c>
      <c r="D9">
        <v>3.6535589694976811</v>
      </c>
      <c r="E9" t="s">
        <v>15</v>
      </c>
      <c r="F9" t="s">
        <v>312</v>
      </c>
      <c r="G9" t="s">
        <v>17</v>
      </c>
      <c r="H9" t="s">
        <v>4</v>
      </c>
      <c r="I9">
        <v>2</v>
      </c>
      <c r="J9">
        <v>661</v>
      </c>
      <c r="K9">
        <v>0</v>
      </c>
      <c r="L9">
        <v>661</v>
      </c>
      <c r="M9">
        <v>0</v>
      </c>
      <c r="N9" s="4">
        <f t="shared" si="0"/>
        <v>1.9843443439154784E-2</v>
      </c>
      <c r="P9">
        <v>0</v>
      </c>
      <c r="Q9">
        <v>2</v>
      </c>
      <c r="R9">
        <v>0</v>
      </c>
      <c r="U9" t="s">
        <v>17</v>
      </c>
    </row>
    <row r="10" spans="1:22">
      <c r="A10">
        <v>8</v>
      </c>
      <c r="B10">
        <v>744.564453125</v>
      </c>
      <c r="C10" t="s">
        <v>317</v>
      </c>
      <c r="D10">
        <v>3.6535589694976811</v>
      </c>
      <c r="E10" t="s">
        <v>15</v>
      </c>
      <c r="F10" t="s">
        <v>312</v>
      </c>
      <c r="G10" t="s">
        <v>18</v>
      </c>
      <c r="H10" t="s">
        <v>4</v>
      </c>
      <c r="I10">
        <v>2</v>
      </c>
      <c r="J10">
        <v>742</v>
      </c>
      <c r="K10">
        <v>0</v>
      </c>
      <c r="L10">
        <v>742</v>
      </c>
      <c r="M10">
        <v>0</v>
      </c>
      <c r="N10" s="4">
        <f t="shared" si="0"/>
        <v>3.4561362870619838E-3</v>
      </c>
      <c r="P10">
        <v>0</v>
      </c>
      <c r="Q10">
        <v>2</v>
      </c>
      <c r="R10">
        <v>0</v>
      </c>
      <c r="U10" t="s">
        <v>18</v>
      </c>
    </row>
    <row r="11" spans="1:22">
      <c r="A11">
        <v>9</v>
      </c>
      <c r="B11">
        <v>787.430419921875</v>
      </c>
      <c r="C11" t="s">
        <v>318</v>
      </c>
      <c r="D11">
        <v>3.6198651790618901</v>
      </c>
      <c r="E11" t="s">
        <v>15</v>
      </c>
      <c r="F11" t="s">
        <v>319</v>
      </c>
      <c r="G11" t="s">
        <v>19</v>
      </c>
      <c r="H11" t="s">
        <v>2</v>
      </c>
      <c r="I11">
        <v>1</v>
      </c>
      <c r="J11">
        <v>778</v>
      </c>
      <c r="K11">
        <v>778</v>
      </c>
      <c r="L11">
        <v>0</v>
      </c>
      <c r="M11">
        <v>0</v>
      </c>
      <c r="N11" s="4">
        <f t="shared" si="0"/>
        <v>1.212136236744854E-2</v>
      </c>
      <c r="P11">
        <v>1</v>
      </c>
      <c r="Q11">
        <v>0</v>
      </c>
      <c r="R11">
        <v>0</v>
      </c>
      <c r="T11" t="s">
        <v>19</v>
      </c>
    </row>
    <row r="12" spans="1:22">
      <c r="A12">
        <v>10</v>
      </c>
      <c r="B12">
        <v>802.7908935546875</v>
      </c>
      <c r="C12" t="s">
        <v>320</v>
      </c>
      <c r="D12">
        <v>1.9882326126098631</v>
      </c>
      <c r="E12" t="s">
        <v>15</v>
      </c>
      <c r="F12" t="s">
        <v>319</v>
      </c>
      <c r="G12" t="s">
        <v>19</v>
      </c>
      <c r="H12" t="s">
        <v>3</v>
      </c>
      <c r="I12">
        <v>1</v>
      </c>
      <c r="J12">
        <v>778</v>
      </c>
      <c r="K12">
        <v>0</v>
      </c>
      <c r="L12">
        <v>0</v>
      </c>
      <c r="M12">
        <v>778</v>
      </c>
      <c r="N12" s="4">
        <f t="shared" si="0"/>
        <v>3.1864901741243568E-2</v>
      </c>
      <c r="P12">
        <v>0</v>
      </c>
      <c r="Q12">
        <v>0</v>
      </c>
      <c r="R12">
        <v>1</v>
      </c>
      <c r="V12" t="s">
        <v>19</v>
      </c>
    </row>
    <row r="13" spans="1:22">
      <c r="A13">
        <v>11</v>
      </c>
      <c r="B13">
        <v>790.220947265625</v>
      </c>
      <c r="C13" t="s">
        <v>321</v>
      </c>
      <c r="D13">
        <v>3.712980985641479</v>
      </c>
      <c r="E13" t="s">
        <v>15</v>
      </c>
      <c r="F13" t="s">
        <v>319</v>
      </c>
      <c r="G13" t="s">
        <v>19</v>
      </c>
      <c r="H13" t="s">
        <v>4</v>
      </c>
      <c r="I13">
        <v>1</v>
      </c>
      <c r="J13">
        <v>778</v>
      </c>
      <c r="K13">
        <v>0</v>
      </c>
      <c r="L13">
        <v>778</v>
      </c>
      <c r="M13">
        <v>0</v>
      </c>
      <c r="N13" s="4">
        <f t="shared" si="0"/>
        <v>1.5708158439106779E-2</v>
      </c>
      <c r="P13">
        <v>0</v>
      </c>
      <c r="Q13">
        <v>1</v>
      </c>
      <c r="R13">
        <v>0</v>
      </c>
      <c r="U13" t="s">
        <v>19</v>
      </c>
    </row>
    <row r="14" spans="1:22">
      <c r="A14">
        <v>12</v>
      </c>
      <c r="B14">
        <v>810.07080078125</v>
      </c>
      <c r="C14" t="s">
        <v>322</v>
      </c>
      <c r="D14">
        <v>3.788451194763184</v>
      </c>
      <c r="E14" t="s">
        <v>15</v>
      </c>
      <c r="F14" t="s">
        <v>323</v>
      </c>
      <c r="G14" t="s">
        <v>20</v>
      </c>
      <c r="H14" t="s">
        <v>2</v>
      </c>
      <c r="I14">
        <v>1</v>
      </c>
      <c r="J14">
        <v>799</v>
      </c>
      <c r="K14">
        <v>799</v>
      </c>
      <c r="L14">
        <v>0</v>
      </c>
      <c r="M14">
        <v>0</v>
      </c>
      <c r="N14" s="4">
        <f t="shared" si="0"/>
        <v>1.3855820752503023E-2</v>
      </c>
      <c r="P14">
        <v>1</v>
      </c>
      <c r="Q14">
        <v>0</v>
      </c>
      <c r="R14">
        <v>0</v>
      </c>
      <c r="T14" t="s">
        <v>20</v>
      </c>
    </row>
    <row r="15" spans="1:22">
      <c r="A15">
        <v>13</v>
      </c>
      <c r="B15">
        <v>821.14111328125</v>
      </c>
      <c r="C15" t="s">
        <v>324</v>
      </c>
      <c r="D15">
        <v>2.2774310111999512</v>
      </c>
      <c r="E15" t="s">
        <v>15</v>
      </c>
      <c r="F15" t="s">
        <v>323</v>
      </c>
      <c r="G15" t="s">
        <v>20</v>
      </c>
      <c r="H15" t="s">
        <v>3</v>
      </c>
      <c r="I15">
        <v>1</v>
      </c>
      <c r="J15">
        <v>799</v>
      </c>
      <c r="K15">
        <v>0</v>
      </c>
      <c r="L15">
        <v>0</v>
      </c>
      <c r="M15">
        <v>799</v>
      </c>
      <c r="N15" s="4">
        <f t="shared" si="0"/>
        <v>2.7711030389549363E-2</v>
      </c>
      <c r="P15">
        <v>0</v>
      </c>
      <c r="Q15">
        <v>0</v>
      </c>
      <c r="R15">
        <v>1</v>
      </c>
      <c r="V15" t="s">
        <v>20</v>
      </c>
    </row>
    <row r="16" spans="1:22">
      <c r="A16">
        <v>14</v>
      </c>
      <c r="B16">
        <v>868.5882568359375</v>
      </c>
      <c r="C16" t="s">
        <v>325</v>
      </c>
      <c r="D16">
        <v>3.8794634342193599</v>
      </c>
      <c r="E16" t="s">
        <v>15</v>
      </c>
      <c r="F16" t="s">
        <v>323</v>
      </c>
      <c r="G16" t="s">
        <v>20</v>
      </c>
      <c r="H16" t="s">
        <v>4</v>
      </c>
      <c r="I16">
        <v>1</v>
      </c>
      <c r="J16">
        <v>799</v>
      </c>
      <c r="K16">
        <v>0</v>
      </c>
      <c r="L16">
        <v>799</v>
      </c>
      <c r="M16">
        <v>0</v>
      </c>
      <c r="N16" s="4">
        <f t="shared" si="0"/>
        <v>8.709418878089803E-2</v>
      </c>
      <c r="P16">
        <v>0</v>
      </c>
      <c r="Q16">
        <v>1</v>
      </c>
      <c r="R16">
        <v>0</v>
      </c>
      <c r="U16" t="s">
        <v>20</v>
      </c>
    </row>
    <row r="17" spans="1:22">
      <c r="A17">
        <v>15</v>
      </c>
      <c r="B17">
        <v>740.3463134765625</v>
      </c>
      <c r="C17" t="s">
        <v>326</v>
      </c>
      <c r="D17">
        <v>3.6620552539825439</v>
      </c>
      <c r="E17" t="s">
        <v>15</v>
      </c>
      <c r="F17" t="s">
        <v>327</v>
      </c>
      <c r="G17" t="s">
        <v>21</v>
      </c>
      <c r="H17" t="s">
        <v>2</v>
      </c>
      <c r="I17">
        <v>2</v>
      </c>
      <c r="J17">
        <v>669</v>
      </c>
      <c r="K17">
        <v>669</v>
      </c>
      <c r="L17">
        <v>0</v>
      </c>
      <c r="M17">
        <v>0</v>
      </c>
      <c r="N17" s="4">
        <f t="shared" si="0"/>
        <v>0.10664620848514583</v>
      </c>
      <c r="P17">
        <v>2</v>
      </c>
      <c r="Q17">
        <v>0</v>
      </c>
      <c r="R17">
        <v>0</v>
      </c>
      <c r="T17" t="s">
        <v>21</v>
      </c>
    </row>
    <row r="18" spans="1:22">
      <c r="A18">
        <v>16</v>
      </c>
      <c r="B18">
        <v>956.743896484375</v>
      </c>
      <c r="C18" t="s">
        <v>328</v>
      </c>
      <c r="D18">
        <v>3.6620552539825439</v>
      </c>
      <c r="E18" t="s">
        <v>15</v>
      </c>
      <c r="F18" t="s">
        <v>327</v>
      </c>
      <c r="G18" t="s">
        <v>22</v>
      </c>
      <c r="H18" t="s">
        <v>2</v>
      </c>
      <c r="I18">
        <v>2</v>
      </c>
      <c r="J18">
        <v>949</v>
      </c>
      <c r="K18">
        <v>949</v>
      </c>
      <c r="L18">
        <v>0</v>
      </c>
      <c r="M18">
        <v>0</v>
      </c>
      <c r="N18" s="4">
        <f t="shared" si="0"/>
        <v>8.1600595198894066E-3</v>
      </c>
      <c r="P18">
        <v>2</v>
      </c>
      <c r="Q18">
        <v>0</v>
      </c>
      <c r="R18">
        <v>0</v>
      </c>
      <c r="T18" t="s">
        <v>22</v>
      </c>
    </row>
    <row r="19" spans="1:22">
      <c r="A19">
        <v>17</v>
      </c>
      <c r="B19">
        <v>697.43798828125</v>
      </c>
      <c r="C19" t="s">
        <v>329</v>
      </c>
      <c r="D19">
        <v>4.4269788265228271</v>
      </c>
      <c r="E19" t="s">
        <v>15</v>
      </c>
      <c r="F19" t="s">
        <v>327</v>
      </c>
      <c r="G19" t="s">
        <v>21</v>
      </c>
      <c r="H19" t="s">
        <v>3</v>
      </c>
      <c r="I19">
        <v>2</v>
      </c>
      <c r="J19">
        <v>669</v>
      </c>
      <c r="K19">
        <v>0</v>
      </c>
      <c r="L19">
        <v>0</v>
      </c>
      <c r="M19">
        <v>669</v>
      </c>
      <c r="N19" s="4">
        <f t="shared" si="0"/>
        <v>4.2508203708893966E-2</v>
      </c>
      <c r="P19">
        <v>0</v>
      </c>
      <c r="Q19">
        <v>0</v>
      </c>
      <c r="R19">
        <v>2</v>
      </c>
      <c r="V19" t="s">
        <v>21</v>
      </c>
    </row>
    <row r="20" spans="1:22">
      <c r="A20">
        <v>18</v>
      </c>
      <c r="B20">
        <v>981.7393798828125</v>
      </c>
      <c r="C20" t="s">
        <v>330</v>
      </c>
      <c r="D20">
        <v>4.4269788265228271</v>
      </c>
      <c r="E20" t="s">
        <v>15</v>
      </c>
      <c r="F20" t="s">
        <v>327</v>
      </c>
      <c r="G20" t="s">
        <v>22</v>
      </c>
      <c r="H20" t="s">
        <v>3</v>
      </c>
      <c r="I20">
        <v>2</v>
      </c>
      <c r="J20">
        <v>949</v>
      </c>
      <c r="K20">
        <v>0</v>
      </c>
      <c r="L20">
        <v>0</v>
      </c>
      <c r="M20">
        <v>949</v>
      </c>
      <c r="N20" s="4">
        <f t="shared" si="0"/>
        <v>3.4498819686841431E-2</v>
      </c>
      <c r="P20">
        <v>0</v>
      </c>
      <c r="Q20">
        <v>0</v>
      </c>
      <c r="R20">
        <v>2</v>
      </c>
      <c r="V20" t="s">
        <v>22</v>
      </c>
    </row>
    <row r="21" spans="1:22">
      <c r="A21">
        <v>19</v>
      </c>
      <c r="B21">
        <v>698.95751953125</v>
      </c>
      <c r="C21" t="s">
        <v>331</v>
      </c>
      <c r="D21">
        <v>3.9273240566253662</v>
      </c>
      <c r="E21" t="s">
        <v>15</v>
      </c>
      <c r="F21" t="s">
        <v>327</v>
      </c>
      <c r="G21" t="s">
        <v>21</v>
      </c>
      <c r="H21" t="s">
        <v>4</v>
      </c>
      <c r="I21">
        <v>2</v>
      </c>
      <c r="J21">
        <v>669</v>
      </c>
      <c r="K21">
        <v>0</v>
      </c>
      <c r="L21">
        <v>669</v>
      </c>
      <c r="M21">
        <v>0</v>
      </c>
      <c r="N21" s="4">
        <f t="shared" si="0"/>
        <v>4.4779550868834006E-2</v>
      </c>
      <c r="P21">
        <v>0</v>
      </c>
      <c r="Q21">
        <v>2</v>
      </c>
      <c r="R21">
        <v>0</v>
      </c>
      <c r="U21" t="s">
        <v>21</v>
      </c>
    </row>
    <row r="22" spans="1:22">
      <c r="A22">
        <v>20</v>
      </c>
      <c r="B22">
        <v>957.02978515625</v>
      </c>
      <c r="C22" t="s">
        <v>332</v>
      </c>
      <c r="D22">
        <v>3.9273240566253662</v>
      </c>
      <c r="E22" t="s">
        <v>15</v>
      </c>
      <c r="F22" t="s">
        <v>327</v>
      </c>
      <c r="G22" t="s">
        <v>22</v>
      </c>
      <c r="H22" t="s">
        <v>4</v>
      </c>
      <c r="I22">
        <v>2</v>
      </c>
      <c r="J22">
        <v>949</v>
      </c>
      <c r="K22">
        <v>0</v>
      </c>
      <c r="L22">
        <v>949</v>
      </c>
      <c r="M22">
        <v>0</v>
      </c>
      <c r="N22" s="4">
        <f t="shared" si="0"/>
        <v>8.4613120719179147E-3</v>
      </c>
      <c r="P22">
        <v>0</v>
      </c>
      <c r="Q22">
        <v>2</v>
      </c>
      <c r="R22">
        <v>0</v>
      </c>
      <c r="U22" t="s">
        <v>22</v>
      </c>
    </row>
    <row r="23" spans="1:22">
      <c r="A23">
        <v>21</v>
      </c>
      <c r="B23">
        <v>756.9669189453125</v>
      </c>
      <c r="C23" t="s">
        <v>333</v>
      </c>
      <c r="D23">
        <v>3.7448992729187012</v>
      </c>
      <c r="E23" t="s">
        <v>15</v>
      </c>
      <c r="F23" t="s">
        <v>334</v>
      </c>
      <c r="G23" t="s">
        <v>23</v>
      </c>
      <c r="H23" t="s">
        <v>2</v>
      </c>
      <c r="I23">
        <v>1</v>
      </c>
      <c r="J23">
        <v>730</v>
      </c>
      <c r="K23">
        <v>730</v>
      </c>
      <c r="L23">
        <v>0</v>
      </c>
      <c r="M23">
        <v>0</v>
      </c>
      <c r="N23" s="4">
        <f t="shared" si="0"/>
        <v>3.6940984856592474E-2</v>
      </c>
      <c r="P23">
        <v>1</v>
      </c>
      <c r="Q23">
        <v>0</v>
      </c>
      <c r="R23">
        <v>0</v>
      </c>
      <c r="T23" t="s">
        <v>23</v>
      </c>
    </row>
    <row r="24" spans="1:22">
      <c r="A24">
        <v>22</v>
      </c>
      <c r="B24">
        <v>739.62750244140625</v>
      </c>
      <c r="C24" t="s">
        <v>335</v>
      </c>
      <c r="D24">
        <v>4.0925168991088867</v>
      </c>
      <c r="E24" t="s">
        <v>15</v>
      </c>
      <c r="F24" t="s">
        <v>334</v>
      </c>
      <c r="G24" t="s">
        <v>23</v>
      </c>
      <c r="H24" t="s">
        <v>3</v>
      </c>
      <c r="I24">
        <v>1</v>
      </c>
      <c r="J24">
        <v>730</v>
      </c>
      <c r="K24">
        <v>0</v>
      </c>
      <c r="L24">
        <v>0</v>
      </c>
      <c r="M24">
        <v>730</v>
      </c>
      <c r="N24" s="4">
        <f t="shared" si="0"/>
        <v>1.3188359508775616E-2</v>
      </c>
      <c r="P24">
        <v>0</v>
      </c>
      <c r="Q24">
        <v>0</v>
      </c>
      <c r="R24">
        <v>1</v>
      </c>
      <c r="V24" t="s">
        <v>23</v>
      </c>
    </row>
    <row r="25" spans="1:22">
      <c r="A25">
        <v>23</v>
      </c>
      <c r="B25">
        <v>773.6005859375</v>
      </c>
      <c r="C25" t="s">
        <v>336</v>
      </c>
      <c r="D25">
        <v>3.6349518299102779</v>
      </c>
      <c r="E25" t="s">
        <v>15</v>
      </c>
      <c r="F25" t="s">
        <v>334</v>
      </c>
      <c r="G25" t="s">
        <v>23</v>
      </c>
      <c r="H25" t="s">
        <v>4</v>
      </c>
      <c r="I25">
        <v>1</v>
      </c>
      <c r="J25">
        <v>730</v>
      </c>
      <c r="K25">
        <v>0</v>
      </c>
      <c r="L25">
        <v>730</v>
      </c>
      <c r="M25">
        <v>0</v>
      </c>
      <c r="N25" s="4">
        <f t="shared" si="0"/>
        <v>5.9726830051369806E-2</v>
      </c>
      <c r="P25">
        <v>0</v>
      </c>
      <c r="Q25">
        <v>1</v>
      </c>
      <c r="R25">
        <v>0</v>
      </c>
      <c r="U25" t="s">
        <v>23</v>
      </c>
    </row>
    <row r="26" spans="1:22">
      <c r="A26">
        <v>24</v>
      </c>
      <c r="B26">
        <v>854.5550537109375</v>
      </c>
      <c r="C26" t="s">
        <v>337</v>
      </c>
      <c r="D26">
        <v>3.7533278465271001</v>
      </c>
      <c r="E26" t="s">
        <v>15</v>
      </c>
      <c r="F26" t="s">
        <v>338</v>
      </c>
      <c r="G26" t="s">
        <v>24</v>
      </c>
      <c r="H26" t="s">
        <v>2</v>
      </c>
      <c r="I26">
        <v>2</v>
      </c>
      <c r="J26">
        <v>822</v>
      </c>
      <c r="K26">
        <v>822</v>
      </c>
      <c r="L26">
        <v>0</v>
      </c>
      <c r="M26">
        <v>0</v>
      </c>
      <c r="N26" s="4">
        <f t="shared" si="0"/>
        <v>3.9604688212819372E-2</v>
      </c>
      <c r="P26">
        <v>2</v>
      </c>
      <c r="Q26">
        <v>0</v>
      </c>
      <c r="R26">
        <v>0</v>
      </c>
      <c r="T26" t="s">
        <v>24</v>
      </c>
    </row>
    <row r="27" spans="1:22">
      <c r="A27">
        <v>25</v>
      </c>
      <c r="B27">
        <v>878.1119384765625</v>
      </c>
      <c r="C27" t="s">
        <v>339</v>
      </c>
      <c r="D27">
        <v>3.7533278465271001</v>
      </c>
      <c r="E27" t="s">
        <v>15</v>
      </c>
      <c r="F27" t="s">
        <v>338</v>
      </c>
      <c r="G27" t="s">
        <v>25</v>
      </c>
      <c r="H27" t="s">
        <v>2</v>
      </c>
      <c r="I27">
        <v>2</v>
      </c>
      <c r="J27">
        <v>831</v>
      </c>
      <c r="K27">
        <v>831</v>
      </c>
      <c r="L27">
        <v>0</v>
      </c>
      <c r="M27">
        <v>0</v>
      </c>
      <c r="N27" s="4">
        <f t="shared" si="0"/>
        <v>5.6693066758799704E-2</v>
      </c>
      <c r="P27">
        <v>2</v>
      </c>
      <c r="Q27">
        <v>0</v>
      </c>
      <c r="R27">
        <v>0</v>
      </c>
      <c r="T27" t="s">
        <v>25</v>
      </c>
    </row>
    <row r="28" spans="1:22">
      <c r="A28">
        <v>26</v>
      </c>
      <c r="B28">
        <v>839.70086669921875</v>
      </c>
      <c r="C28" t="s">
        <v>340</v>
      </c>
      <c r="D28">
        <v>3.0453658103942871</v>
      </c>
      <c r="E28" t="s">
        <v>15</v>
      </c>
      <c r="F28" t="s">
        <v>338</v>
      </c>
      <c r="G28" t="s">
        <v>24</v>
      </c>
      <c r="H28" t="s">
        <v>3</v>
      </c>
      <c r="I28">
        <v>2</v>
      </c>
      <c r="J28">
        <v>822</v>
      </c>
      <c r="K28">
        <v>0</v>
      </c>
      <c r="L28">
        <v>0</v>
      </c>
      <c r="M28">
        <v>822</v>
      </c>
      <c r="N28" s="4">
        <f t="shared" si="0"/>
        <v>2.1533901093940155E-2</v>
      </c>
      <c r="P28">
        <v>0</v>
      </c>
      <c r="Q28">
        <v>0</v>
      </c>
      <c r="R28">
        <v>2</v>
      </c>
      <c r="V28" t="s">
        <v>24</v>
      </c>
    </row>
    <row r="29" spans="1:22">
      <c r="A29">
        <v>27</v>
      </c>
      <c r="B29">
        <v>836.56390380859375</v>
      </c>
      <c r="C29" t="s">
        <v>341</v>
      </c>
      <c r="D29">
        <v>3.0453658103942871</v>
      </c>
      <c r="E29" t="s">
        <v>15</v>
      </c>
      <c r="F29" t="s">
        <v>338</v>
      </c>
      <c r="G29" t="s">
        <v>25</v>
      </c>
      <c r="H29" t="s">
        <v>3</v>
      </c>
      <c r="I29">
        <v>2</v>
      </c>
      <c r="J29">
        <v>831</v>
      </c>
      <c r="K29">
        <v>0</v>
      </c>
      <c r="L29">
        <v>0</v>
      </c>
      <c r="M29">
        <v>831</v>
      </c>
      <c r="N29" s="4">
        <f t="shared" si="0"/>
        <v>6.6954317792944362E-3</v>
      </c>
      <c r="P29">
        <v>0</v>
      </c>
      <c r="Q29">
        <v>0</v>
      </c>
      <c r="R29">
        <v>2</v>
      </c>
      <c r="V29" t="s">
        <v>25</v>
      </c>
    </row>
    <row r="30" spans="1:22">
      <c r="A30">
        <v>28</v>
      </c>
      <c r="B30">
        <v>833.415283203125</v>
      </c>
      <c r="C30" t="s">
        <v>342</v>
      </c>
      <c r="D30">
        <v>0.19466853141784671</v>
      </c>
      <c r="E30" t="s">
        <v>15</v>
      </c>
      <c r="F30" t="s">
        <v>338</v>
      </c>
      <c r="G30" t="s">
        <v>24</v>
      </c>
      <c r="H30" t="s">
        <v>4</v>
      </c>
      <c r="I30">
        <v>2</v>
      </c>
      <c r="J30">
        <v>822</v>
      </c>
      <c r="K30">
        <v>0</v>
      </c>
      <c r="L30">
        <v>822</v>
      </c>
      <c r="M30">
        <v>0</v>
      </c>
      <c r="N30" s="4">
        <f t="shared" si="0"/>
        <v>1.3887205843217787E-2</v>
      </c>
      <c r="P30">
        <v>0</v>
      </c>
      <c r="Q30">
        <v>2</v>
      </c>
      <c r="R30">
        <v>0</v>
      </c>
      <c r="U30" t="s">
        <v>24</v>
      </c>
    </row>
    <row r="31" spans="1:22">
      <c r="A31">
        <v>29</v>
      </c>
      <c r="B31">
        <v>835.282958984375</v>
      </c>
      <c r="C31" t="s">
        <v>343</v>
      </c>
      <c r="D31">
        <v>0.19466853141784671</v>
      </c>
      <c r="E31" t="s">
        <v>15</v>
      </c>
      <c r="F31" t="s">
        <v>338</v>
      </c>
      <c r="G31" t="s">
        <v>25</v>
      </c>
      <c r="H31" t="s">
        <v>4</v>
      </c>
      <c r="I31">
        <v>2</v>
      </c>
      <c r="J31">
        <v>831</v>
      </c>
      <c r="K31">
        <v>0</v>
      </c>
      <c r="L31">
        <v>831</v>
      </c>
      <c r="M31">
        <v>0</v>
      </c>
      <c r="N31" s="4">
        <f t="shared" si="0"/>
        <v>5.1539819306558599E-3</v>
      </c>
      <c r="P31">
        <v>0</v>
      </c>
      <c r="Q31">
        <v>2</v>
      </c>
      <c r="R31">
        <v>0</v>
      </c>
      <c r="U31" t="s">
        <v>25</v>
      </c>
    </row>
    <row r="32" spans="1:22">
      <c r="A32">
        <v>30</v>
      </c>
      <c r="B32">
        <v>966.24603271484375</v>
      </c>
      <c r="C32" t="s">
        <v>344</v>
      </c>
      <c r="D32">
        <v>3.6464450359344478</v>
      </c>
      <c r="E32" t="s">
        <v>15</v>
      </c>
      <c r="F32" t="s">
        <v>345</v>
      </c>
      <c r="G32" t="s">
        <v>26</v>
      </c>
      <c r="H32" t="s">
        <v>2</v>
      </c>
      <c r="I32">
        <v>1</v>
      </c>
      <c r="J32">
        <v>937</v>
      </c>
      <c r="K32">
        <v>937</v>
      </c>
      <c r="L32">
        <v>0</v>
      </c>
      <c r="M32">
        <v>0</v>
      </c>
      <c r="N32" s="4">
        <f t="shared" si="0"/>
        <v>3.1212414850420256E-2</v>
      </c>
      <c r="P32">
        <v>1</v>
      </c>
      <c r="Q32">
        <v>0</v>
      </c>
      <c r="R32">
        <v>0</v>
      </c>
      <c r="T32" t="s">
        <v>26</v>
      </c>
    </row>
    <row r="33" spans="1:22">
      <c r="A33">
        <v>31</v>
      </c>
      <c r="B33">
        <v>959.2703857421875</v>
      </c>
      <c r="C33" t="s">
        <v>346</v>
      </c>
      <c r="D33">
        <v>2.453539133071899</v>
      </c>
      <c r="E33" t="s">
        <v>15</v>
      </c>
      <c r="F33" t="s">
        <v>345</v>
      </c>
      <c r="G33" t="s">
        <v>26</v>
      </c>
      <c r="H33" t="s">
        <v>3</v>
      </c>
      <c r="I33">
        <v>1</v>
      </c>
      <c r="J33">
        <v>937</v>
      </c>
      <c r="K33">
        <v>0</v>
      </c>
      <c r="L33">
        <v>0</v>
      </c>
      <c r="M33">
        <v>937</v>
      </c>
      <c r="N33" s="4">
        <f t="shared" si="0"/>
        <v>2.3767754260605622E-2</v>
      </c>
      <c r="P33">
        <v>0</v>
      </c>
      <c r="Q33">
        <v>0</v>
      </c>
      <c r="R33">
        <v>1</v>
      </c>
      <c r="V33" t="s">
        <v>26</v>
      </c>
    </row>
    <row r="34" spans="1:22">
      <c r="A34">
        <v>32</v>
      </c>
      <c r="B34">
        <v>956.1190185546875</v>
      </c>
      <c r="C34" t="s">
        <v>347</v>
      </c>
      <c r="D34">
        <v>4.325840950012207</v>
      </c>
      <c r="E34" t="s">
        <v>15</v>
      </c>
      <c r="F34" t="s">
        <v>345</v>
      </c>
      <c r="G34" t="s">
        <v>26</v>
      </c>
      <c r="H34" t="s">
        <v>4</v>
      </c>
      <c r="I34">
        <v>1</v>
      </c>
      <c r="J34">
        <v>937</v>
      </c>
      <c r="K34">
        <v>0</v>
      </c>
      <c r="L34">
        <v>937</v>
      </c>
      <c r="M34">
        <v>0</v>
      </c>
      <c r="N34" s="4">
        <f t="shared" si="0"/>
        <v>2.0404502192836071E-2</v>
      </c>
      <c r="P34">
        <v>0</v>
      </c>
      <c r="Q34">
        <v>1</v>
      </c>
      <c r="R34">
        <v>0</v>
      </c>
      <c r="U34" t="s">
        <v>26</v>
      </c>
    </row>
    <row r="35" spans="1:22">
      <c r="A35">
        <v>33</v>
      </c>
      <c r="B35">
        <v>994.2628173828125</v>
      </c>
      <c r="C35" t="s">
        <v>348</v>
      </c>
      <c r="D35">
        <v>3.7981927394866939</v>
      </c>
      <c r="E35" t="s">
        <v>15</v>
      </c>
      <c r="F35" t="s">
        <v>349</v>
      </c>
      <c r="G35" t="s">
        <v>27</v>
      </c>
      <c r="H35" t="s">
        <v>2</v>
      </c>
      <c r="I35">
        <v>2</v>
      </c>
      <c r="J35">
        <v>944</v>
      </c>
      <c r="K35">
        <v>944</v>
      </c>
      <c r="L35">
        <v>0</v>
      </c>
      <c r="M35">
        <v>0</v>
      </c>
      <c r="N35" s="4">
        <f t="shared" si="0"/>
        <v>5.3244509939420093E-2</v>
      </c>
      <c r="P35">
        <v>2</v>
      </c>
      <c r="Q35">
        <v>0</v>
      </c>
      <c r="R35">
        <v>0</v>
      </c>
      <c r="T35" t="s">
        <v>27</v>
      </c>
    </row>
    <row r="36" spans="1:22">
      <c r="A36">
        <v>34</v>
      </c>
      <c r="B36">
        <v>1182.26025390625</v>
      </c>
      <c r="C36" t="s">
        <v>350</v>
      </c>
      <c r="D36">
        <v>3.7981927394866939</v>
      </c>
      <c r="E36" t="s">
        <v>15</v>
      </c>
      <c r="F36" t="s">
        <v>349</v>
      </c>
      <c r="G36" t="s">
        <v>28</v>
      </c>
      <c r="H36" t="s">
        <v>2</v>
      </c>
      <c r="I36">
        <v>2</v>
      </c>
      <c r="J36">
        <v>1146</v>
      </c>
      <c r="K36">
        <v>1146</v>
      </c>
      <c r="L36">
        <v>0</v>
      </c>
      <c r="M36">
        <v>0</v>
      </c>
      <c r="N36" s="4">
        <f t="shared" si="0"/>
        <v>3.164071021487791E-2</v>
      </c>
      <c r="P36">
        <v>2</v>
      </c>
      <c r="Q36">
        <v>0</v>
      </c>
      <c r="R36">
        <v>0</v>
      </c>
      <c r="T36" t="s">
        <v>28</v>
      </c>
    </row>
    <row r="37" spans="1:22">
      <c r="A37">
        <v>35</v>
      </c>
      <c r="B37">
        <v>992.28863525390625</v>
      </c>
      <c r="C37" t="s">
        <v>351</v>
      </c>
      <c r="D37">
        <v>2.6176249980926509</v>
      </c>
      <c r="E37" t="s">
        <v>15</v>
      </c>
      <c r="F37" t="s">
        <v>349</v>
      </c>
      <c r="G37" t="s">
        <v>27</v>
      </c>
      <c r="H37" t="s">
        <v>3</v>
      </c>
      <c r="I37">
        <v>2</v>
      </c>
      <c r="J37">
        <v>944</v>
      </c>
      <c r="K37">
        <v>0</v>
      </c>
      <c r="L37">
        <v>0</v>
      </c>
      <c r="M37">
        <v>944</v>
      </c>
      <c r="N37" s="4">
        <f t="shared" si="0"/>
        <v>5.1153215311341427E-2</v>
      </c>
      <c r="P37">
        <v>0</v>
      </c>
      <c r="Q37">
        <v>0</v>
      </c>
      <c r="R37">
        <v>2</v>
      </c>
      <c r="V37" t="s">
        <v>27</v>
      </c>
    </row>
    <row r="38" spans="1:22">
      <c r="A38">
        <v>36</v>
      </c>
      <c r="B38">
        <v>1179.936645507812</v>
      </c>
      <c r="C38" t="s">
        <v>352</v>
      </c>
      <c r="D38">
        <v>2.6176249980926509</v>
      </c>
      <c r="E38" t="s">
        <v>15</v>
      </c>
      <c r="F38" t="s">
        <v>349</v>
      </c>
      <c r="G38" t="s">
        <v>28</v>
      </c>
      <c r="H38" t="s">
        <v>3</v>
      </c>
      <c r="I38">
        <v>2</v>
      </c>
      <c r="J38">
        <v>1146</v>
      </c>
      <c r="K38">
        <v>0</v>
      </c>
      <c r="L38">
        <v>0</v>
      </c>
      <c r="M38">
        <v>1146</v>
      </c>
      <c r="N38" s="4">
        <f t="shared" si="0"/>
        <v>2.9613128715368253E-2</v>
      </c>
      <c r="P38">
        <v>0</v>
      </c>
      <c r="Q38">
        <v>0</v>
      </c>
      <c r="R38">
        <v>2</v>
      </c>
      <c r="V38" t="s">
        <v>28</v>
      </c>
    </row>
    <row r="39" spans="1:22">
      <c r="A39">
        <v>37</v>
      </c>
      <c r="B39">
        <v>991.62860107421875</v>
      </c>
      <c r="C39" t="s">
        <v>353</v>
      </c>
      <c r="D39">
        <v>4.8942861557006836</v>
      </c>
      <c r="E39" t="s">
        <v>15</v>
      </c>
      <c r="F39" t="s">
        <v>349</v>
      </c>
      <c r="G39" t="s">
        <v>27</v>
      </c>
      <c r="H39" t="s">
        <v>4</v>
      </c>
      <c r="I39">
        <v>2</v>
      </c>
      <c r="J39">
        <v>944</v>
      </c>
      <c r="K39">
        <v>0</v>
      </c>
      <c r="L39">
        <v>944</v>
      </c>
      <c r="M39">
        <v>0</v>
      </c>
      <c r="N39" s="4">
        <f t="shared" si="0"/>
        <v>5.0454026561672416E-2</v>
      </c>
      <c r="P39">
        <v>0</v>
      </c>
      <c r="Q39">
        <v>2</v>
      </c>
      <c r="R39">
        <v>0</v>
      </c>
      <c r="U39" t="s">
        <v>27</v>
      </c>
    </row>
    <row r="40" spans="1:22">
      <c r="A40">
        <v>38</v>
      </c>
      <c r="B40">
        <v>1159.505493164062</v>
      </c>
      <c r="C40" t="s">
        <v>354</v>
      </c>
      <c r="D40">
        <v>4.8942861557006836</v>
      </c>
      <c r="E40" t="s">
        <v>15</v>
      </c>
      <c r="F40" t="s">
        <v>349</v>
      </c>
      <c r="G40" t="s">
        <v>28</v>
      </c>
      <c r="H40" t="s">
        <v>4</v>
      </c>
      <c r="I40">
        <v>2</v>
      </c>
      <c r="J40">
        <v>1146</v>
      </c>
      <c r="K40">
        <v>0</v>
      </c>
      <c r="L40">
        <v>1146</v>
      </c>
      <c r="M40">
        <v>0</v>
      </c>
      <c r="N40" s="4">
        <f t="shared" si="0"/>
        <v>1.178489804891969E-2</v>
      </c>
      <c r="P40">
        <v>0</v>
      </c>
      <c r="Q40">
        <v>2</v>
      </c>
      <c r="R40">
        <v>0</v>
      </c>
      <c r="U40" t="s">
        <v>28</v>
      </c>
    </row>
    <row r="41" spans="1:22">
      <c r="A41">
        <v>39</v>
      </c>
      <c r="B41">
        <v>988.17242431640625</v>
      </c>
      <c r="C41" t="s">
        <v>355</v>
      </c>
      <c r="D41">
        <v>3.7958471775054932</v>
      </c>
      <c r="E41" t="s">
        <v>15</v>
      </c>
      <c r="F41" t="s">
        <v>356</v>
      </c>
      <c r="G41" t="s">
        <v>29</v>
      </c>
      <c r="H41" t="s">
        <v>2</v>
      </c>
      <c r="I41">
        <v>1</v>
      </c>
      <c r="J41">
        <v>914</v>
      </c>
      <c r="K41">
        <v>914</v>
      </c>
      <c r="L41">
        <v>0</v>
      </c>
      <c r="M41">
        <v>0</v>
      </c>
      <c r="N41" s="4">
        <f t="shared" si="0"/>
        <v>8.1151448923858061E-2</v>
      </c>
      <c r="P41">
        <v>1</v>
      </c>
      <c r="Q41">
        <v>0</v>
      </c>
      <c r="R41">
        <v>0</v>
      </c>
      <c r="T41" t="s">
        <v>29</v>
      </c>
    </row>
    <row r="42" spans="1:22">
      <c r="A42">
        <v>40</v>
      </c>
      <c r="B42">
        <v>927.62164306640625</v>
      </c>
      <c r="C42" t="s">
        <v>357</v>
      </c>
      <c r="D42">
        <v>3.9908440113067631</v>
      </c>
      <c r="E42" t="s">
        <v>15</v>
      </c>
      <c r="F42" t="s">
        <v>356</v>
      </c>
      <c r="G42" t="s">
        <v>29</v>
      </c>
      <c r="H42" t="s">
        <v>3</v>
      </c>
      <c r="I42">
        <v>1</v>
      </c>
      <c r="J42">
        <v>914</v>
      </c>
      <c r="K42">
        <v>0</v>
      </c>
      <c r="L42">
        <v>0</v>
      </c>
      <c r="M42">
        <v>914</v>
      </c>
      <c r="N42" s="4">
        <f t="shared" si="0"/>
        <v>1.4903329394317488E-2</v>
      </c>
      <c r="P42">
        <v>0</v>
      </c>
      <c r="Q42">
        <v>0</v>
      </c>
      <c r="R42">
        <v>1</v>
      </c>
      <c r="V42" t="s">
        <v>29</v>
      </c>
    </row>
    <row r="43" spans="1:22">
      <c r="A43">
        <v>41</v>
      </c>
      <c r="B43">
        <v>924.70831298828125</v>
      </c>
      <c r="C43" t="s">
        <v>358</v>
      </c>
      <c r="D43">
        <v>5.3477339744567871</v>
      </c>
      <c r="E43" t="s">
        <v>15</v>
      </c>
      <c r="F43" t="s">
        <v>356</v>
      </c>
      <c r="G43" t="s">
        <v>29</v>
      </c>
      <c r="H43" t="s">
        <v>4</v>
      </c>
      <c r="I43">
        <v>1</v>
      </c>
      <c r="J43">
        <v>914</v>
      </c>
      <c r="K43">
        <v>0</v>
      </c>
      <c r="L43">
        <v>914</v>
      </c>
      <c r="M43">
        <v>0</v>
      </c>
      <c r="N43" s="4">
        <f t="shared" si="0"/>
        <v>1.1715878542977398E-2</v>
      </c>
      <c r="P43">
        <v>0</v>
      </c>
      <c r="Q43">
        <v>1</v>
      </c>
      <c r="R43">
        <v>0</v>
      </c>
      <c r="U43" t="s">
        <v>29</v>
      </c>
    </row>
    <row r="44" spans="1:22">
      <c r="A44">
        <v>42</v>
      </c>
      <c r="B44">
        <v>1082.0380859375</v>
      </c>
      <c r="C44" t="s">
        <v>359</v>
      </c>
      <c r="D44">
        <v>3.7709934711456299</v>
      </c>
      <c r="E44" t="s">
        <v>15</v>
      </c>
      <c r="F44" t="s">
        <v>360</v>
      </c>
      <c r="G44" t="s">
        <v>30</v>
      </c>
      <c r="H44" t="s">
        <v>2</v>
      </c>
      <c r="I44">
        <v>1</v>
      </c>
      <c r="J44">
        <v>1073</v>
      </c>
      <c r="K44">
        <v>1073</v>
      </c>
      <c r="L44">
        <v>0</v>
      </c>
      <c r="M44">
        <v>0</v>
      </c>
      <c r="N44" s="4">
        <f t="shared" si="0"/>
        <v>8.4231928588069938E-3</v>
      </c>
      <c r="P44">
        <v>1</v>
      </c>
      <c r="Q44">
        <v>0</v>
      </c>
      <c r="R44">
        <v>0</v>
      </c>
      <c r="T44" t="s">
        <v>30</v>
      </c>
    </row>
    <row r="45" spans="1:22">
      <c r="A45">
        <v>43</v>
      </c>
      <c r="B45">
        <v>1109.669311523438</v>
      </c>
      <c r="C45" t="s">
        <v>361</v>
      </c>
      <c r="D45">
        <v>3.5602278709411621</v>
      </c>
      <c r="E45" t="s">
        <v>15</v>
      </c>
      <c r="F45" t="s">
        <v>360</v>
      </c>
      <c r="G45" t="s">
        <v>30</v>
      </c>
      <c r="H45" t="s">
        <v>3</v>
      </c>
      <c r="I45">
        <v>1</v>
      </c>
      <c r="J45">
        <v>1073</v>
      </c>
      <c r="K45">
        <v>0</v>
      </c>
      <c r="L45">
        <v>0</v>
      </c>
      <c r="M45">
        <v>1073</v>
      </c>
      <c r="N45" s="4">
        <f t="shared" si="0"/>
        <v>3.4174568055394206E-2</v>
      </c>
      <c r="P45">
        <v>0</v>
      </c>
      <c r="Q45">
        <v>0</v>
      </c>
      <c r="R45">
        <v>1</v>
      </c>
      <c r="V45" t="s">
        <v>30</v>
      </c>
    </row>
    <row r="46" spans="1:22">
      <c r="A46">
        <v>44</v>
      </c>
      <c r="B46">
        <v>1103.542114257812</v>
      </c>
      <c r="C46" t="s">
        <v>362</v>
      </c>
      <c r="D46">
        <v>3.5708775520324711</v>
      </c>
      <c r="E46" t="s">
        <v>15</v>
      </c>
      <c r="F46" t="s">
        <v>360</v>
      </c>
      <c r="G46" t="s">
        <v>30</v>
      </c>
      <c r="H46" t="s">
        <v>4</v>
      </c>
      <c r="I46">
        <v>1</v>
      </c>
      <c r="J46">
        <v>1073</v>
      </c>
      <c r="K46">
        <v>0</v>
      </c>
      <c r="L46">
        <v>1073</v>
      </c>
      <c r="M46">
        <v>0</v>
      </c>
      <c r="N46" s="4">
        <f t="shared" si="0"/>
        <v>2.8464225776152929E-2</v>
      </c>
      <c r="P46">
        <v>0</v>
      </c>
      <c r="Q46">
        <v>1</v>
      </c>
      <c r="R46">
        <v>0</v>
      </c>
      <c r="U46" t="s">
        <v>30</v>
      </c>
    </row>
    <row r="47" spans="1:22">
      <c r="A47">
        <v>45</v>
      </c>
      <c r="B47">
        <v>1076.16455078125</v>
      </c>
      <c r="C47" t="s">
        <v>363</v>
      </c>
      <c r="D47">
        <v>3.944493293762207</v>
      </c>
      <c r="E47" t="s">
        <v>15</v>
      </c>
      <c r="F47" t="s">
        <v>364</v>
      </c>
      <c r="G47" t="s">
        <v>31</v>
      </c>
      <c r="H47" t="s">
        <v>2</v>
      </c>
      <c r="I47">
        <v>1</v>
      </c>
      <c r="J47">
        <v>1010</v>
      </c>
      <c r="K47">
        <v>1010</v>
      </c>
      <c r="L47">
        <v>0</v>
      </c>
      <c r="M47">
        <v>0</v>
      </c>
      <c r="N47" s="4">
        <f t="shared" si="0"/>
        <v>6.5509456219059459E-2</v>
      </c>
      <c r="P47">
        <v>1</v>
      </c>
      <c r="Q47">
        <v>0</v>
      </c>
      <c r="R47">
        <v>0</v>
      </c>
      <c r="T47" t="s">
        <v>31</v>
      </c>
    </row>
    <row r="48" spans="1:22">
      <c r="A48">
        <v>46</v>
      </c>
      <c r="B48">
        <v>1023.731262207031</v>
      </c>
      <c r="C48" t="s">
        <v>365</v>
      </c>
      <c r="D48">
        <v>3.8916928768157959</v>
      </c>
      <c r="E48" t="s">
        <v>15</v>
      </c>
      <c r="F48" t="s">
        <v>364</v>
      </c>
      <c r="G48" t="s">
        <v>31</v>
      </c>
      <c r="H48" t="s">
        <v>3</v>
      </c>
      <c r="I48">
        <v>1</v>
      </c>
      <c r="J48">
        <v>1010</v>
      </c>
      <c r="K48">
        <v>0</v>
      </c>
      <c r="L48">
        <v>0</v>
      </c>
      <c r="M48">
        <v>1010</v>
      </c>
      <c r="N48" s="4">
        <f t="shared" si="0"/>
        <v>1.3595309115872256E-2</v>
      </c>
      <c r="P48">
        <v>0</v>
      </c>
      <c r="Q48">
        <v>0</v>
      </c>
      <c r="R48">
        <v>1</v>
      </c>
      <c r="V48" t="s">
        <v>31</v>
      </c>
    </row>
    <row r="49" spans="1:22">
      <c r="A49">
        <v>47</v>
      </c>
      <c r="B49">
        <v>1091.898193359375</v>
      </c>
      <c r="C49" t="s">
        <v>366</v>
      </c>
      <c r="D49">
        <v>3.5289092063903809</v>
      </c>
      <c r="E49" t="s">
        <v>15</v>
      </c>
      <c r="F49" t="s">
        <v>364</v>
      </c>
      <c r="G49" t="s">
        <v>31</v>
      </c>
      <c r="H49" t="s">
        <v>4</v>
      </c>
      <c r="I49">
        <v>1</v>
      </c>
      <c r="J49">
        <v>1010</v>
      </c>
      <c r="K49">
        <v>0</v>
      </c>
      <c r="L49">
        <v>1010</v>
      </c>
      <c r="M49">
        <v>0</v>
      </c>
      <c r="N49" s="4">
        <f t="shared" si="0"/>
        <v>8.1087320157797071E-2</v>
      </c>
      <c r="P49">
        <v>0</v>
      </c>
      <c r="Q49">
        <v>1</v>
      </c>
      <c r="R49">
        <v>0</v>
      </c>
      <c r="U49" t="s">
        <v>31</v>
      </c>
    </row>
    <row r="50" spans="1:22">
      <c r="A50">
        <v>48</v>
      </c>
      <c r="B50">
        <v>1191.337036132812</v>
      </c>
      <c r="C50" t="s">
        <v>367</v>
      </c>
      <c r="D50">
        <v>3.8616569042205811</v>
      </c>
      <c r="E50" t="s">
        <v>15</v>
      </c>
      <c r="F50" t="s">
        <v>368</v>
      </c>
      <c r="G50" t="s">
        <v>32</v>
      </c>
      <c r="H50" t="s">
        <v>2</v>
      </c>
      <c r="I50">
        <v>1</v>
      </c>
      <c r="J50">
        <v>1167</v>
      </c>
      <c r="K50">
        <v>1167</v>
      </c>
      <c r="L50">
        <v>0</v>
      </c>
      <c r="M50">
        <v>0</v>
      </c>
      <c r="N50" s="4">
        <f t="shared" si="0"/>
        <v>2.0854358297182518E-2</v>
      </c>
      <c r="P50">
        <v>1</v>
      </c>
      <c r="Q50">
        <v>0</v>
      </c>
      <c r="R50">
        <v>0</v>
      </c>
      <c r="T50" t="s">
        <v>32</v>
      </c>
    </row>
    <row r="51" spans="1:22">
      <c r="A51">
        <v>49</v>
      </c>
      <c r="B51">
        <v>1219.542724609375</v>
      </c>
      <c r="C51" t="s">
        <v>369</v>
      </c>
      <c r="D51">
        <v>3.784945964813232</v>
      </c>
      <c r="E51" t="s">
        <v>15</v>
      </c>
      <c r="F51" t="s">
        <v>368</v>
      </c>
      <c r="G51" t="s">
        <v>32</v>
      </c>
      <c r="H51" t="s">
        <v>3</v>
      </c>
      <c r="I51">
        <v>1</v>
      </c>
      <c r="J51">
        <v>1167</v>
      </c>
      <c r="K51">
        <v>0</v>
      </c>
      <c r="L51">
        <v>0</v>
      </c>
      <c r="M51">
        <v>1167</v>
      </c>
      <c r="N51" s="4">
        <f t="shared" si="0"/>
        <v>4.5023757163132005E-2</v>
      </c>
      <c r="P51">
        <v>0</v>
      </c>
      <c r="Q51">
        <v>0</v>
      </c>
      <c r="R51">
        <v>1</v>
      </c>
      <c r="V51" t="s">
        <v>32</v>
      </c>
    </row>
    <row r="52" spans="1:22">
      <c r="A52">
        <v>50</v>
      </c>
      <c r="B52">
        <v>1173.316650390625</v>
      </c>
      <c r="C52" t="s">
        <v>370</v>
      </c>
      <c r="D52">
        <v>3.562185525894165</v>
      </c>
      <c r="E52" t="s">
        <v>15</v>
      </c>
      <c r="F52" t="s">
        <v>368</v>
      </c>
      <c r="G52" t="s">
        <v>32</v>
      </c>
      <c r="H52" t="s">
        <v>4</v>
      </c>
      <c r="I52">
        <v>1</v>
      </c>
      <c r="J52">
        <v>1167</v>
      </c>
      <c r="K52">
        <v>0</v>
      </c>
      <c r="L52">
        <v>1167</v>
      </c>
      <c r="M52">
        <v>0</v>
      </c>
      <c r="N52" s="4">
        <f t="shared" si="0"/>
        <v>5.4127252704583295E-3</v>
      </c>
      <c r="P52">
        <v>0</v>
      </c>
      <c r="Q52">
        <v>1</v>
      </c>
      <c r="R52">
        <v>0</v>
      </c>
      <c r="U52" t="s">
        <v>32</v>
      </c>
    </row>
    <row r="53" spans="1:22">
      <c r="A53">
        <v>51</v>
      </c>
      <c r="B53">
        <v>1145.215942382812</v>
      </c>
      <c r="C53" t="s">
        <v>371</v>
      </c>
      <c r="D53">
        <v>3.9414515495300289</v>
      </c>
      <c r="E53" t="s">
        <v>15</v>
      </c>
      <c r="F53" t="s">
        <v>372</v>
      </c>
      <c r="G53" t="s">
        <v>33</v>
      </c>
      <c r="H53" t="s">
        <v>2</v>
      </c>
      <c r="I53">
        <v>1</v>
      </c>
      <c r="J53">
        <v>1073</v>
      </c>
      <c r="K53">
        <v>1073</v>
      </c>
      <c r="L53">
        <v>0</v>
      </c>
      <c r="M53">
        <v>0</v>
      </c>
      <c r="N53" s="4">
        <f t="shared" si="0"/>
        <v>6.7302835398706407E-2</v>
      </c>
      <c r="P53">
        <v>1</v>
      </c>
      <c r="Q53">
        <v>0</v>
      </c>
      <c r="R53">
        <v>0</v>
      </c>
      <c r="T53" t="s">
        <v>33</v>
      </c>
    </row>
    <row r="54" spans="1:22">
      <c r="A54">
        <v>52</v>
      </c>
      <c r="B54">
        <v>1146.597900390625</v>
      </c>
      <c r="C54" t="s">
        <v>373</v>
      </c>
      <c r="D54">
        <v>4.8907830715179443</v>
      </c>
      <c r="E54" t="s">
        <v>15</v>
      </c>
      <c r="F54" t="s">
        <v>372</v>
      </c>
      <c r="G54" t="s">
        <v>33</v>
      </c>
      <c r="H54" t="s">
        <v>3</v>
      </c>
      <c r="I54">
        <v>1</v>
      </c>
      <c r="J54">
        <v>1073</v>
      </c>
      <c r="K54">
        <v>0</v>
      </c>
      <c r="L54">
        <v>0</v>
      </c>
      <c r="M54">
        <v>1073</v>
      </c>
      <c r="N54" s="4">
        <f t="shared" si="0"/>
        <v>6.8590773896202162E-2</v>
      </c>
      <c r="P54">
        <v>0</v>
      </c>
      <c r="Q54">
        <v>0</v>
      </c>
      <c r="R54">
        <v>1</v>
      </c>
      <c r="V54" t="s">
        <v>33</v>
      </c>
    </row>
    <row r="55" spans="1:22">
      <c r="A55">
        <v>53</v>
      </c>
      <c r="B55">
        <v>1092.651489257812</v>
      </c>
      <c r="C55" t="s">
        <v>374</v>
      </c>
      <c r="D55">
        <v>3.595403909683228</v>
      </c>
      <c r="E55" t="s">
        <v>15</v>
      </c>
      <c r="F55" t="s">
        <v>372</v>
      </c>
      <c r="G55" t="s">
        <v>33</v>
      </c>
      <c r="H55" t="s">
        <v>4</v>
      </c>
      <c r="I55">
        <v>1</v>
      </c>
      <c r="J55">
        <v>1073</v>
      </c>
      <c r="K55">
        <v>0</v>
      </c>
      <c r="L55">
        <v>1073</v>
      </c>
      <c r="M55">
        <v>0</v>
      </c>
      <c r="N55" s="4">
        <f t="shared" si="0"/>
        <v>1.8314528665248853E-2</v>
      </c>
      <c r="P55">
        <v>0</v>
      </c>
      <c r="Q55">
        <v>1</v>
      </c>
      <c r="R55">
        <v>0</v>
      </c>
      <c r="U55" t="s">
        <v>33</v>
      </c>
    </row>
    <row r="56" spans="1:22">
      <c r="A56">
        <v>54</v>
      </c>
      <c r="B56">
        <v>1379.546875</v>
      </c>
      <c r="C56" t="s">
        <v>375</v>
      </c>
      <c r="D56">
        <v>3.9028751850128169</v>
      </c>
      <c r="E56" t="s">
        <v>15</v>
      </c>
      <c r="F56" t="s">
        <v>376</v>
      </c>
      <c r="G56" t="s">
        <v>34</v>
      </c>
      <c r="H56" t="s">
        <v>2</v>
      </c>
      <c r="I56">
        <v>1</v>
      </c>
      <c r="J56">
        <v>1354</v>
      </c>
      <c r="K56">
        <v>1354</v>
      </c>
      <c r="L56">
        <v>0</v>
      </c>
      <c r="M56">
        <v>0</v>
      </c>
      <c r="N56" s="4">
        <f t="shared" si="0"/>
        <v>1.8867706794682526E-2</v>
      </c>
      <c r="P56">
        <v>1</v>
      </c>
      <c r="Q56">
        <v>0</v>
      </c>
      <c r="R56">
        <v>0</v>
      </c>
      <c r="T56" t="s">
        <v>34</v>
      </c>
    </row>
    <row r="57" spans="1:22">
      <c r="A57">
        <v>55</v>
      </c>
      <c r="B57">
        <v>1410.30859375</v>
      </c>
      <c r="C57" t="s">
        <v>377</v>
      </c>
      <c r="D57">
        <v>3.8256223201751709</v>
      </c>
      <c r="E57" t="s">
        <v>15</v>
      </c>
      <c r="F57" t="s">
        <v>376</v>
      </c>
      <c r="G57" t="s">
        <v>34</v>
      </c>
      <c r="H57" t="s">
        <v>3</v>
      </c>
      <c r="I57">
        <v>1</v>
      </c>
      <c r="J57">
        <v>1354</v>
      </c>
      <c r="K57">
        <v>0</v>
      </c>
      <c r="L57">
        <v>0</v>
      </c>
      <c r="M57">
        <v>1354</v>
      </c>
      <c r="N57" s="4">
        <f t="shared" si="0"/>
        <v>4.1586849150664795E-2</v>
      </c>
      <c r="P57">
        <v>0</v>
      </c>
      <c r="Q57">
        <v>0</v>
      </c>
      <c r="R57">
        <v>1</v>
      </c>
      <c r="V57" t="s">
        <v>34</v>
      </c>
    </row>
    <row r="58" spans="1:22">
      <c r="A58">
        <v>56</v>
      </c>
      <c r="B58">
        <v>1385.635986328125</v>
      </c>
      <c r="C58" t="s">
        <v>378</v>
      </c>
      <c r="D58">
        <v>3.4479377269744869</v>
      </c>
      <c r="E58" t="s">
        <v>15</v>
      </c>
      <c r="F58" t="s">
        <v>376</v>
      </c>
      <c r="G58" t="s">
        <v>34</v>
      </c>
      <c r="H58" t="s">
        <v>4</v>
      </c>
      <c r="I58">
        <v>1</v>
      </c>
      <c r="J58">
        <v>1354</v>
      </c>
      <c r="K58">
        <v>0</v>
      </c>
      <c r="L58">
        <v>1354</v>
      </c>
      <c r="M58">
        <v>0</v>
      </c>
      <c r="N58" s="4">
        <f t="shared" si="0"/>
        <v>2.3364834806591572E-2</v>
      </c>
      <c r="P58">
        <v>0</v>
      </c>
      <c r="Q58">
        <v>1</v>
      </c>
      <c r="R58">
        <v>0</v>
      </c>
      <c r="U58" t="s">
        <v>34</v>
      </c>
    </row>
    <row r="59" spans="1:22">
      <c r="A59">
        <v>57</v>
      </c>
      <c r="B59">
        <v>1088.163818359375</v>
      </c>
      <c r="C59" t="s">
        <v>379</v>
      </c>
      <c r="D59">
        <v>3.3696689605712891</v>
      </c>
      <c r="E59" t="s">
        <v>15</v>
      </c>
      <c r="F59" t="s">
        <v>380</v>
      </c>
      <c r="G59" t="s">
        <v>35</v>
      </c>
      <c r="H59" t="s">
        <v>2</v>
      </c>
      <c r="I59">
        <v>1</v>
      </c>
      <c r="J59">
        <v>1034</v>
      </c>
      <c r="K59">
        <v>1034</v>
      </c>
      <c r="L59">
        <v>0</v>
      </c>
      <c r="M59">
        <v>0</v>
      </c>
      <c r="N59" s="4">
        <f t="shared" si="0"/>
        <v>5.238280305548848E-2</v>
      </c>
      <c r="P59">
        <v>1</v>
      </c>
      <c r="Q59">
        <v>0</v>
      </c>
      <c r="R59">
        <v>0</v>
      </c>
      <c r="T59" t="s">
        <v>35</v>
      </c>
    </row>
    <row r="60" spans="1:22">
      <c r="A60">
        <v>58</v>
      </c>
      <c r="B60">
        <v>1073.7109375</v>
      </c>
      <c r="C60" t="s">
        <v>381</v>
      </c>
      <c r="D60">
        <v>3.8462729454040532</v>
      </c>
      <c r="E60" t="s">
        <v>15</v>
      </c>
      <c r="F60" t="s">
        <v>380</v>
      </c>
      <c r="G60" t="s">
        <v>35</v>
      </c>
      <c r="H60" t="s">
        <v>3</v>
      </c>
      <c r="I60">
        <v>1</v>
      </c>
      <c r="J60">
        <v>1034</v>
      </c>
      <c r="K60">
        <v>0</v>
      </c>
      <c r="L60">
        <v>0</v>
      </c>
      <c r="M60">
        <v>1034</v>
      </c>
      <c r="N60" s="4">
        <f t="shared" si="0"/>
        <v>3.8405161992262959E-2</v>
      </c>
      <c r="P60">
        <v>0</v>
      </c>
      <c r="Q60">
        <v>0</v>
      </c>
      <c r="R60">
        <v>1</v>
      </c>
      <c r="V60" t="s">
        <v>35</v>
      </c>
    </row>
    <row r="61" spans="1:22">
      <c r="A61">
        <v>59</v>
      </c>
      <c r="B61">
        <v>1074.198608398438</v>
      </c>
      <c r="C61" t="s">
        <v>382</v>
      </c>
      <c r="D61">
        <v>4.1932976245880127</v>
      </c>
      <c r="E61" t="s">
        <v>15</v>
      </c>
      <c r="F61" t="s">
        <v>380</v>
      </c>
      <c r="G61" t="s">
        <v>35</v>
      </c>
      <c r="H61" t="s">
        <v>4</v>
      </c>
      <c r="I61">
        <v>1</v>
      </c>
      <c r="J61">
        <v>1034</v>
      </c>
      <c r="K61">
        <v>0</v>
      </c>
      <c r="L61">
        <v>1034</v>
      </c>
      <c r="M61">
        <v>0</v>
      </c>
      <c r="N61" s="4">
        <f t="shared" si="0"/>
        <v>3.887679729055904E-2</v>
      </c>
      <c r="P61">
        <v>0</v>
      </c>
      <c r="Q61">
        <v>1</v>
      </c>
      <c r="R61">
        <v>0</v>
      </c>
      <c r="U61" t="s">
        <v>35</v>
      </c>
    </row>
    <row r="62" spans="1:22">
      <c r="A62">
        <v>60</v>
      </c>
      <c r="B62">
        <v>1337.793334960938</v>
      </c>
      <c r="C62" t="s">
        <v>383</v>
      </c>
      <c r="D62">
        <v>3.1158251762390141</v>
      </c>
      <c r="E62" t="s">
        <v>15</v>
      </c>
      <c r="F62" t="s">
        <v>384</v>
      </c>
      <c r="G62" t="s">
        <v>36</v>
      </c>
      <c r="H62" t="s">
        <v>2</v>
      </c>
      <c r="I62">
        <v>1</v>
      </c>
      <c r="J62">
        <v>1288</v>
      </c>
      <c r="K62">
        <v>1288</v>
      </c>
      <c r="L62">
        <v>0</v>
      </c>
      <c r="M62">
        <v>0</v>
      </c>
      <c r="N62" s="4">
        <f t="shared" si="0"/>
        <v>3.8659421553523199E-2</v>
      </c>
      <c r="P62">
        <v>1</v>
      </c>
      <c r="Q62">
        <v>0</v>
      </c>
      <c r="R62">
        <v>0</v>
      </c>
      <c r="T62" t="s">
        <v>36</v>
      </c>
    </row>
    <row r="63" spans="1:22">
      <c r="A63">
        <v>61</v>
      </c>
      <c r="B63">
        <v>1364.384643554688</v>
      </c>
      <c r="C63" t="s">
        <v>385</v>
      </c>
      <c r="D63">
        <v>4.0444791316986084</v>
      </c>
      <c r="E63" t="s">
        <v>15</v>
      </c>
      <c r="F63" t="s">
        <v>384</v>
      </c>
      <c r="G63" t="s">
        <v>36</v>
      </c>
      <c r="H63" t="s">
        <v>3</v>
      </c>
      <c r="I63">
        <v>1</v>
      </c>
      <c r="J63">
        <v>1288</v>
      </c>
      <c r="K63">
        <v>0</v>
      </c>
      <c r="L63">
        <v>0</v>
      </c>
      <c r="M63">
        <v>1288</v>
      </c>
      <c r="N63" s="4">
        <f t="shared" si="0"/>
        <v>5.93048474803477E-2</v>
      </c>
      <c r="P63">
        <v>0</v>
      </c>
      <c r="Q63">
        <v>0</v>
      </c>
      <c r="R63">
        <v>1</v>
      </c>
      <c r="V63" t="s">
        <v>36</v>
      </c>
    </row>
    <row r="64" spans="1:22">
      <c r="A64">
        <v>62</v>
      </c>
      <c r="B64">
        <v>1328.68115234375</v>
      </c>
      <c r="C64" t="s">
        <v>386</v>
      </c>
      <c r="D64">
        <v>3.1809606552124019</v>
      </c>
      <c r="E64" t="s">
        <v>15</v>
      </c>
      <c r="F64" t="s">
        <v>384</v>
      </c>
      <c r="G64" t="s">
        <v>36</v>
      </c>
      <c r="H64" t="s">
        <v>4</v>
      </c>
      <c r="I64">
        <v>1</v>
      </c>
      <c r="J64">
        <v>1288</v>
      </c>
      <c r="K64">
        <v>0</v>
      </c>
      <c r="L64">
        <v>1288</v>
      </c>
      <c r="M64">
        <v>0</v>
      </c>
      <c r="N64" s="4">
        <f t="shared" si="0"/>
        <v>3.1584745608501663E-2</v>
      </c>
      <c r="P64">
        <v>0</v>
      </c>
      <c r="Q64">
        <v>1</v>
      </c>
      <c r="R64">
        <v>0</v>
      </c>
      <c r="U64" t="s">
        <v>36</v>
      </c>
    </row>
    <row r="65" spans="1:22">
      <c r="A65">
        <v>63</v>
      </c>
      <c r="B65">
        <v>1640.254516601562</v>
      </c>
      <c r="C65" t="s">
        <v>387</v>
      </c>
      <c r="D65">
        <v>5.441810131072998</v>
      </c>
      <c r="E65" t="s">
        <v>15</v>
      </c>
      <c r="F65" t="s">
        <v>388</v>
      </c>
      <c r="G65" t="s">
        <v>38</v>
      </c>
      <c r="H65" t="s">
        <v>2</v>
      </c>
      <c r="I65">
        <v>2</v>
      </c>
      <c r="J65">
        <v>1616</v>
      </c>
      <c r="K65">
        <v>1616</v>
      </c>
      <c r="L65">
        <v>0</v>
      </c>
      <c r="M65">
        <v>0</v>
      </c>
      <c r="N65" s="4">
        <f t="shared" si="0"/>
        <v>1.5008983045521118E-2</v>
      </c>
      <c r="P65">
        <v>2</v>
      </c>
      <c r="Q65">
        <v>0</v>
      </c>
      <c r="R65">
        <v>0</v>
      </c>
      <c r="T65" t="s">
        <v>38</v>
      </c>
    </row>
    <row r="66" spans="1:22">
      <c r="A66">
        <v>64</v>
      </c>
      <c r="B66">
        <v>1343.335327148438</v>
      </c>
      <c r="C66" t="s">
        <v>389</v>
      </c>
      <c r="D66">
        <v>5.441810131072998</v>
      </c>
      <c r="E66" t="s">
        <v>15</v>
      </c>
      <c r="F66" t="s">
        <v>388</v>
      </c>
      <c r="G66" t="s">
        <v>37</v>
      </c>
      <c r="H66" t="s">
        <v>2</v>
      </c>
      <c r="I66">
        <v>2</v>
      </c>
      <c r="J66">
        <v>1314</v>
      </c>
      <c r="K66">
        <v>1314</v>
      </c>
      <c r="L66">
        <v>0</v>
      </c>
      <c r="M66">
        <v>0</v>
      </c>
      <c r="N66" s="4">
        <f t="shared" ref="N66:N129" si="1">IFERROR(B66/J66-1,"")</f>
        <v>2.2325210919663663E-2</v>
      </c>
      <c r="P66">
        <v>2</v>
      </c>
      <c r="Q66">
        <v>0</v>
      </c>
      <c r="R66">
        <v>0</v>
      </c>
      <c r="T66" t="s">
        <v>37</v>
      </c>
    </row>
    <row r="67" spans="1:22">
      <c r="A67">
        <v>65</v>
      </c>
      <c r="B67">
        <v>1666.69970703125</v>
      </c>
      <c r="C67" t="s">
        <v>390</v>
      </c>
      <c r="D67">
        <v>6.9907917976379386</v>
      </c>
      <c r="E67" t="s">
        <v>15</v>
      </c>
      <c r="F67" t="s">
        <v>388</v>
      </c>
      <c r="G67" t="s">
        <v>38</v>
      </c>
      <c r="H67" t="s">
        <v>3</v>
      </c>
      <c r="I67">
        <v>2</v>
      </c>
      <c r="J67">
        <v>1616</v>
      </c>
      <c r="K67">
        <v>0</v>
      </c>
      <c r="L67">
        <v>0</v>
      </c>
      <c r="M67">
        <v>1616</v>
      </c>
      <c r="N67" s="4">
        <f t="shared" si="1"/>
        <v>3.1373581083694368E-2</v>
      </c>
      <c r="P67">
        <v>0</v>
      </c>
      <c r="Q67">
        <v>0</v>
      </c>
      <c r="R67">
        <v>2</v>
      </c>
      <c r="V67" t="s">
        <v>38</v>
      </c>
    </row>
    <row r="68" spans="1:22">
      <c r="A68">
        <v>66</v>
      </c>
      <c r="B68">
        <v>1354.197265625</v>
      </c>
      <c r="C68" t="s">
        <v>391</v>
      </c>
      <c r="D68">
        <v>6.9907917976379386</v>
      </c>
      <c r="E68" t="s">
        <v>15</v>
      </c>
      <c r="F68" t="s">
        <v>388</v>
      </c>
      <c r="G68" t="s">
        <v>37</v>
      </c>
      <c r="H68" t="s">
        <v>3</v>
      </c>
      <c r="I68">
        <v>2</v>
      </c>
      <c r="J68">
        <v>1314</v>
      </c>
      <c r="K68">
        <v>0</v>
      </c>
      <c r="L68">
        <v>0</v>
      </c>
      <c r="M68">
        <v>1314</v>
      </c>
      <c r="N68" s="4">
        <f t="shared" si="1"/>
        <v>3.0591526350837173E-2</v>
      </c>
      <c r="P68">
        <v>0</v>
      </c>
      <c r="Q68">
        <v>0</v>
      </c>
      <c r="R68">
        <v>2</v>
      </c>
      <c r="V68" t="s">
        <v>37</v>
      </c>
    </row>
    <row r="69" spans="1:22">
      <c r="A69">
        <v>67</v>
      </c>
      <c r="B69">
        <v>1677.605590820312</v>
      </c>
      <c r="C69" t="s">
        <v>392</v>
      </c>
      <c r="D69">
        <v>6.7272059917449951</v>
      </c>
      <c r="E69" t="s">
        <v>15</v>
      </c>
      <c r="F69" t="s">
        <v>388</v>
      </c>
      <c r="G69" t="s">
        <v>38</v>
      </c>
      <c r="H69" t="s">
        <v>4</v>
      </c>
      <c r="I69">
        <v>2</v>
      </c>
      <c r="J69">
        <v>1616</v>
      </c>
      <c r="K69">
        <v>0</v>
      </c>
      <c r="L69">
        <v>1616</v>
      </c>
      <c r="M69">
        <v>0</v>
      </c>
      <c r="N69" s="4">
        <f t="shared" si="1"/>
        <v>3.8122271547222697E-2</v>
      </c>
      <c r="P69">
        <v>0</v>
      </c>
      <c r="Q69">
        <v>2</v>
      </c>
      <c r="R69">
        <v>0</v>
      </c>
      <c r="U69" t="s">
        <v>38</v>
      </c>
    </row>
    <row r="70" spans="1:22">
      <c r="A70">
        <v>68</v>
      </c>
      <c r="B70">
        <v>1358.572021484375</v>
      </c>
      <c r="C70" t="s">
        <v>393</v>
      </c>
      <c r="D70">
        <v>6.7272059917449951</v>
      </c>
      <c r="E70" t="s">
        <v>15</v>
      </c>
      <c r="F70" t="s">
        <v>388</v>
      </c>
      <c r="G70" t="s">
        <v>37</v>
      </c>
      <c r="H70" t="s">
        <v>4</v>
      </c>
      <c r="I70">
        <v>2</v>
      </c>
      <c r="J70">
        <v>1314</v>
      </c>
      <c r="K70">
        <v>0</v>
      </c>
      <c r="L70">
        <v>1314</v>
      </c>
      <c r="M70">
        <v>0</v>
      </c>
      <c r="N70" s="4">
        <f t="shared" si="1"/>
        <v>3.3920868709570007E-2</v>
      </c>
      <c r="P70">
        <v>0</v>
      </c>
      <c r="Q70">
        <v>2</v>
      </c>
      <c r="R70">
        <v>0</v>
      </c>
      <c r="U70" t="s">
        <v>37</v>
      </c>
    </row>
    <row r="71" spans="1:22">
      <c r="A71">
        <v>69</v>
      </c>
      <c r="B71">
        <v>1434.93017578125</v>
      </c>
      <c r="C71" t="s">
        <v>394</v>
      </c>
      <c r="D71">
        <v>3.3372197151184082</v>
      </c>
      <c r="E71" t="s">
        <v>15</v>
      </c>
      <c r="F71" t="s">
        <v>395</v>
      </c>
      <c r="G71" t="s">
        <v>39</v>
      </c>
      <c r="H71" t="s">
        <v>2</v>
      </c>
      <c r="I71">
        <v>1</v>
      </c>
      <c r="J71">
        <v>1401</v>
      </c>
      <c r="K71">
        <v>1401</v>
      </c>
      <c r="L71">
        <v>0</v>
      </c>
      <c r="M71">
        <v>0</v>
      </c>
      <c r="N71" s="4">
        <f t="shared" si="1"/>
        <v>2.4218540885974305E-2</v>
      </c>
      <c r="P71">
        <v>1</v>
      </c>
      <c r="Q71">
        <v>0</v>
      </c>
      <c r="R71">
        <v>0</v>
      </c>
      <c r="T71" t="s">
        <v>39</v>
      </c>
    </row>
    <row r="72" spans="1:22">
      <c r="A72">
        <v>70</v>
      </c>
      <c r="B72">
        <v>1475</v>
      </c>
      <c r="C72" t="s">
        <v>396</v>
      </c>
      <c r="D72">
        <v>3.8166863918304439</v>
      </c>
      <c r="E72" t="s">
        <v>15</v>
      </c>
      <c r="F72" t="s">
        <v>395</v>
      </c>
      <c r="G72" t="s">
        <v>39</v>
      </c>
      <c r="H72" t="s">
        <v>3</v>
      </c>
      <c r="I72">
        <v>1</v>
      </c>
      <c r="J72">
        <v>1401</v>
      </c>
      <c r="K72">
        <v>0</v>
      </c>
      <c r="L72">
        <v>0</v>
      </c>
      <c r="M72">
        <v>1401</v>
      </c>
      <c r="N72" s="4">
        <f t="shared" si="1"/>
        <v>5.2819414703783041E-2</v>
      </c>
      <c r="P72">
        <v>0</v>
      </c>
      <c r="Q72">
        <v>0</v>
      </c>
      <c r="R72">
        <v>1</v>
      </c>
      <c r="V72" t="s">
        <v>39</v>
      </c>
    </row>
    <row r="73" spans="1:22">
      <c r="A73">
        <v>71</v>
      </c>
      <c r="B73">
        <v>1445.006591796875</v>
      </c>
      <c r="C73" t="s">
        <v>397</v>
      </c>
      <c r="D73">
        <v>3.7508985996246338</v>
      </c>
      <c r="E73" t="s">
        <v>15</v>
      </c>
      <c r="F73" t="s">
        <v>395</v>
      </c>
      <c r="G73" t="s">
        <v>39</v>
      </c>
      <c r="H73" t="s">
        <v>4</v>
      </c>
      <c r="I73">
        <v>1</v>
      </c>
      <c r="J73">
        <v>1401</v>
      </c>
      <c r="K73">
        <v>0</v>
      </c>
      <c r="L73">
        <v>1401</v>
      </c>
      <c r="M73">
        <v>0</v>
      </c>
      <c r="N73" s="4">
        <f t="shared" si="1"/>
        <v>3.1410843538097755E-2</v>
      </c>
      <c r="P73">
        <v>0</v>
      </c>
      <c r="Q73">
        <v>1</v>
      </c>
      <c r="R73">
        <v>0</v>
      </c>
      <c r="U73" t="s">
        <v>39</v>
      </c>
    </row>
    <row r="74" spans="1:22">
      <c r="A74">
        <v>72</v>
      </c>
      <c r="B74">
        <v>1227.872314453125</v>
      </c>
      <c r="C74" t="s">
        <v>398</v>
      </c>
      <c r="D74">
        <v>3.3213315010070801</v>
      </c>
      <c r="E74" t="s">
        <v>15</v>
      </c>
      <c r="F74" t="s">
        <v>399</v>
      </c>
      <c r="G74" t="s">
        <v>40</v>
      </c>
      <c r="H74" t="s">
        <v>2</v>
      </c>
      <c r="I74">
        <v>1</v>
      </c>
      <c r="J74">
        <v>1174</v>
      </c>
      <c r="K74">
        <v>1174</v>
      </c>
      <c r="L74">
        <v>0</v>
      </c>
      <c r="M74">
        <v>0</v>
      </c>
      <c r="N74" s="4">
        <f t="shared" si="1"/>
        <v>4.5887831731793005E-2</v>
      </c>
      <c r="P74">
        <v>1</v>
      </c>
      <c r="Q74">
        <v>0</v>
      </c>
      <c r="R74">
        <v>0</v>
      </c>
      <c r="T74" t="s">
        <v>40</v>
      </c>
    </row>
    <row r="75" spans="1:22">
      <c r="A75">
        <v>73</v>
      </c>
      <c r="B75">
        <v>1236.221923828125</v>
      </c>
      <c r="C75" t="s">
        <v>400</v>
      </c>
      <c r="D75">
        <v>3.9622659683227539</v>
      </c>
      <c r="E75" t="s">
        <v>15</v>
      </c>
      <c r="F75" t="s">
        <v>399</v>
      </c>
      <c r="G75" t="s">
        <v>40</v>
      </c>
      <c r="H75" t="s">
        <v>3</v>
      </c>
      <c r="I75">
        <v>1</v>
      </c>
      <c r="J75">
        <v>1174</v>
      </c>
      <c r="K75">
        <v>0</v>
      </c>
      <c r="L75">
        <v>0</v>
      </c>
      <c r="M75">
        <v>1174</v>
      </c>
      <c r="N75" s="4">
        <f t="shared" si="1"/>
        <v>5.299993511765333E-2</v>
      </c>
      <c r="P75">
        <v>0</v>
      </c>
      <c r="Q75">
        <v>0</v>
      </c>
      <c r="R75">
        <v>1</v>
      </c>
      <c r="V75" t="s">
        <v>40</v>
      </c>
    </row>
    <row r="76" spans="1:22">
      <c r="A76">
        <v>74</v>
      </c>
      <c r="B76">
        <v>1230.29296875</v>
      </c>
      <c r="C76" t="s">
        <v>401</v>
      </c>
      <c r="D76">
        <v>3.5521543025970459</v>
      </c>
      <c r="E76" t="s">
        <v>15</v>
      </c>
      <c r="F76" t="s">
        <v>399</v>
      </c>
      <c r="G76" t="s">
        <v>40</v>
      </c>
      <c r="H76" t="s">
        <v>4</v>
      </c>
      <c r="I76">
        <v>1</v>
      </c>
      <c r="J76">
        <v>1174</v>
      </c>
      <c r="K76">
        <v>0</v>
      </c>
      <c r="L76">
        <v>1174</v>
      </c>
      <c r="M76">
        <v>0</v>
      </c>
      <c r="N76" s="4">
        <f t="shared" si="1"/>
        <v>4.7949717844974371E-2</v>
      </c>
      <c r="P76">
        <v>0</v>
      </c>
      <c r="Q76">
        <v>1</v>
      </c>
      <c r="R76">
        <v>0</v>
      </c>
      <c r="U76" t="s">
        <v>40</v>
      </c>
    </row>
    <row r="77" spans="1:22">
      <c r="A77">
        <v>75</v>
      </c>
      <c r="B77">
        <v>1194.282104492188</v>
      </c>
      <c r="C77" t="s">
        <v>402</v>
      </c>
      <c r="D77">
        <v>4.2214803695678711</v>
      </c>
      <c r="E77" t="s">
        <v>15</v>
      </c>
      <c r="F77" t="s">
        <v>403</v>
      </c>
      <c r="G77" t="s">
        <v>41</v>
      </c>
      <c r="H77" t="s">
        <v>2</v>
      </c>
      <c r="I77">
        <v>1</v>
      </c>
      <c r="J77">
        <v>1159</v>
      </c>
      <c r="K77">
        <v>1159</v>
      </c>
      <c r="L77">
        <v>0</v>
      </c>
      <c r="M77">
        <v>0</v>
      </c>
      <c r="N77" s="4">
        <f t="shared" si="1"/>
        <v>3.0441850295244155E-2</v>
      </c>
      <c r="P77">
        <v>1</v>
      </c>
      <c r="Q77">
        <v>0</v>
      </c>
      <c r="R77">
        <v>0</v>
      </c>
      <c r="T77" t="s">
        <v>41</v>
      </c>
    </row>
    <row r="78" spans="1:22">
      <c r="A78">
        <v>76</v>
      </c>
      <c r="B78">
        <v>1212.928833007812</v>
      </c>
      <c r="C78" t="s">
        <v>404</v>
      </c>
      <c r="D78">
        <v>5.1308720111846924</v>
      </c>
      <c r="E78" t="s">
        <v>15</v>
      </c>
      <c r="F78" t="s">
        <v>403</v>
      </c>
      <c r="G78" t="s">
        <v>41</v>
      </c>
      <c r="H78" t="s">
        <v>3</v>
      </c>
      <c r="I78">
        <v>1</v>
      </c>
      <c r="J78">
        <v>1159</v>
      </c>
      <c r="K78">
        <v>0</v>
      </c>
      <c r="L78">
        <v>0</v>
      </c>
      <c r="M78">
        <v>1159</v>
      </c>
      <c r="N78" s="4">
        <f t="shared" si="1"/>
        <v>4.6530485770329699E-2</v>
      </c>
      <c r="P78">
        <v>0</v>
      </c>
      <c r="Q78">
        <v>0</v>
      </c>
      <c r="R78">
        <v>1</v>
      </c>
      <c r="V78" t="s">
        <v>41</v>
      </c>
    </row>
    <row r="79" spans="1:22">
      <c r="A79">
        <v>77</v>
      </c>
      <c r="B79">
        <v>1185.170654296875</v>
      </c>
      <c r="C79" t="s">
        <v>405</v>
      </c>
      <c r="D79">
        <v>4.4177951812744141</v>
      </c>
      <c r="E79" t="s">
        <v>15</v>
      </c>
      <c r="F79" t="s">
        <v>403</v>
      </c>
      <c r="G79" t="s">
        <v>41</v>
      </c>
      <c r="H79" t="s">
        <v>4</v>
      </c>
      <c r="I79">
        <v>1</v>
      </c>
      <c r="J79">
        <v>1159</v>
      </c>
      <c r="K79">
        <v>0</v>
      </c>
      <c r="L79">
        <v>1159</v>
      </c>
      <c r="M79">
        <v>0</v>
      </c>
      <c r="N79" s="4">
        <f t="shared" si="1"/>
        <v>2.2580374716889562E-2</v>
      </c>
      <c r="P79">
        <v>0</v>
      </c>
      <c r="Q79">
        <v>1</v>
      </c>
      <c r="R79">
        <v>0</v>
      </c>
      <c r="U79" t="s">
        <v>41</v>
      </c>
    </row>
    <row r="80" spans="1:22">
      <c r="A80">
        <v>78</v>
      </c>
      <c r="B80">
        <v>1815.926879882812</v>
      </c>
      <c r="C80" t="s">
        <v>406</v>
      </c>
      <c r="D80">
        <v>3.2986466884613042</v>
      </c>
      <c r="E80" t="s">
        <v>15</v>
      </c>
      <c r="F80" t="s">
        <v>407</v>
      </c>
      <c r="G80" t="s">
        <v>42</v>
      </c>
      <c r="H80" t="s">
        <v>2</v>
      </c>
      <c r="I80">
        <v>1</v>
      </c>
      <c r="J80">
        <v>1763</v>
      </c>
      <c r="K80">
        <v>1763</v>
      </c>
      <c r="L80">
        <v>0</v>
      </c>
      <c r="M80">
        <v>0</v>
      </c>
      <c r="N80" s="4">
        <f t="shared" si="1"/>
        <v>3.0020918821787923E-2</v>
      </c>
      <c r="P80">
        <v>1</v>
      </c>
      <c r="Q80">
        <v>0</v>
      </c>
      <c r="R80">
        <v>0</v>
      </c>
      <c r="T80" t="s">
        <v>42</v>
      </c>
    </row>
    <row r="81" spans="1:22">
      <c r="A81">
        <v>79</v>
      </c>
      <c r="B81">
        <v>1869.994995117188</v>
      </c>
      <c r="C81" t="s">
        <v>408</v>
      </c>
      <c r="D81">
        <v>3.908066987991333</v>
      </c>
      <c r="E81" t="s">
        <v>15</v>
      </c>
      <c r="F81" t="s">
        <v>407</v>
      </c>
      <c r="G81" t="s">
        <v>42</v>
      </c>
      <c r="H81" t="s">
        <v>3</v>
      </c>
      <c r="I81">
        <v>1</v>
      </c>
      <c r="J81">
        <v>1763</v>
      </c>
      <c r="K81">
        <v>0</v>
      </c>
      <c r="L81">
        <v>0</v>
      </c>
      <c r="M81">
        <v>1763</v>
      </c>
      <c r="N81" s="4">
        <f t="shared" si="1"/>
        <v>6.0689163424383352E-2</v>
      </c>
      <c r="P81">
        <v>0</v>
      </c>
      <c r="Q81">
        <v>0</v>
      </c>
      <c r="R81">
        <v>1</v>
      </c>
      <c r="V81" t="s">
        <v>42</v>
      </c>
    </row>
    <row r="82" spans="1:22">
      <c r="A82">
        <v>80</v>
      </c>
      <c r="B82">
        <v>1834.66943359375</v>
      </c>
      <c r="C82" t="s">
        <v>409</v>
      </c>
      <c r="D82">
        <v>2.5883650779724121</v>
      </c>
      <c r="E82" t="s">
        <v>15</v>
      </c>
      <c r="F82" t="s">
        <v>407</v>
      </c>
      <c r="G82" t="s">
        <v>42</v>
      </c>
      <c r="H82" t="s">
        <v>4</v>
      </c>
      <c r="I82">
        <v>1</v>
      </c>
      <c r="J82">
        <v>1763</v>
      </c>
      <c r="K82">
        <v>0</v>
      </c>
      <c r="L82">
        <v>1763</v>
      </c>
      <c r="M82">
        <v>0</v>
      </c>
      <c r="N82" s="4">
        <f t="shared" si="1"/>
        <v>4.065197594654002E-2</v>
      </c>
      <c r="P82">
        <v>0</v>
      </c>
      <c r="Q82">
        <v>1</v>
      </c>
      <c r="R82">
        <v>0</v>
      </c>
      <c r="U82" t="s">
        <v>42</v>
      </c>
    </row>
    <row r="83" spans="1:22">
      <c r="A83">
        <v>81</v>
      </c>
      <c r="B83">
        <v>705.36749267578125</v>
      </c>
      <c r="C83" t="s">
        <v>410</v>
      </c>
      <c r="D83">
        <v>3.9129023551940918</v>
      </c>
      <c r="E83" t="s">
        <v>43</v>
      </c>
      <c r="F83" t="s">
        <v>411</v>
      </c>
      <c r="G83" t="s">
        <v>44</v>
      </c>
      <c r="H83" t="s">
        <v>2</v>
      </c>
      <c r="I83">
        <v>1</v>
      </c>
      <c r="J83">
        <v>672</v>
      </c>
      <c r="K83">
        <v>672</v>
      </c>
      <c r="L83">
        <v>0</v>
      </c>
      <c r="M83">
        <v>0</v>
      </c>
      <c r="N83" s="4">
        <f t="shared" si="1"/>
        <v>4.9654006958007813E-2</v>
      </c>
      <c r="P83">
        <v>1</v>
      </c>
      <c r="Q83">
        <v>0</v>
      </c>
      <c r="R83">
        <v>0</v>
      </c>
      <c r="T83" t="s">
        <v>44</v>
      </c>
    </row>
    <row r="84" spans="1:22">
      <c r="A84">
        <v>82</v>
      </c>
      <c r="B84">
        <v>697.275634765625</v>
      </c>
      <c r="C84" t="s">
        <v>412</v>
      </c>
      <c r="D84">
        <v>2.8668181896209721</v>
      </c>
      <c r="E84" t="s">
        <v>43</v>
      </c>
      <c r="F84" t="s">
        <v>411</v>
      </c>
      <c r="G84" t="s">
        <v>44</v>
      </c>
      <c r="H84" t="s">
        <v>3</v>
      </c>
      <c r="I84">
        <v>1</v>
      </c>
      <c r="J84">
        <v>672</v>
      </c>
      <c r="K84">
        <v>0</v>
      </c>
      <c r="L84">
        <v>0</v>
      </c>
      <c r="M84">
        <v>672</v>
      </c>
      <c r="N84" s="4">
        <f t="shared" si="1"/>
        <v>3.7612551734560906E-2</v>
      </c>
      <c r="P84">
        <v>0</v>
      </c>
      <c r="Q84">
        <v>0</v>
      </c>
      <c r="R84">
        <v>1</v>
      </c>
      <c r="V84" t="s">
        <v>44</v>
      </c>
    </row>
    <row r="85" spans="1:22">
      <c r="A85">
        <v>83</v>
      </c>
      <c r="B85">
        <v>701.4149169921875</v>
      </c>
      <c r="C85" t="s">
        <v>413</v>
      </c>
      <c r="D85">
        <v>3.1799638271331792</v>
      </c>
      <c r="E85" t="s">
        <v>43</v>
      </c>
      <c r="F85" t="s">
        <v>411</v>
      </c>
      <c r="G85" t="s">
        <v>44</v>
      </c>
      <c r="H85" t="s">
        <v>4</v>
      </c>
      <c r="I85">
        <v>1</v>
      </c>
      <c r="J85">
        <v>672</v>
      </c>
      <c r="K85">
        <v>0</v>
      </c>
      <c r="L85">
        <v>672</v>
      </c>
      <c r="M85">
        <v>0</v>
      </c>
      <c r="N85" s="4">
        <f t="shared" si="1"/>
        <v>4.3772197905040944E-2</v>
      </c>
      <c r="P85">
        <v>0</v>
      </c>
      <c r="Q85">
        <v>1</v>
      </c>
      <c r="R85">
        <v>0</v>
      </c>
      <c r="U85" t="s">
        <v>44</v>
      </c>
    </row>
    <row r="86" spans="1:22">
      <c r="A86">
        <v>84</v>
      </c>
      <c r="B86">
        <v>800.85382080078125</v>
      </c>
      <c r="C86" t="s">
        <v>414</v>
      </c>
      <c r="D86">
        <v>3.8479690551757808</v>
      </c>
      <c r="E86" t="s">
        <v>43</v>
      </c>
      <c r="F86" t="s">
        <v>415</v>
      </c>
      <c r="G86" t="s">
        <v>45</v>
      </c>
      <c r="H86" t="s">
        <v>2</v>
      </c>
      <c r="I86">
        <v>1</v>
      </c>
      <c r="J86">
        <v>788</v>
      </c>
      <c r="K86">
        <v>788</v>
      </c>
      <c r="L86">
        <v>0</v>
      </c>
      <c r="M86">
        <v>0</v>
      </c>
      <c r="N86" s="4">
        <f t="shared" si="1"/>
        <v>1.6311955330940764E-2</v>
      </c>
      <c r="P86">
        <v>1</v>
      </c>
      <c r="Q86">
        <v>0</v>
      </c>
      <c r="R86">
        <v>0</v>
      </c>
      <c r="T86" t="s">
        <v>45</v>
      </c>
    </row>
    <row r="87" spans="1:22">
      <c r="A87">
        <v>85</v>
      </c>
      <c r="B87">
        <v>795.0443115234375</v>
      </c>
      <c r="C87" t="s">
        <v>416</v>
      </c>
      <c r="D87">
        <v>2.7891561985015869</v>
      </c>
      <c r="E87" t="s">
        <v>43</v>
      </c>
      <c r="F87" t="s">
        <v>415</v>
      </c>
      <c r="G87" t="s">
        <v>45</v>
      </c>
      <c r="H87" t="s">
        <v>3</v>
      </c>
      <c r="I87">
        <v>1</v>
      </c>
      <c r="J87">
        <v>788</v>
      </c>
      <c r="K87">
        <v>0</v>
      </c>
      <c r="L87">
        <v>0</v>
      </c>
      <c r="M87">
        <v>788</v>
      </c>
      <c r="N87" s="4">
        <f t="shared" si="1"/>
        <v>8.9394816287278189E-3</v>
      </c>
      <c r="P87">
        <v>0</v>
      </c>
      <c r="Q87">
        <v>0</v>
      </c>
      <c r="R87">
        <v>1</v>
      </c>
      <c r="V87" t="s">
        <v>45</v>
      </c>
    </row>
    <row r="88" spans="1:22">
      <c r="A88">
        <v>86</v>
      </c>
      <c r="B88">
        <v>794.892578125</v>
      </c>
      <c r="C88" t="s">
        <v>417</v>
      </c>
      <c r="D88">
        <v>3.0680019855499272</v>
      </c>
      <c r="E88" t="s">
        <v>43</v>
      </c>
      <c r="F88" t="s">
        <v>415</v>
      </c>
      <c r="G88" t="s">
        <v>45</v>
      </c>
      <c r="H88" t="s">
        <v>4</v>
      </c>
      <c r="I88">
        <v>1</v>
      </c>
      <c r="J88">
        <v>788</v>
      </c>
      <c r="K88">
        <v>0</v>
      </c>
      <c r="L88">
        <v>788</v>
      </c>
      <c r="M88">
        <v>0</v>
      </c>
      <c r="N88" s="4">
        <f t="shared" si="1"/>
        <v>8.746926554568546E-3</v>
      </c>
      <c r="P88">
        <v>0</v>
      </c>
      <c r="Q88">
        <v>1</v>
      </c>
      <c r="R88">
        <v>0</v>
      </c>
      <c r="U88" t="s">
        <v>45</v>
      </c>
    </row>
    <row r="89" spans="1:22">
      <c r="A89">
        <v>87</v>
      </c>
      <c r="B89">
        <v>1002.603637695312</v>
      </c>
      <c r="C89" t="s">
        <v>418</v>
      </c>
      <c r="D89">
        <v>3.7359077930450439</v>
      </c>
      <c r="E89" t="s">
        <v>43</v>
      </c>
      <c r="F89" t="s">
        <v>419</v>
      </c>
      <c r="G89" t="s">
        <v>46</v>
      </c>
      <c r="H89" t="s">
        <v>2</v>
      </c>
      <c r="I89">
        <v>1</v>
      </c>
      <c r="J89">
        <v>955</v>
      </c>
      <c r="K89">
        <v>955</v>
      </c>
      <c r="L89">
        <v>0</v>
      </c>
      <c r="M89">
        <v>0</v>
      </c>
      <c r="N89" s="4">
        <f t="shared" si="1"/>
        <v>4.9846741042211651E-2</v>
      </c>
      <c r="P89">
        <v>1</v>
      </c>
      <c r="Q89">
        <v>0</v>
      </c>
      <c r="R89">
        <v>0</v>
      </c>
      <c r="T89" t="s">
        <v>46</v>
      </c>
    </row>
    <row r="90" spans="1:22">
      <c r="A90">
        <v>88</v>
      </c>
      <c r="B90">
        <v>971.1785888671875</v>
      </c>
      <c r="C90" t="s">
        <v>420</v>
      </c>
      <c r="D90">
        <v>2.50319504737854</v>
      </c>
      <c r="E90" t="s">
        <v>43</v>
      </c>
      <c r="F90" t="s">
        <v>419</v>
      </c>
      <c r="G90" t="s">
        <v>46</v>
      </c>
      <c r="H90" t="s">
        <v>3</v>
      </c>
      <c r="I90">
        <v>1</v>
      </c>
      <c r="J90">
        <v>955</v>
      </c>
      <c r="K90">
        <v>0</v>
      </c>
      <c r="L90">
        <v>0</v>
      </c>
      <c r="M90">
        <v>955</v>
      </c>
      <c r="N90" s="4">
        <f t="shared" si="1"/>
        <v>1.6940930750981575E-2</v>
      </c>
      <c r="P90">
        <v>0</v>
      </c>
      <c r="Q90">
        <v>0</v>
      </c>
      <c r="R90">
        <v>1</v>
      </c>
      <c r="V90" t="s">
        <v>46</v>
      </c>
    </row>
    <row r="91" spans="1:22">
      <c r="A91">
        <v>89</v>
      </c>
      <c r="B91">
        <v>995.89642333984375</v>
      </c>
      <c r="C91" t="s">
        <v>421</v>
      </c>
      <c r="D91">
        <v>3.5872988700866699</v>
      </c>
      <c r="E91" t="s">
        <v>43</v>
      </c>
      <c r="F91" t="s">
        <v>419</v>
      </c>
      <c r="G91" t="s">
        <v>46</v>
      </c>
      <c r="H91" t="s">
        <v>4</v>
      </c>
      <c r="I91">
        <v>1</v>
      </c>
      <c r="J91">
        <v>955</v>
      </c>
      <c r="K91">
        <v>0</v>
      </c>
      <c r="L91">
        <v>955</v>
      </c>
      <c r="M91">
        <v>0</v>
      </c>
      <c r="N91" s="4">
        <f t="shared" si="1"/>
        <v>4.2823479937009079E-2</v>
      </c>
      <c r="P91">
        <v>0</v>
      </c>
      <c r="Q91">
        <v>1</v>
      </c>
      <c r="R91">
        <v>0</v>
      </c>
      <c r="U91" t="s">
        <v>46</v>
      </c>
    </row>
    <row r="92" spans="1:22">
      <c r="A92">
        <v>90</v>
      </c>
      <c r="B92">
        <v>818.05218505859375</v>
      </c>
      <c r="C92" t="s">
        <v>422</v>
      </c>
      <c r="D92">
        <v>3.6562399864196782</v>
      </c>
      <c r="E92" t="s">
        <v>43</v>
      </c>
      <c r="F92" t="s">
        <v>423</v>
      </c>
      <c r="G92" t="s">
        <v>47</v>
      </c>
      <c r="H92" t="s">
        <v>2</v>
      </c>
      <c r="I92">
        <v>1</v>
      </c>
      <c r="J92">
        <v>805</v>
      </c>
      <c r="K92">
        <v>805</v>
      </c>
      <c r="L92">
        <v>0</v>
      </c>
      <c r="M92">
        <v>0</v>
      </c>
      <c r="N92" s="4">
        <f t="shared" si="1"/>
        <v>1.6213894482725255E-2</v>
      </c>
      <c r="P92">
        <v>1</v>
      </c>
      <c r="Q92">
        <v>0</v>
      </c>
      <c r="R92">
        <v>0</v>
      </c>
      <c r="T92" t="s">
        <v>47</v>
      </c>
    </row>
    <row r="93" spans="1:22">
      <c r="A93">
        <v>91</v>
      </c>
      <c r="B93">
        <v>819.34228515625</v>
      </c>
      <c r="C93" t="s">
        <v>424</v>
      </c>
      <c r="D93">
        <v>2.6201272010803218</v>
      </c>
      <c r="E93" t="s">
        <v>43</v>
      </c>
      <c r="F93" t="s">
        <v>423</v>
      </c>
      <c r="G93" t="s">
        <v>47</v>
      </c>
      <c r="H93" t="s">
        <v>3</v>
      </c>
      <c r="I93">
        <v>1</v>
      </c>
      <c r="J93">
        <v>805</v>
      </c>
      <c r="K93">
        <v>0</v>
      </c>
      <c r="L93">
        <v>0</v>
      </c>
      <c r="M93">
        <v>805</v>
      </c>
      <c r="N93" s="4">
        <f t="shared" si="1"/>
        <v>1.7816503299689535E-2</v>
      </c>
      <c r="P93">
        <v>0</v>
      </c>
      <c r="Q93">
        <v>0</v>
      </c>
      <c r="R93">
        <v>1</v>
      </c>
      <c r="V93" t="s">
        <v>47</v>
      </c>
    </row>
    <row r="94" spans="1:22">
      <c r="A94">
        <v>92</v>
      </c>
      <c r="B94">
        <v>820.84844970703125</v>
      </c>
      <c r="C94" t="s">
        <v>425</v>
      </c>
      <c r="D94">
        <v>3.613498210906982</v>
      </c>
      <c r="E94" t="s">
        <v>43</v>
      </c>
      <c r="F94" t="s">
        <v>423</v>
      </c>
      <c r="G94" t="s">
        <v>47</v>
      </c>
      <c r="H94" t="s">
        <v>4</v>
      </c>
      <c r="I94">
        <v>1</v>
      </c>
      <c r="J94">
        <v>805</v>
      </c>
      <c r="K94">
        <v>0</v>
      </c>
      <c r="L94">
        <v>805</v>
      </c>
      <c r="M94">
        <v>0</v>
      </c>
      <c r="N94" s="4">
        <f t="shared" si="1"/>
        <v>1.9687515164013902E-2</v>
      </c>
      <c r="P94">
        <v>0</v>
      </c>
      <c r="Q94">
        <v>1</v>
      </c>
      <c r="R94">
        <v>0</v>
      </c>
      <c r="U94" t="s">
        <v>47</v>
      </c>
    </row>
    <row r="95" spans="1:22">
      <c r="A95">
        <v>93</v>
      </c>
      <c r="B95">
        <v>602.88543701171875</v>
      </c>
      <c r="C95" t="s">
        <v>426</v>
      </c>
      <c r="D95">
        <v>3.508039236068726</v>
      </c>
      <c r="E95" t="s">
        <v>43</v>
      </c>
      <c r="F95" t="s">
        <v>427</v>
      </c>
      <c r="G95" t="s">
        <v>48</v>
      </c>
      <c r="H95" t="s">
        <v>2</v>
      </c>
      <c r="I95">
        <v>1</v>
      </c>
      <c r="J95">
        <v>549</v>
      </c>
      <c r="K95">
        <v>549</v>
      </c>
      <c r="L95">
        <v>0</v>
      </c>
      <c r="M95">
        <v>0</v>
      </c>
      <c r="N95" s="4">
        <f t="shared" si="1"/>
        <v>9.815197998491576E-2</v>
      </c>
      <c r="P95">
        <v>1</v>
      </c>
      <c r="Q95">
        <v>0</v>
      </c>
      <c r="R95">
        <v>0</v>
      </c>
      <c r="T95" t="s">
        <v>48</v>
      </c>
    </row>
    <row r="96" spans="1:22">
      <c r="A96">
        <v>94</v>
      </c>
      <c r="B96">
        <v>571.857177734375</v>
      </c>
      <c r="C96" t="s">
        <v>428</v>
      </c>
      <c r="D96">
        <v>3.0233440399169922</v>
      </c>
      <c r="E96" t="s">
        <v>43</v>
      </c>
      <c r="F96" t="s">
        <v>427</v>
      </c>
      <c r="G96" t="s">
        <v>48</v>
      </c>
      <c r="H96" t="s">
        <v>3</v>
      </c>
      <c r="I96">
        <v>1</v>
      </c>
      <c r="J96">
        <v>549</v>
      </c>
      <c r="K96">
        <v>0</v>
      </c>
      <c r="L96">
        <v>0</v>
      </c>
      <c r="M96">
        <v>549</v>
      </c>
      <c r="N96" s="4">
        <f t="shared" si="1"/>
        <v>4.1634203523451818E-2</v>
      </c>
      <c r="P96">
        <v>0</v>
      </c>
      <c r="Q96">
        <v>0</v>
      </c>
      <c r="R96">
        <v>1</v>
      </c>
      <c r="V96" t="s">
        <v>48</v>
      </c>
    </row>
    <row r="97" spans="1:22">
      <c r="A97">
        <v>95</v>
      </c>
      <c r="B97">
        <v>564.70635986328125</v>
      </c>
      <c r="C97" t="s">
        <v>429</v>
      </c>
      <c r="D97">
        <v>3.7525219917297359</v>
      </c>
      <c r="E97" t="s">
        <v>43</v>
      </c>
      <c r="F97" t="s">
        <v>427</v>
      </c>
      <c r="G97" t="s">
        <v>48</v>
      </c>
      <c r="H97" t="s">
        <v>4</v>
      </c>
      <c r="I97">
        <v>1</v>
      </c>
      <c r="J97">
        <v>549</v>
      </c>
      <c r="K97">
        <v>0</v>
      </c>
      <c r="L97">
        <v>549</v>
      </c>
      <c r="M97">
        <v>0</v>
      </c>
      <c r="N97" s="4">
        <f t="shared" si="1"/>
        <v>2.8609034359346586E-2</v>
      </c>
      <c r="P97">
        <v>0</v>
      </c>
      <c r="Q97">
        <v>1</v>
      </c>
      <c r="R97">
        <v>0</v>
      </c>
      <c r="U97" t="s">
        <v>48</v>
      </c>
    </row>
    <row r="98" spans="1:22">
      <c r="A98">
        <v>96</v>
      </c>
      <c r="B98">
        <v>861.25933837890625</v>
      </c>
      <c r="C98" t="s">
        <v>430</v>
      </c>
      <c r="D98">
        <v>3.8638322353363042</v>
      </c>
      <c r="E98" t="s">
        <v>43</v>
      </c>
      <c r="F98" t="s">
        <v>431</v>
      </c>
      <c r="G98" t="s">
        <v>49</v>
      </c>
      <c r="H98" t="s">
        <v>2</v>
      </c>
      <c r="I98">
        <v>1</v>
      </c>
      <c r="J98">
        <v>829</v>
      </c>
      <c r="K98">
        <v>829</v>
      </c>
      <c r="L98">
        <v>0</v>
      </c>
      <c r="M98">
        <v>0</v>
      </c>
      <c r="N98" s="4">
        <f t="shared" si="1"/>
        <v>3.8913556548740846E-2</v>
      </c>
      <c r="P98">
        <v>1</v>
      </c>
      <c r="Q98">
        <v>0</v>
      </c>
      <c r="R98">
        <v>0</v>
      </c>
      <c r="T98" t="s">
        <v>49</v>
      </c>
    </row>
    <row r="99" spans="1:22">
      <c r="A99">
        <v>97</v>
      </c>
      <c r="B99">
        <v>848.2359619140625</v>
      </c>
      <c r="C99" t="s">
        <v>432</v>
      </c>
      <c r="D99">
        <v>2.909859418869019</v>
      </c>
      <c r="E99" t="s">
        <v>43</v>
      </c>
      <c r="F99" t="s">
        <v>431</v>
      </c>
      <c r="G99" t="s">
        <v>49</v>
      </c>
      <c r="H99" t="s">
        <v>3</v>
      </c>
      <c r="I99">
        <v>1</v>
      </c>
      <c r="J99">
        <v>829</v>
      </c>
      <c r="K99">
        <v>0</v>
      </c>
      <c r="L99">
        <v>0</v>
      </c>
      <c r="M99">
        <v>829</v>
      </c>
      <c r="N99" s="4">
        <f t="shared" si="1"/>
        <v>2.3203814130352773E-2</v>
      </c>
      <c r="P99">
        <v>0</v>
      </c>
      <c r="Q99">
        <v>0</v>
      </c>
      <c r="R99">
        <v>1</v>
      </c>
      <c r="V99" t="s">
        <v>49</v>
      </c>
    </row>
    <row r="100" spans="1:22">
      <c r="A100">
        <v>98</v>
      </c>
      <c r="B100">
        <v>857.0443115234375</v>
      </c>
      <c r="C100" t="s">
        <v>433</v>
      </c>
      <c r="D100">
        <v>3.8631899356842041</v>
      </c>
      <c r="E100" t="s">
        <v>43</v>
      </c>
      <c r="F100" t="s">
        <v>431</v>
      </c>
      <c r="G100" t="s">
        <v>49</v>
      </c>
      <c r="H100" t="s">
        <v>4</v>
      </c>
      <c r="I100">
        <v>1</v>
      </c>
      <c r="J100">
        <v>829</v>
      </c>
      <c r="K100">
        <v>0</v>
      </c>
      <c r="L100">
        <v>829</v>
      </c>
      <c r="M100">
        <v>0</v>
      </c>
      <c r="N100" s="4">
        <f t="shared" si="1"/>
        <v>3.3829085070491649E-2</v>
      </c>
      <c r="P100">
        <v>0</v>
      </c>
      <c r="Q100">
        <v>1</v>
      </c>
      <c r="R100">
        <v>0</v>
      </c>
      <c r="U100" t="s">
        <v>49</v>
      </c>
    </row>
    <row r="101" spans="1:22">
      <c r="A101">
        <v>99</v>
      </c>
      <c r="B101">
        <v>751.5009765625</v>
      </c>
      <c r="C101" t="s">
        <v>434</v>
      </c>
      <c r="D101">
        <v>5.9448745250701904</v>
      </c>
      <c r="E101" t="s">
        <v>43</v>
      </c>
      <c r="F101" t="s">
        <v>435</v>
      </c>
      <c r="G101" t="s">
        <v>50</v>
      </c>
      <c r="H101" t="s">
        <v>2</v>
      </c>
      <c r="I101">
        <v>1</v>
      </c>
      <c r="J101">
        <v>742</v>
      </c>
      <c r="K101">
        <v>742</v>
      </c>
      <c r="L101">
        <v>0</v>
      </c>
      <c r="M101">
        <v>0</v>
      </c>
      <c r="N101" s="4">
        <f t="shared" si="1"/>
        <v>1.2804550623315425E-2</v>
      </c>
      <c r="P101">
        <v>1</v>
      </c>
      <c r="Q101">
        <v>0</v>
      </c>
      <c r="R101">
        <v>0</v>
      </c>
      <c r="T101" t="s">
        <v>50</v>
      </c>
    </row>
    <row r="102" spans="1:22">
      <c r="A102">
        <v>100</v>
      </c>
      <c r="B102">
        <v>748.9908447265625</v>
      </c>
      <c r="C102" t="s">
        <v>436</v>
      </c>
      <c r="D102">
        <v>3.418607234954834</v>
      </c>
      <c r="E102" t="s">
        <v>43</v>
      </c>
      <c r="F102" t="s">
        <v>435</v>
      </c>
      <c r="G102" t="s">
        <v>50</v>
      </c>
      <c r="H102" t="s">
        <v>3</v>
      </c>
      <c r="I102">
        <v>1</v>
      </c>
      <c r="J102">
        <v>742</v>
      </c>
      <c r="K102">
        <v>0</v>
      </c>
      <c r="L102">
        <v>0</v>
      </c>
      <c r="M102">
        <v>742</v>
      </c>
      <c r="N102" s="4">
        <f t="shared" si="1"/>
        <v>9.4216236207040893E-3</v>
      </c>
      <c r="P102">
        <v>0</v>
      </c>
      <c r="Q102">
        <v>0</v>
      </c>
      <c r="R102">
        <v>1</v>
      </c>
      <c r="V102" t="s">
        <v>50</v>
      </c>
    </row>
    <row r="103" spans="1:22">
      <c r="A103">
        <v>101</v>
      </c>
      <c r="B103">
        <v>749.64813232421875</v>
      </c>
      <c r="C103" t="s">
        <v>437</v>
      </c>
      <c r="D103">
        <v>3.7118439674377441</v>
      </c>
      <c r="E103" t="s">
        <v>43</v>
      </c>
      <c r="F103" t="s">
        <v>435</v>
      </c>
      <c r="G103" t="s">
        <v>50</v>
      </c>
      <c r="H103" t="s">
        <v>4</v>
      </c>
      <c r="I103">
        <v>1</v>
      </c>
      <c r="J103">
        <v>742</v>
      </c>
      <c r="K103">
        <v>0</v>
      </c>
      <c r="L103">
        <v>742</v>
      </c>
      <c r="M103">
        <v>0</v>
      </c>
      <c r="N103" s="4">
        <f t="shared" si="1"/>
        <v>1.0307455962558887E-2</v>
      </c>
      <c r="P103">
        <v>0</v>
      </c>
      <c r="Q103">
        <v>1</v>
      </c>
      <c r="R103">
        <v>0</v>
      </c>
      <c r="U103" t="s">
        <v>50</v>
      </c>
    </row>
    <row r="104" spans="1:22">
      <c r="A104">
        <v>102</v>
      </c>
      <c r="B104">
        <v>952.891845703125</v>
      </c>
      <c r="C104" t="s">
        <v>438</v>
      </c>
      <c r="D104">
        <v>3.5976326465606689</v>
      </c>
      <c r="E104" t="s">
        <v>43</v>
      </c>
      <c r="F104" t="s">
        <v>439</v>
      </c>
      <c r="G104" t="s">
        <v>51</v>
      </c>
      <c r="H104" t="s">
        <v>2</v>
      </c>
      <c r="I104">
        <v>1</v>
      </c>
      <c r="J104">
        <v>909</v>
      </c>
      <c r="K104">
        <v>909</v>
      </c>
      <c r="L104">
        <v>0</v>
      </c>
      <c r="M104">
        <v>0</v>
      </c>
      <c r="N104" s="4">
        <f t="shared" si="1"/>
        <v>4.828585885932335E-2</v>
      </c>
      <c r="P104">
        <v>1</v>
      </c>
      <c r="Q104">
        <v>0</v>
      </c>
      <c r="R104">
        <v>0</v>
      </c>
      <c r="T104" t="s">
        <v>51</v>
      </c>
    </row>
    <row r="105" spans="1:22">
      <c r="A105">
        <v>103</v>
      </c>
      <c r="B105">
        <v>933.74188232421875</v>
      </c>
      <c r="C105" t="s">
        <v>440</v>
      </c>
      <c r="D105">
        <v>3.6912741661071782</v>
      </c>
      <c r="E105" t="s">
        <v>43</v>
      </c>
      <c r="F105" t="s">
        <v>439</v>
      </c>
      <c r="G105" t="s">
        <v>51</v>
      </c>
      <c r="H105" t="s">
        <v>3</v>
      </c>
      <c r="I105">
        <v>1</v>
      </c>
      <c r="J105">
        <v>909</v>
      </c>
      <c r="K105">
        <v>0</v>
      </c>
      <c r="L105">
        <v>0</v>
      </c>
      <c r="M105">
        <v>909</v>
      </c>
      <c r="N105" s="4">
        <f t="shared" si="1"/>
        <v>2.7218792435884209E-2</v>
      </c>
      <c r="P105">
        <v>0</v>
      </c>
      <c r="Q105">
        <v>0</v>
      </c>
      <c r="R105">
        <v>1</v>
      </c>
      <c r="V105" t="s">
        <v>51</v>
      </c>
    </row>
    <row r="106" spans="1:22">
      <c r="A106">
        <v>104</v>
      </c>
      <c r="B106">
        <v>934.8466796875</v>
      </c>
      <c r="C106" t="s">
        <v>441</v>
      </c>
      <c r="D106">
        <v>3.8044168949127202</v>
      </c>
      <c r="E106" t="s">
        <v>43</v>
      </c>
      <c r="F106" t="s">
        <v>439</v>
      </c>
      <c r="G106" t="s">
        <v>51</v>
      </c>
      <c r="H106" t="s">
        <v>4</v>
      </c>
      <c r="I106">
        <v>1</v>
      </c>
      <c r="J106">
        <v>909</v>
      </c>
      <c r="K106">
        <v>0</v>
      </c>
      <c r="L106">
        <v>909</v>
      </c>
      <c r="M106">
        <v>0</v>
      </c>
      <c r="N106" s="4">
        <f t="shared" si="1"/>
        <v>2.8434191075357607E-2</v>
      </c>
      <c r="P106">
        <v>0</v>
      </c>
      <c r="Q106">
        <v>1</v>
      </c>
      <c r="R106">
        <v>0</v>
      </c>
      <c r="U106" t="s">
        <v>51</v>
      </c>
    </row>
    <row r="107" spans="1:22">
      <c r="A107">
        <v>105</v>
      </c>
      <c r="B107">
        <v>767.58392333984375</v>
      </c>
      <c r="C107" t="s">
        <v>442</v>
      </c>
      <c r="D107">
        <v>3.5613007545471191</v>
      </c>
      <c r="E107" t="s">
        <v>43</v>
      </c>
      <c r="F107" t="s">
        <v>443</v>
      </c>
      <c r="G107" t="s">
        <v>52</v>
      </c>
      <c r="H107" t="s">
        <v>2</v>
      </c>
      <c r="I107">
        <v>2</v>
      </c>
      <c r="J107">
        <v>751</v>
      </c>
      <c r="K107">
        <v>751</v>
      </c>
      <c r="L107">
        <v>0</v>
      </c>
      <c r="M107">
        <v>0</v>
      </c>
      <c r="N107" s="4">
        <f t="shared" si="1"/>
        <v>2.208245451377322E-2</v>
      </c>
      <c r="P107">
        <v>2</v>
      </c>
      <c r="Q107">
        <v>0</v>
      </c>
      <c r="R107">
        <v>0</v>
      </c>
      <c r="T107" t="s">
        <v>52</v>
      </c>
    </row>
    <row r="108" spans="1:22">
      <c r="A108">
        <v>106</v>
      </c>
      <c r="B108">
        <v>721.7486572265625</v>
      </c>
      <c r="C108" t="s">
        <v>444</v>
      </c>
      <c r="D108">
        <v>3.5613007545471191</v>
      </c>
      <c r="E108" t="s">
        <v>43</v>
      </c>
      <c r="F108" t="s">
        <v>443</v>
      </c>
      <c r="G108" t="s">
        <v>53</v>
      </c>
      <c r="H108" t="s">
        <v>2</v>
      </c>
      <c r="I108">
        <v>2</v>
      </c>
      <c r="J108">
        <v>678</v>
      </c>
      <c r="K108">
        <v>678</v>
      </c>
      <c r="L108">
        <v>0</v>
      </c>
      <c r="M108">
        <v>0</v>
      </c>
      <c r="N108" s="4">
        <f t="shared" si="1"/>
        <v>6.4526043107024256E-2</v>
      </c>
      <c r="P108">
        <v>2</v>
      </c>
      <c r="Q108">
        <v>0</v>
      </c>
      <c r="R108">
        <v>0</v>
      </c>
      <c r="T108" t="s">
        <v>53</v>
      </c>
    </row>
    <row r="109" spans="1:22">
      <c r="A109">
        <v>107</v>
      </c>
      <c r="B109">
        <v>765.96649169921875</v>
      </c>
      <c r="C109" t="s">
        <v>445</v>
      </c>
      <c r="D109">
        <v>3.921587228775024</v>
      </c>
      <c r="E109" t="s">
        <v>43</v>
      </c>
      <c r="F109" t="s">
        <v>443</v>
      </c>
      <c r="G109" t="s">
        <v>52</v>
      </c>
      <c r="H109" t="s">
        <v>3</v>
      </c>
      <c r="I109">
        <v>2</v>
      </c>
      <c r="J109">
        <v>751</v>
      </c>
      <c r="K109">
        <v>0</v>
      </c>
      <c r="L109">
        <v>0</v>
      </c>
      <c r="M109">
        <v>751</v>
      </c>
      <c r="N109" s="4">
        <f t="shared" si="1"/>
        <v>1.9928750598160683E-2</v>
      </c>
      <c r="P109">
        <v>0</v>
      </c>
      <c r="Q109">
        <v>0</v>
      </c>
      <c r="R109">
        <v>2</v>
      </c>
      <c r="V109" t="s">
        <v>52</v>
      </c>
    </row>
    <row r="110" spans="1:22">
      <c r="A110">
        <v>108</v>
      </c>
      <c r="B110">
        <v>731.46734619140625</v>
      </c>
      <c r="C110" t="s">
        <v>446</v>
      </c>
      <c r="D110">
        <v>3.921587228775024</v>
      </c>
      <c r="E110" t="s">
        <v>43</v>
      </c>
      <c r="F110" t="s">
        <v>443</v>
      </c>
      <c r="G110" t="s">
        <v>53</v>
      </c>
      <c r="H110" t="s">
        <v>3</v>
      </c>
      <c r="I110">
        <v>2</v>
      </c>
      <c r="J110">
        <v>678</v>
      </c>
      <c r="K110">
        <v>0</v>
      </c>
      <c r="L110">
        <v>0</v>
      </c>
      <c r="M110">
        <v>678</v>
      </c>
      <c r="N110" s="4">
        <f t="shared" si="1"/>
        <v>7.8860392612693619E-2</v>
      </c>
      <c r="P110">
        <v>0</v>
      </c>
      <c r="Q110">
        <v>0</v>
      </c>
      <c r="R110">
        <v>2</v>
      </c>
      <c r="V110" t="s">
        <v>53</v>
      </c>
    </row>
    <row r="111" spans="1:22">
      <c r="A111">
        <v>109</v>
      </c>
      <c r="B111">
        <v>775.99224853515625</v>
      </c>
      <c r="C111" t="s">
        <v>447</v>
      </c>
      <c r="D111">
        <v>3.777878999710083</v>
      </c>
      <c r="E111" t="s">
        <v>43</v>
      </c>
      <c r="F111" t="s">
        <v>443</v>
      </c>
      <c r="G111" t="s">
        <v>52</v>
      </c>
      <c r="H111" t="s">
        <v>4</v>
      </c>
      <c r="I111">
        <v>2</v>
      </c>
      <c r="J111">
        <v>751</v>
      </c>
      <c r="K111">
        <v>0</v>
      </c>
      <c r="L111">
        <v>751</v>
      </c>
      <c r="M111">
        <v>0</v>
      </c>
      <c r="N111" s="4">
        <f t="shared" si="1"/>
        <v>3.3278626544815282E-2</v>
      </c>
      <c r="P111">
        <v>0</v>
      </c>
      <c r="Q111">
        <v>2</v>
      </c>
      <c r="R111">
        <v>0</v>
      </c>
      <c r="U111" t="s">
        <v>52</v>
      </c>
    </row>
    <row r="112" spans="1:22">
      <c r="A112">
        <v>110</v>
      </c>
      <c r="B112">
        <v>724.060302734375</v>
      </c>
      <c r="C112" t="s">
        <v>448</v>
      </c>
      <c r="D112">
        <v>3.777878999710083</v>
      </c>
      <c r="E112" t="s">
        <v>43</v>
      </c>
      <c r="F112" t="s">
        <v>443</v>
      </c>
      <c r="G112" t="s">
        <v>53</v>
      </c>
      <c r="H112" t="s">
        <v>4</v>
      </c>
      <c r="I112">
        <v>2</v>
      </c>
      <c r="J112">
        <v>678</v>
      </c>
      <c r="K112">
        <v>0</v>
      </c>
      <c r="L112">
        <v>678</v>
      </c>
      <c r="M112">
        <v>0</v>
      </c>
      <c r="N112" s="4">
        <f t="shared" si="1"/>
        <v>6.7935549755715252E-2</v>
      </c>
      <c r="P112">
        <v>0</v>
      </c>
      <c r="Q112">
        <v>2</v>
      </c>
      <c r="R112">
        <v>0</v>
      </c>
      <c r="U112" t="s">
        <v>53</v>
      </c>
    </row>
    <row r="113" spans="1:22">
      <c r="A113">
        <v>111</v>
      </c>
      <c r="B113">
        <v>755.06353759765625</v>
      </c>
      <c r="C113" t="s">
        <v>449</v>
      </c>
      <c r="D113">
        <v>3.7319321632385249</v>
      </c>
      <c r="E113" t="s">
        <v>43</v>
      </c>
      <c r="F113" t="s">
        <v>450</v>
      </c>
      <c r="G113" t="s">
        <v>54</v>
      </c>
      <c r="H113" t="s">
        <v>2</v>
      </c>
      <c r="I113">
        <v>2</v>
      </c>
      <c r="J113">
        <v>741</v>
      </c>
      <c r="K113">
        <v>741</v>
      </c>
      <c r="L113">
        <v>0</v>
      </c>
      <c r="M113">
        <v>0</v>
      </c>
      <c r="N113" s="4">
        <f t="shared" si="1"/>
        <v>1.8979133060264886E-2</v>
      </c>
      <c r="P113">
        <v>2</v>
      </c>
      <c r="Q113">
        <v>0</v>
      </c>
      <c r="R113">
        <v>0</v>
      </c>
      <c r="T113" t="s">
        <v>54</v>
      </c>
    </row>
    <row r="114" spans="1:22">
      <c r="A114">
        <v>112</v>
      </c>
      <c r="B114">
        <v>1377.877685546875</v>
      </c>
      <c r="C114" t="s">
        <v>451</v>
      </c>
      <c r="D114">
        <v>3.7319321632385249</v>
      </c>
      <c r="E114" t="s">
        <v>43</v>
      </c>
      <c r="F114" t="s">
        <v>450</v>
      </c>
      <c r="G114" t="s">
        <v>55</v>
      </c>
      <c r="H114" t="s">
        <v>2</v>
      </c>
      <c r="I114">
        <v>2</v>
      </c>
      <c r="J114">
        <v>1312</v>
      </c>
      <c r="K114">
        <v>1312</v>
      </c>
      <c r="L114">
        <v>0</v>
      </c>
      <c r="M114">
        <v>0</v>
      </c>
      <c r="N114" s="4">
        <f t="shared" si="1"/>
        <v>5.0211650569264465E-2</v>
      </c>
      <c r="P114">
        <v>2</v>
      </c>
      <c r="Q114">
        <v>0</v>
      </c>
      <c r="R114">
        <v>0</v>
      </c>
      <c r="T114" t="s">
        <v>55</v>
      </c>
    </row>
    <row r="115" spans="1:22">
      <c r="A115">
        <v>113</v>
      </c>
      <c r="B115">
        <v>766.98590087890625</v>
      </c>
      <c r="C115" t="s">
        <v>452</v>
      </c>
      <c r="D115">
        <v>3.7842364311218262</v>
      </c>
      <c r="E115" t="s">
        <v>43</v>
      </c>
      <c r="F115" t="s">
        <v>450</v>
      </c>
      <c r="G115" t="s">
        <v>54</v>
      </c>
      <c r="H115" t="s">
        <v>3</v>
      </c>
      <c r="I115">
        <v>2</v>
      </c>
      <c r="J115">
        <v>741</v>
      </c>
      <c r="K115">
        <v>0</v>
      </c>
      <c r="L115">
        <v>0</v>
      </c>
      <c r="M115">
        <v>741</v>
      </c>
      <c r="N115" s="4">
        <f t="shared" si="1"/>
        <v>3.5068692144272884E-2</v>
      </c>
      <c r="P115">
        <v>0</v>
      </c>
      <c r="Q115">
        <v>0</v>
      </c>
      <c r="R115">
        <v>2</v>
      </c>
      <c r="V115" t="s">
        <v>54</v>
      </c>
    </row>
    <row r="116" spans="1:22">
      <c r="A116">
        <v>114</v>
      </c>
      <c r="B116">
        <v>1321.339599609375</v>
      </c>
      <c r="C116" t="s">
        <v>453</v>
      </c>
      <c r="D116">
        <v>3.7842364311218262</v>
      </c>
      <c r="E116" t="s">
        <v>43</v>
      </c>
      <c r="F116" t="s">
        <v>450</v>
      </c>
      <c r="G116" t="s">
        <v>55</v>
      </c>
      <c r="H116" t="s">
        <v>3</v>
      </c>
      <c r="I116">
        <v>2</v>
      </c>
      <c r="J116">
        <v>1312</v>
      </c>
      <c r="K116">
        <v>0</v>
      </c>
      <c r="L116">
        <v>0</v>
      </c>
      <c r="M116">
        <v>1312</v>
      </c>
      <c r="N116" s="4">
        <f t="shared" si="1"/>
        <v>7.1185972632430428E-3</v>
      </c>
      <c r="P116">
        <v>0</v>
      </c>
      <c r="Q116">
        <v>0</v>
      </c>
      <c r="R116">
        <v>2</v>
      </c>
      <c r="V116" t="s">
        <v>55</v>
      </c>
    </row>
    <row r="117" spans="1:22">
      <c r="A117">
        <v>115</v>
      </c>
      <c r="B117">
        <v>765.8094482421875</v>
      </c>
      <c r="C117" t="s">
        <v>454</v>
      </c>
      <c r="D117">
        <v>3.7969024181365971</v>
      </c>
      <c r="E117" t="s">
        <v>43</v>
      </c>
      <c r="F117" t="s">
        <v>450</v>
      </c>
      <c r="G117" t="s">
        <v>54</v>
      </c>
      <c r="H117" t="s">
        <v>4</v>
      </c>
      <c r="I117">
        <v>2</v>
      </c>
      <c r="J117">
        <v>741</v>
      </c>
      <c r="K117">
        <v>0</v>
      </c>
      <c r="L117">
        <v>741</v>
      </c>
      <c r="M117">
        <v>0</v>
      </c>
      <c r="N117" s="4">
        <f t="shared" si="1"/>
        <v>3.3481036764085648E-2</v>
      </c>
      <c r="P117">
        <v>0</v>
      </c>
      <c r="Q117">
        <v>2</v>
      </c>
      <c r="R117">
        <v>0</v>
      </c>
      <c r="U117" t="s">
        <v>54</v>
      </c>
    </row>
    <row r="118" spans="1:22">
      <c r="A118">
        <v>116</v>
      </c>
      <c r="B118">
        <v>1319.377685546875</v>
      </c>
      <c r="C118" t="s">
        <v>455</v>
      </c>
      <c r="D118">
        <v>3.7969024181365971</v>
      </c>
      <c r="E118" t="s">
        <v>43</v>
      </c>
      <c r="F118" t="s">
        <v>450</v>
      </c>
      <c r="G118" t="s">
        <v>55</v>
      </c>
      <c r="H118" t="s">
        <v>4</v>
      </c>
      <c r="I118">
        <v>2</v>
      </c>
      <c r="J118">
        <v>1312</v>
      </c>
      <c r="K118">
        <v>0</v>
      </c>
      <c r="L118">
        <v>1312</v>
      </c>
      <c r="M118">
        <v>0</v>
      </c>
      <c r="N118" s="4">
        <f t="shared" si="1"/>
        <v>5.6232359351180428E-3</v>
      </c>
      <c r="P118">
        <v>0</v>
      </c>
      <c r="Q118">
        <v>2</v>
      </c>
      <c r="R118">
        <v>0</v>
      </c>
      <c r="U118" t="s">
        <v>55</v>
      </c>
    </row>
    <row r="119" spans="1:22">
      <c r="A119">
        <v>117</v>
      </c>
      <c r="B119">
        <v>1075.782104492188</v>
      </c>
      <c r="C119" t="s">
        <v>456</v>
      </c>
      <c r="D119">
        <v>3.636492252349854</v>
      </c>
      <c r="E119" t="s">
        <v>43</v>
      </c>
      <c r="F119" t="s">
        <v>457</v>
      </c>
      <c r="G119" t="s">
        <v>56</v>
      </c>
      <c r="H119" t="s">
        <v>2</v>
      </c>
      <c r="I119">
        <v>1</v>
      </c>
      <c r="J119">
        <v>1032</v>
      </c>
      <c r="K119">
        <v>1032</v>
      </c>
      <c r="L119">
        <v>0</v>
      </c>
      <c r="M119">
        <v>0</v>
      </c>
      <c r="N119" s="4">
        <f t="shared" si="1"/>
        <v>4.2424519856771203E-2</v>
      </c>
      <c r="P119">
        <v>1</v>
      </c>
      <c r="Q119">
        <v>0</v>
      </c>
      <c r="R119">
        <v>0</v>
      </c>
      <c r="T119" t="s">
        <v>56</v>
      </c>
    </row>
    <row r="120" spans="1:22">
      <c r="A120">
        <v>118</v>
      </c>
      <c r="B120">
        <v>1032</v>
      </c>
      <c r="C120" t="s">
        <v>458</v>
      </c>
      <c r="D120">
        <v>3.9761064052581792</v>
      </c>
      <c r="E120" t="s">
        <v>43</v>
      </c>
      <c r="F120" t="s">
        <v>457</v>
      </c>
      <c r="G120" t="s">
        <v>56</v>
      </c>
      <c r="H120" t="s">
        <v>3</v>
      </c>
      <c r="I120">
        <v>1</v>
      </c>
      <c r="J120">
        <v>1032</v>
      </c>
      <c r="K120">
        <v>0</v>
      </c>
      <c r="L120">
        <v>0</v>
      </c>
      <c r="M120">
        <v>1032</v>
      </c>
      <c r="N120" s="4">
        <f t="shared" si="1"/>
        <v>0</v>
      </c>
      <c r="P120">
        <v>0</v>
      </c>
      <c r="Q120">
        <v>0</v>
      </c>
      <c r="R120">
        <v>1</v>
      </c>
      <c r="V120" t="s">
        <v>56</v>
      </c>
    </row>
    <row r="121" spans="1:22">
      <c r="A121">
        <v>119</v>
      </c>
      <c r="B121">
        <v>1086.526000976562</v>
      </c>
      <c r="C121" t="s">
        <v>459</v>
      </c>
      <c r="D121">
        <v>3.9197759628295898</v>
      </c>
      <c r="E121" t="s">
        <v>43</v>
      </c>
      <c r="F121" t="s">
        <v>457</v>
      </c>
      <c r="G121" t="s">
        <v>56</v>
      </c>
      <c r="H121" t="s">
        <v>4</v>
      </c>
      <c r="I121">
        <v>1</v>
      </c>
      <c r="J121">
        <v>1032</v>
      </c>
      <c r="K121">
        <v>0</v>
      </c>
      <c r="L121">
        <v>1032</v>
      </c>
      <c r="M121">
        <v>0</v>
      </c>
      <c r="N121" s="4">
        <f t="shared" si="1"/>
        <v>5.2835272264110555E-2</v>
      </c>
      <c r="P121">
        <v>0</v>
      </c>
      <c r="Q121">
        <v>1</v>
      </c>
      <c r="R121">
        <v>0</v>
      </c>
      <c r="U121" t="s">
        <v>56</v>
      </c>
    </row>
    <row r="122" spans="1:22">
      <c r="A122">
        <v>120</v>
      </c>
      <c r="B122">
        <v>765.9571533203125</v>
      </c>
      <c r="C122" t="s">
        <v>460</v>
      </c>
      <c r="D122">
        <v>3.5856132507324219</v>
      </c>
      <c r="E122" t="s">
        <v>43</v>
      </c>
      <c r="F122" t="s">
        <v>461</v>
      </c>
      <c r="G122" t="s">
        <v>57</v>
      </c>
      <c r="H122" t="s">
        <v>2</v>
      </c>
      <c r="I122">
        <v>1</v>
      </c>
      <c r="J122">
        <v>747</v>
      </c>
      <c r="K122">
        <v>747</v>
      </c>
      <c r="L122">
        <v>0</v>
      </c>
      <c r="M122">
        <v>0</v>
      </c>
      <c r="N122" s="4">
        <f t="shared" si="1"/>
        <v>2.537771528823618E-2</v>
      </c>
      <c r="P122">
        <v>1</v>
      </c>
      <c r="Q122">
        <v>0</v>
      </c>
      <c r="R122">
        <v>0</v>
      </c>
      <c r="T122" t="s">
        <v>57</v>
      </c>
    </row>
    <row r="123" spans="1:22">
      <c r="A123">
        <v>121</v>
      </c>
      <c r="B123">
        <v>770.35040283203125</v>
      </c>
      <c r="C123" t="s">
        <v>462</v>
      </c>
      <c r="D123">
        <v>3.771407842636108</v>
      </c>
      <c r="E123" t="s">
        <v>43</v>
      </c>
      <c r="F123" t="s">
        <v>461</v>
      </c>
      <c r="G123" t="s">
        <v>57</v>
      </c>
      <c r="H123" t="s">
        <v>3</v>
      </c>
      <c r="I123">
        <v>1</v>
      </c>
      <c r="J123">
        <v>747</v>
      </c>
      <c r="K123">
        <v>0</v>
      </c>
      <c r="L123">
        <v>0</v>
      </c>
      <c r="M123">
        <v>747</v>
      </c>
      <c r="N123" s="4">
        <f t="shared" si="1"/>
        <v>3.1258906066976344E-2</v>
      </c>
      <c r="P123">
        <v>0</v>
      </c>
      <c r="Q123">
        <v>0</v>
      </c>
      <c r="R123">
        <v>1</v>
      </c>
      <c r="V123" t="s">
        <v>57</v>
      </c>
    </row>
    <row r="124" spans="1:22">
      <c r="A124">
        <v>122</v>
      </c>
      <c r="B124">
        <v>758.03424072265625</v>
      </c>
      <c r="C124" t="s">
        <v>463</v>
      </c>
      <c r="D124">
        <v>4.0659630298614502</v>
      </c>
      <c r="E124" t="s">
        <v>43</v>
      </c>
      <c r="F124" t="s">
        <v>461</v>
      </c>
      <c r="G124" t="s">
        <v>57</v>
      </c>
      <c r="H124" t="s">
        <v>4</v>
      </c>
      <c r="I124">
        <v>1</v>
      </c>
      <c r="J124">
        <v>747</v>
      </c>
      <c r="K124">
        <v>0</v>
      </c>
      <c r="L124">
        <v>747</v>
      </c>
      <c r="M124">
        <v>0</v>
      </c>
      <c r="N124" s="4">
        <f t="shared" si="1"/>
        <v>1.477140658990117E-2</v>
      </c>
      <c r="P124">
        <v>0</v>
      </c>
      <c r="Q124">
        <v>1</v>
      </c>
      <c r="R124">
        <v>0</v>
      </c>
      <c r="U124" t="s">
        <v>57</v>
      </c>
    </row>
    <row r="125" spans="1:22">
      <c r="A125">
        <v>123</v>
      </c>
      <c r="B125">
        <v>735.464599609375</v>
      </c>
      <c r="C125" t="s">
        <v>464</v>
      </c>
      <c r="D125">
        <v>4.7463269233703613</v>
      </c>
      <c r="E125" t="s">
        <v>43</v>
      </c>
      <c r="F125" t="s">
        <v>465</v>
      </c>
      <c r="G125" t="s">
        <v>58</v>
      </c>
      <c r="H125" t="s">
        <v>2</v>
      </c>
      <c r="I125">
        <v>1</v>
      </c>
      <c r="J125">
        <v>707</v>
      </c>
      <c r="K125">
        <v>707</v>
      </c>
      <c r="L125">
        <v>0</v>
      </c>
      <c r="M125">
        <v>0</v>
      </c>
      <c r="N125" s="4">
        <f t="shared" si="1"/>
        <v>4.0261102700671847E-2</v>
      </c>
      <c r="P125">
        <v>1</v>
      </c>
      <c r="Q125">
        <v>0</v>
      </c>
      <c r="R125">
        <v>0</v>
      </c>
      <c r="T125" t="s">
        <v>58</v>
      </c>
    </row>
    <row r="126" spans="1:22">
      <c r="A126">
        <v>124</v>
      </c>
      <c r="B126">
        <v>747.7633056640625</v>
      </c>
      <c r="C126" t="s">
        <v>466</v>
      </c>
      <c r="D126">
        <v>4.1702108383178711</v>
      </c>
      <c r="E126" t="s">
        <v>43</v>
      </c>
      <c r="F126" t="s">
        <v>465</v>
      </c>
      <c r="G126" t="s">
        <v>58</v>
      </c>
      <c r="H126" t="s">
        <v>3</v>
      </c>
      <c r="I126">
        <v>1</v>
      </c>
      <c r="J126">
        <v>707</v>
      </c>
      <c r="K126">
        <v>0</v>
      </c>
      <c r="L126">
        <v>0</v>
      </c>
      <c r="M126">
        <v>707</v>
      </c>
      <c r="N126" s="4">
        <f t="shared" si="1"/>
        <v>5.765672654039955E-2</v>
      </c>
      <c r="P126">
        <v>0</v>
      </c>
      <c r="Q126">
        <v>0</v>
      </c>
      <c r="R126">
        <v>1</v>
      </c>
      <c r="V126" t="s">
        <v>58</v>
      </c>
    </row>
    <row r="127" spans="1:22">
      <c r="A127">
        <v>125</v>
      </c>
      <c r="B127">
        <v>745.91302490234375</v>
      </c>
      <c r="C127" t="s">
        <v>467</v>
      </c>
      <c r="D127">
        <v>3.977002859115601</v>
      </c>
      <c r="E127" t="s">
        <v>43</v>
      </c>
      <c r="F127" t="s">
        <v>465</v>
      </c>
      <c r="G127" t="s">
        <v>58</v>
      </c>
      <c r="H127" t="s">
        <v>4</v>
      </c>
      <c r="I127">
        <v>1</v>
      </c>
      <c r="J127">
        <v>707</v>
      </c>
      <c r="K127">
        <v>0</v>
      </c>
      <c r="L127">
        <v>707</v>
      </c>
      <c r="M127">
        <v>0</v>
      </c>
      <c r="N127" s="4">
        <f t="shared" si="1"/>
        <v>5.5039639182947298E-2</v>
      </c>
      <c r="P127">
        <v>0</v>
      </c>
      <c r="Q127">
        <v>1</v>
      </c>
      <c r="R127">
        <v>0</v>
      </c>
      <c r="U127" t="s">
        <v>58</v>
      </c>
    </row>
    <row r="128" spans="1:22">
      <c r="A128">
        <v>126</v>
      </c>
      <c r="B128">
        <v>1154.673461914062</v>
      </c>
      <c r="C128" t="s">
        <v>468</v>
      </c>
      <c r="D128">
        <v>6.7441813945770264</v>
      </c>
      <c r="E128" t="s">
        <v>43</v>
      </c>
      <c r="F128" t="s">
        <v>469</v>
      </c>
      <c r="G128" t="s">
        <v>59</v>
      </c>
      <c r="H128" t="s">
        <v>2</v>
      </c>
      <c r="I128">
        <v>2</v>
      </c>
      <c r="J128">
        <v>1153</v>
      </c>
      <c r="K128">
        <v>1153</v>
      </c>
      <c r="L128">
        <v>0</v>
      </c>
      <c r="M128">
        <v>0</v>
      </c>
      <c r="N128" s="4">
        <f t="shared" si="1"/>
        <v>1.4513980173997965E-3</v>
      </c>
      <c r="P128">
        <v>2</v>
      </c>
      <c r="Q128">
        <v>0</v>
      </c>
      <c r="R128">
        <v>0</v>
      </c>
      <c r="T128" t="s">
        <v>59</v>
      </c>
    </row>
    <row r="129" spans="1:22">
      <c r="A129">
        <v>127</v>
      </c>
      <c r="B129">
        <v>1645.4404296875</v>
      </c>
      <c r="C129" t="s">
        <v>470</v>
      </c>
      <c r="D129">
        <v>6.7441813945770264</v>
      </c>
      <c r="E129" t="s">
        <v>43</v>
      </c>
      <c r="F129" t="s">
        <v>469</v>
      </c>
      <c r="G129" t="s">
        <v>60</v>
      </c>
      <c r="H129" t="s">
        <v>2</v>
      </c>
      <c r="I129">
        <v>2</v>
      </c>
      <c r="J129">
        <v>1598</v>
      </c>
      <c r="K129">
        <v>1598</v>
      </c>
      <c r="L129">
        <v>0</v>
      </c>
      <c r="M129">
        <v>0</v>
      </c>
      <c r="N129" s="4">
        <f t="shared" si="1"/>
        <v>2.9687377776908663E-2</v>
      </c>
      <c r="P129">
        <v>2</v>
      </c>
      <c r="Q129">
        <v>0</v>
      </c>
      <c r="R129">
        <v>0</v>
      </c>
      <c r="T129" t="s">
        <v>60</v>
      </c>
    </row>
    <row r="130" spans="1:22">
      <c r="A130">
        <v>128</v>
      </c>
      <c r="B130">
        <v>1258.650146484375</v>
      </c>
      <c r="C130" t="s">
        <v>471</v>
      </c>
      <c r="D130">
        <v>6.1280777454376221</v>
      </c>
      <c r="E130" t="s">
        <v>43</v>
      </c>
      <c r="F130" t="s">
        <v>469</v>
      </c>
      <c r="G130" t="s">
        <v>59</v>
      </c>
      <c r="H130" t="s">
        <v>3</v>
      </c>
      <c r="I130">
        <v>2</v>
      </c>
      <c r="J130">
        <v>1153</v>
      </c>
      <c r="K130">
        <v>0</v>
      </c>
      <c r="L130">
        <v>0</v>
      </c>
      <c r="M130">
        <v>1153</v>
      </c>
      <c r="N130" s="4">
        <f t="shared" ref="N130:N193" si="2">IFERROR(B130/J130-1,"")</f>
        <v>9.1630656100932351E-2</v>
      </c>
      <c r="P130">
        <v>0</v>
      </c>
      <c r="Q130">
        <v>0</v>
      </c>
      <c r="R130">
        <v>2</v>
      </c>
      <c r="V130" t="s">
        <v>59</v>
      </c>
    </row>
    <row r="131" spans="1:22">
      <c r="A131">
        <v>129</v>
      </c>
      <c r="B131">
        <v>1634.6865234375</v>
      </c>
      <c r="C131" t="s">
        <v>472</v>
      </c>
      <c r="D131">
        <v>6.1280777454376221</v>
      </c>
      <c r="E131" t="s">
        <v>43</v>
      </c>
      <c r="F131" t="s">
        <v>469</v>
      </c>
      <c r="G131" t="s">
        <v>60</v>
      </c>
      <c r="H131" t="s">
        <v>3</v>
      </c>
      <c r="I131">
        <v>2</v>
      </c>
      <c r="J131">
        <v>1598</v>
      </c>
      <c r="K131">
        <v>0</v>
      </c>
      <c r="L131">
        <v>0</v>
      </c>
      <c r="M131">
        <v>1598</v>
      </c>
      <c r="N131" s="4">
        <f t="shared" si="2"/>
        <v>2.2957774366395567E-2</v>
      </c>
      <c r="P131">
        <v>0</v>
      </c>
      <c r="Q131">
        <v>0</v>
      </c>
      <c r="R131">
        <v>2</v>
      </c>
      <c r="V131" t="s">
        <v>60</v>
      </c>
    </row>
    <row r="132" spans="1:22">
      <c r="A132">
        <v>130</v>
      </c>
      <c r="B132">
        <v>1158.048583984375</v>
      </c>
      <c r="C132" t="s">
        <v>473</v>
      </c>
      <c r="D132">
        <v>6.0994689464569092</v>
      </c>
      <c r="E132" t="s">
        <v>43</v>
      </c>
      <c r="F132" t="s">
        <v>469</v>
      </c>
      <c r="G132" t="s">
        <v>59</v>
      </c>
      <c r="H132" t="s">
        <v>4</v>
      </c>
      <c r="I132">
        <v>2</v>
      </c>
      <c r="J132">
        <v>1153</v>
      </c>
      <c r="K132">
        <v>0</v>
      </c>
      <c r="L132">
        <v>1153</v>
      </c>
      <c r="M132">
        <v>0</v>
      </c>
      <c r="N132" s="4">
        <f t="shared" si="2"/>
        <v>4.3786504634648615E-3</v>
      </c>
      <c r="P132">
        <v>0</v>
      </c>
      <c r="Q132">
        <v>2</v>
      </c>
      <c r="R132">
        <v>0</v>
      </c>
      <c r="U132" t="s">
        <v>59</v>
      </c>
    </row>
    <row r="133" spans="1:22">
      <c r="A133">
        <v>131</v>
      </c>
      <c r="B133">
        <v>1674.2548828125</v>
      </c>
      <c r="C133" t="s">
        <v>474</v>
      </c>
      <c r="D133">
        <v>6.0994689464569092</v>
      </c>
      <c r="E133" t="s">
        <v>43</v>
      </c>
      <c r="F133" t="s">
        <v>469</v>
      </c>
      <c r="G133" t="s">
        <v>60</v>
      </c>
      <c r="H133" t="s">
        <v>4</v>
      </c>
      <c r="I133">
        <v>2</v>
      </c>
      <c r="J133">
        <v>1598</v>
      </c>
      <c r="K133">
        <v>0</v>
      </c>
      <c r="L133">
        <v>1598</v>
      </c>
      <c r="M133">
        <v>0</v>
      </c>
      <c r="N133" s="4">
        <f t="shared" si="2"/>
        <v>4.7718950445869934E-2</v>
      </c>
      <c r="P133">
        <v>0</v>
      </c>
      <c r="Q133">
        <v>2</v>
      </c>
      <c r="R133">
        <v>0</v>
      </c>
      <c r="U133" t="s">
        <v>60</v>
      </c>
    </row>
    <row r="134" spans="1:22">
      <c r="A134">
        <v>132</v>
      </c>
      <c r="B134">
        <v>1594.927978515625</v>
      </c>
      <c r="C134" t="s">
        <v>475</v>
      </c>
      <c r="D134">
        <v>3.4211945533752441</v>
      </c>
      <c r="E134" t="s">
        <v>43</v>
      </c>
      <c r="F134" t="s">
        <v>476</v>
      </c>
      <c r="G134" t="s">
        <v>61</v>
      </c>
      <c r="H134" t="s">
        <v>2</v>
      </c>
      <c r="I134">
        <v>1</v>
      </c>
      <c r="J134">
        <v>1496</v>
      </c>
      <c r="K134">
        <v>1496</v>
      </c>
      <c r="L134">
        <v>0</v>
      </c>
      <c r="M134">
        <v>0</v>
      </c>
      <c r="N134" s="4">
        <f t="shared" si="2"/>
        <v>6.6128327884775961E-2</v>
      </c>
      <c r="P134">
        <v>1</v>
      </c>
      <c r="Q134">
        <v>0</v>
      </c>
      <c r="R134">
        <v>0</v>
      </c>
      <c r="T134" t="s">
        <v>61</v>
      </c>
    </row>
    <row r="135" spans="1:22">
      <c r="A135">
        <v>133</v>
      </c>
      <c r="B135">
        <v>1599.09033203125</v>
      </c>
      <c r="C135" t="s">
        <v>477</v>
      </c>
      <c r="D135">
        <v>4.073063850402832</v>
      </c>
      <c r="E135" t="s">
        <v>43</v>
      </c>
      <c r="F135" t="s">
        <v>476</v>
      </c>
      <c r="G135" t="s">
        <v>61</v>
      </c>
      <c r="H135" t="s">
        <v>3</v>
      </c>
      <c r="I135">
        <v>1</v>
      </c>
      <c r="J135">
        <v>1496</v>
      </c>
      <c r="K135">
        <v>0</v>
      </c>
      <c r="L135">
        <v>0</v>
      </c>
      <c r="M135">
        <v>1496</v>
      </c>
      <c r="N135" s="4">
        <f t="shared" si="2"/>
        <v>6.8910649753509468E-2</v>
      </c>
      <c r="P135">
        <v>0</v>
      </c>
      <c r="Q135">
        <v>0</v>
      </c>
      <c r="R135">
        <v>1</v>
      </c>
      <c r="V135" t="s">
        <v>61</v>
      </c>
    </row>
    <row r="136" spans="1:22">
      <c r="A136">
        <v>134</v>
      </c>
      <c r="B136">
        <v>1560.762084960938</v>
      </c>
      <c r="C136" t="s">
        <v>478</v>
      </c>
      <c r="D136">
        <v>4.015559196472168</v>
      </c>
      <c r="E136" t="s">
        <v>43</v>
      </c>
      <c r="F136" t="s">
        <v>476</v>
      </c>
      <c r="G136" t="s">
        <v>61</v>
      </c>
      <c r="H136" t="s">
        <v>4</v>
      </c>
      <c r="I136">
        <v>1</v>
      </c>
      <c r="J136">
        <v>1496</v>
      </c>
      <c r="K136">
        <v>0</v>
      </c>
      <c r="L136">
        <v>1496</v>
      </c>
      <c r="M136">
        <v>0</v>
      </c>
      <c r="N136" s="4">
        <f t="shared" si="2"/>
        <v>4.3290163743942456E-2</v>
      </c>
      <c r="P136">
        <v>0</v>
      </c>
      <c r="Q136">
        <v>1</v>
      </c>
      <c r="R136">
        <v>0</v>
      </c>
      <c r="U136" t="s">
        <v>61</v>
      </c>
    </row>
    <row r="137" spans="1:22">
      <c r="A137">
        <v>135</v>
      </c>
      <c r="B137">
        <v>1011.741943359375</v>
      </c>
      <c r="C137" t="s">
        <v>479</v>
      </c>
      <c r="D137">
        <v>3.1968626976013179</v>
      </c>
      <c r="E137" t="s">
        <v>43</v>
      </c>
      <c r="F137" t="s">
        <v>480</v>
      </c>
      <c r="G137" t="s">
        <v>62</v>
      </c>
      <c r="H137" t="s">
        <v>2</v>
      </c>
      <c r="I137">
        <v>1</v>
      </c>
      <c r="J137">
        <v>861</v>
      </c>
      <c r="K137">
        <v>861</v>
      </c>
      <c r="L137">
        <v>0</v>
      </c>
      <c r="M137">
        <v>0</v>
      </c>
      <c r="N137" s="4">
        <f t="shared" si="2"/>
        <v>0.17507775070775256</v>
      </c>
      <c r="P137">
        <v>1</v>
      </c>
      <c r="Q137">
        <v>0</v>
      </c>
      <c r="R137">
        <v>0</v>
      </c>
      <c r="T137" t="s">
        <v>62</v>
      </c>
    </row>
    <row r="138" spans="1:22">
      <c r="A138">
        <v>136</v>
      </c>
      <c r="B138">
        <v>904.2711181640625</v>
      </c>
      <c r="C138" t="s">
        <v>481</v>
      </c>
      <c r="D138">
        <v>3.9955954551696782</v>
      </c>
      <c r="E138" t="s">
        <v>43</v>
      </c>
      <c r="F138" t="s">
        <v>480</v>
      </c>
      <c r="G138" t="s">
        <v>62</v>
      </c>
      <c r="H138" t="s">
        <v>3</v>
      </c>
      <c r="I138">
        <v>1</v>
      </c>
      <c r="J138">
        <v>861</v>
      </c>
      <c r="K138">
        <v>0</v>
      </c>
      <c r="L138">
        <v>0</v>
      </c>
      <c r="M138">
        <v>861</v>
      </c>
      <c r="N138" s="4">
        <f t="shared" si="2"/>
        <v>5.025681552155925E-2</v>
      </c>
      <c r="P138">
        <v>0</v>
      </c>
      <c r="Q138">
        <v>0</v>
      </c>
      <c r="R138">
        <v>1</v>
      </c>
      <c r="V138" t="s">
        <v>62</v>
      </c>
    </row>
    <row r="139" spans="1:22">
      <c r="A139">
        <v>137</v>
      </c>
      <c r="B139">
        <v>923.8909912109375</v>
      </c>
      <c r="C139" t="s">
        <v>482</v>
      </c>
      <c r="D139">
        <v>4.0414919853210449</v>
      </c>
      <c r="E139" t="s">
        <v>43</v>
      </c>
      <c r="F139" t="s">
        <v>480</v>
      </c>
      <c r="G139" t="s">
        <v>62</v>
      </c>
      <c r="H139" t="s">
        <v>4</v>
      </c>
      <c r="I139">
        <v>1</v>
      </c>
      <c r="J139">
        <v>861</v>
      </c>
      <c r="K139">
        <v>0</v>
      </c>
      <c r="L139">
        <v>861</v>
      </c>
      <c r="M139">
        <v>0</v>
      </c>
      <c r="N139" s="4">
        <f t="shared" si="2"/>
        <v>7.3044124519091147E-2</v>
      </c>
      <c r="P139">
        <v>0</v>
      </c>
      <c r="Q139">
        <v>1</v>
      </c>
      <c r="R139">
        <v>0</v>
      </c>
      <c r="U139" t="s">
        <v>62</v>
      </c>
    </row>
    <row r="140" spans="1:22">
      <c r="A140">
        <v>138</v>
      </c>
      <c r="B140">
        <v>1352.983154296875</v>
      </c>
      <c r="C140" t="s">
        <v>483</v>
      </c>
      <c r="D140">
        <v>3.208794116973877</v>
      </c>
      <c r="E140" t="s">
        <v>43</v>
      </c>
      <c r="F140" t="s">
        <v>484</v>
      </c>
      <c r="G140" t="s">
        <v>63</v>
      </c>
      <c r="H140" t="s">
        <v>2</v>
      </c>
      <c r="I140">
        <v>1</v>
      </c>
      <c r="J140">
        <v>1316</v>
      </c>
      <c r="K140">
        <v>1316</v>
      </c>
      <c r="L140">
        <v>0</v>
      </c>
      <c r="M140">
        <v>0</v>
      </c>
      <c r="N140" s="4">
        <f t="shared" si="2"/>
        <v>2.8102700833491534E-2</v>
      </c>
      <c r="P140">
        <v>1</v>
      </c>
      <c r="Q140">
        <v>0</v>
      </c>
      <c r="R140">
        <v>0</v>
      </c>
      <c r="T140" t="s">
        <v>63</v>
      </c>
    </row>
    <row r="141" spans="1:22">
      <c r="A141">
        <v>139</v>
      </c>
      <c r="B141">
        <v>1403.8740234375</v>
      </c>
      <c r="C141" t="s">
        <v>485</v>
      </c>
      <c r="D141">
        <v>3.9513182640075679</v>
      </c>
      <c r="E141" t="s">
        <v>43</v>
      </c>
      <c r="F141" t="s">
        <v>484</v>
      </c>
      <c r="G141" t="s">
        <v>63</v>
      </c>
      <c r="H141" t="s">
        <v>3</v>
      </c>
      <c r="I141">
        <v>1</v>
      </c>
      <c r="J141">
        <v>1316</v>
      </c>
      <c r="K141">
        <v>0</v>
      </c>
      <c r="L141">
        <v>0</v>
      </c>
      <c r="M141">
        <v>1316</v>
      </c>
      <c r="N141" s="4">
        <f t="shared" si="2"/>
        <v>6.6773574040653427E-2</v>
      </c>
      <c r="P141">
        <v>0</v>
      </c>
      <c r="Q141">
        <v>0</v>
      </c>
      <c r="R141">
        <v>1</v>
      </c>
      <c r="V141" t="s">
        <v>63</v>
      </c>
    </row>
    <row r="142" spans="1:22">
      <c r="A142">
        <v>140</v>
      </c>
      <c r="B142">
        <v>1345.113037109375</v>
      </c>
      <c r="C142" t="s">
        <v>486</v>
      </c>
      <c r="D142">
        <v>3.7631993293762211</v>
      </c>
      <c r="E142" t="s">
        <v>43</v>
      </c>
      <c r="F142" t="s">
        <v>484</v>
      </c>
      <c r="G142" t="s">
        <v>63</v>
      </c>
      <c r="H142" t="s">
        <v>4</v>
      </c>
      <c r="I142">
        <v>1</v>
      </c>
      <c r="J142">
        <v>1316</v>
      </c>
      <c r="K142">
        <v>0</v>
      </c>
      <c r="L142">
        <v>1316</v>
      </c>
      <c r="M142">
        <v>0</v>
      </c>
      <c r="N142" s="4">
        <f t="shared" si="2"/>
        <v>2.2122368624145183E-2</v>
      </c>
      <c r="P142">
        <v>0</v>
      </c>
      <c r="Q142">
        <v>1</v>
      </c>
      <c r="R142">
        <v>0</v>
      </c>
      <c r="U142" t="s">
        <v>63</v>
      </c>
    </row>
    <row r="143" spans="1:22">
      <c r="A143">
        <v>141</v>
      </c>
      <c r="B143">
        <v>1101.571533203125</v>
      </c>
      <c r="C143" t="s">
        <v>487</v>
      </c>
      <c r="D143">
        <v>3.4797782897949219</v>
      </c>
      <c r="E143" t="s">
        <v>43</v>
      </c>
      <c r="F143" t="s">
        <v>488</v>
      </c>
      <c r="G143" t="s">
        <v>64</v>
      </c>
      <c r="H143" t="s">
        <v>2</v>
      </c>
      <c r="I143">
        <v>1</v>
      </c>
      <c r="J143">
        <v>1032</v>
      </c>
      <c r="K143">
        <v>1032</v>
      </c>
      <c r="L143">
        <v>0</v>
      </c>
      <c r="M143">
        <v>0</v>
      </c>
      <c r="N143" s="4">
        <f t="shared" si="2"/>
        <v>6.7414276359617276E-2</v>
      </c>
      <c r="P143">
        <v>1</v>
      </c>
      <c r="Q143">
        <v>0</v>
      </c>
      <c r="R143">
        <v>0</v>
      </c>
      <c r="T143" t="s">
        <v>64</v>
      </c>
    </row>
    <row r="144" spans="1:22">
      <c r="A144">
        <v>142</v>
      </c>
      <c r="B144">
        <v>1080.079223632812</v>
      </c>
      <c r="C144" t="s">
        <v>489</v>
      </c>
      <c r="D144">
        <v>6.5571582317352286</v>
      </c>
      <c r="E144" t="s">
        <v>43</v>
      </c>
      <c r="F144" t="s">
        <v>488</v>
      </c>
      <c r="G144" t="s">
        <v>64</v>
      </c>
      <c r="H144" t="s">
        <v>3</v>
      </c>
      <c r="I144">
        <v>1</v>
      </c>
      <c r="J144">
        <v>1032</v>
      </c>
      <c r="K144">
        <v>0</v>
      </c>
      <c r="L144">
        <v>0</v>
      </c>
      <c r="M144">
        <v>1032</v>
      </c>
      <c r="N144" s="4">
        <f t="shared" si="2"/>
        <v>4.6588394993035021E-2</v>
      </c>
      <c r="P144">
        <v>0</v>
      </c>
      <c r="Q144">
        <v>0</v>
      </c>
      <c r="R144">
        <v>1</v>
      </c>
      <c r="V144" t="s">
        <v>64</v>
      </c>
    </row>
    <row r="145" spans="1:22">
      <c r="A145">
        <v>143</v>
      </c>
      <c r="B145">
        <v>1061.993408203125</v>
      </c>
      <c r="C145" t="s">
        <v>490</v>
      </c>
      <c r="D145">
        <v>5.2495715618133536</v>
      </c>
      <c r="E145" t="s">
        <v>43</v>
      </c>
      <c r="F145" t="s">
        <v>488</v>
      </c>
      <c r="G145" t="s">
        <v>64</v>
      </c>
      <c r="H145" t="s">
        <v>4</v>
      </c>
      <c r="I145">
        <v>1</v>
      </c>
      <c r="J145">
        <v>1032</v>
      </c>
      <c r="K145">
        <v>0</v>
      </c>
      <c r="L145">
        <v>1032</v>
      </c>
      <c r="M145">
        <v>0</v>
      </c>
      <c r="N145" s="4">
        <f t="shared" si="2"/>
        <v>2.9063380041787878E-2</v>
      </c>
      <c r="P145">
        <v>0</v>
      </c>
      <c r="Q145">
        <v>1</v>
      </c>
      <c r="R145">
        <v>0</v>
      </c>
      <c r="U145" t="s">
        <v>64</v>
      </c>
    </row>
    <row r="146" spans="1:22">
      <c r="A146">
        <v>144</v>
      </c>
      <c r="B146">
        <v>1308.436157226562</v>
      </c>
      <c r="C146" t="s">
        <v>491</v>
      </c>
      <c r="D146">
        <v>3.266353845596313</v>
      </c>
      <c r="E146" t="s">
        <v>43</v>
      </c>
      <c r="F146" t="s">
        <v>492</v>
      </c>
      <c r="G146" t="s">
        <v>65</v>
      </c>
      <c r="H146" t="s">
        <v>2</v>
      </c>
      <c r="I146">
        <v>1</v>
      </c>
      <c r="J146">
        <v>1272</v>
      </c>
      <c r="K146">
        <v>1272</v>
      </c>
      <c r="L146">
        <v>0</v>
      </c>
      <c r="M146">
        <v>0</v>
      </c>
      <c r="N146" s="4">
        <f t="shared" si="2"/>
        <v>2.8644777693838108E-2</v>
      </c>
      <c r="P146">
        <v>1</v>
      </c>
      <c r="Q146">
        <v>0</v>
      </c>
      <c r="R146">
        <v>0</v>
      </c>
      <c r="T146" t="s">
        <v>65</v>
      </c>
    </row>
    <row r="147" spans="1:22">
      <c r="A147">
        <v>145</v>
      </c>
      <c r="B147">
        <v>1340.501953125</v>
      </c>
      <c r="C147" t="s">
        <v>493</v>
      </c>
      <c r="D147">
        <v>4.0182969570159912</v>
      </c>
      <c r="E147" t="s">
        <v>43</v>
      </c>
      <c r="F147" t="s">
        <v>492</v>
      </c>
      <c r="G147" t="s">
        <v>65</v>
      </c>
      <c r="H147" t="s">
        <v>3</v>
      </c>
      <c r="I147">
        <v>1</v>
      </c>
      <c r="J147">
        <v>1272</v>
      </c>
      <c r="K147">
        <v>0</v>
      </c>
      <c r="L147">
        <v>0</v>
      </c>
      <c r="M147">
        <v>1272</v>
      </c>
      <c r="N147" s="4">
        <f t="shared" si="2"/>
        <v>5.3853736733490587E-2</v>
      </c>
      <c r="P147">
        <v>0</v>
      </c>
      <c r="Q147">
        <v>0</v>
      </c>
      <c r="R147">
        <v>1</v>
      </c>
      <c r="V147" t="s">
        <v>65</v>
      </c>
    </row>
    <row r="148" spans="1:22">
      <c r="A148">
        <v>146</v>
      </c>
      <c r="B148">
        <v>1305.340698242188</v>
      </c>
      <c r="C148" t="s">
        <v>494</v>
      </c>
      <c r="D148">
        <v>3.0500977039337158</v>
      </c>
      <c r="E148" t="s">
        <v>43</v>
      </c>
      <c r="F148" t="s">
        <v>492</v>
      </c>
      <c r="G148" t="s">
        <v>65</v>
      </c>
      <c r="H148" t="s">
        <v>4</v>
      </c>
      <c r="I148">
        <v>1</v>
      </c>
      <c r="J148">
        <v>1272</v>
      </c>
      <c r="K148">
        <v>0</v>
      </c>
      <c r="L148">
        <v>1272</v>
      </c>
      <c r="M148">
        <v>0</v>
      </c>
      <c r="N148" s="4">
        <f t="shared" si="2"/>
        <v>2.6211240756436993E-2</v>
      </c>
      <c r="P148">
        <v>0</v>
      </c>
      <c r="Q148">
        <v>1</v>
      </c>
      <c r="R148">
        <v>0</v>
      </c>
      <c r="U148" t="s">
        <v>65</v>
      </c>
    </row>
    <row r="149" spans="1:22">
      <c r="A149">
        <v>147</v>
      </c>
      <c r="B149">
        <v>1267.1171875</v>
      </c>
      <c r="C149" t="s">
        <v>495</v>
      </c>
      <c r="D149">
        <v>3.1024689674377441</v>
      </c>
      <c r="E149" t="s">
        <v>43</v>
      </c>
      <c r="F149" t="s">
        <v>496</v>
      </c>
      <c r="G149" t="s">
        <v>66</v>
      </c>
      <c r="H149" t="s">
        <v>2</v>
      </c>
      <c r="I149">
        <v>1</v>
      </c>
      <c r="J149">
        <v>1221</v>
      </c>
      <c r="K149">
        <v>1221</v>
      </c>
      <c r="L149">
        <v>0</v>
      </c>
      <c r="M149">
        <v>0</v>
      </c>
      <c r="N149" s="4">
        <f t="shared" si="2"/>
        <v>3.7770014332514368E-2</v>
      </c>
      <c r="P149">
        <v>1</v>
      </c>
      <c r="Q149">
        <v>0</v>
      </c>
      <c r="R149">
        <v>0</v>
      </c>
      <c r="T149" t="s">
        <v>66</v>
      </c>
    </row>
    <row r="150" spans="1:22">
      <c r="A150">
        <v>148</v>
      </c>
      <c r="B150">
        <v>1325.377197265625</v>
      </c>
      <c r="C150" t="s">
        <v>497</v>
      </c>
      <c r="D150">
        <v>4.1240174770355216</v>
      </c>
      <c r="E150" t="s">
        <v>43</v>
      </c>
      <c r="F150" t="s">
        <v>496</v>
      </c>
      <c r="G150" t="s">
        <v>66</v>
      </c>
      <c r="H150" t="s">
        <v>3</v>
      </c>
      <c r="I150">
        <v>1</v>
      </c>
      <c r="J150">
        <v>1221</v>
      </c>
      <c r="K150">
        <v>0</v>
      </c>
      <c r="L150">
        <v>0</v>
      </c>
      <c r="M150">
        <v>1221</v>
      </c>
      <c r="N150" s="4">
        <f t="shared" si="2"/>
        <v>8.5485010045556864E-2</v>
      </c>
      <c r="P150">
        <v>0</v>
      </c>
      <c r="Q150">
        <v>0</v>
      </c>
      <c r="R150">
        <v>1</v>
      </c>
      <c r="V150" t="s">
        <v>66</v>
      </c>
    </row>
    <row r="151" spans="1:22">
      <c r="A151">
        <v>149</v>
      </c>
      <c r="B151">
        <v>1267.255981445312</v>
      </c>
      <c r="C151" t="s">
        <v>498</v>
      </c>
      <c r="D151">
        <v>3.4489834308624272</v>
      </c>
      <c r="E151" t="s">
        <v>43</v>
      </c>
      <c r="F151" t="s">
        <v>496</v>
      </c>
      <c r="G151" t="s">
        <v>66</v>
      </c>
      <c r="H151" t="s">
        <v>4</v>
      </c>
      <c r="I151">
        <v>1</v>
      </c>
      <c r="J151">
        <v>1221</v>
      </c>
      <c r="K151">
        <v>0</v>
      </c>
      <c r="L151">
        <v>1221</v>
      </c>
      <c r="M151">
        <v>0</v>
      </c>
      <c r="N151" s="4">
        <f t="shared" si="2"/>
        <v>3.7883686687397278E-2</v>
      </c>
      <c r="P151">
        <v>0</v>
      </c>
      <c r="Q151">
        <v>1</v>
      </c>
      <c r="R151">
        <v>0</v>
      </c>
      <c r="U151" t="s">
        <v>66</v>
      </c>
    </row>
    <row r="152" spans="1:22">
      <c r="A152">
        <v>150</v>
      </c>
      <c r="B152">
        <v>857.6243896484375</v>
      </c>
      <c r="C152" t="s">
        <v>499</v>
      </c>
      <c r="D152">
        <v>6.2138028144836426</v>
      </c>
      <c r="E152" t="s">
        <v>67</v>
      </c>
      <c r="F152" t="s">
        <v>500</v>
      </c>
      <c r="G152" t="s">
        <v>69</v>
      </c>
      <c r="H152" t="s">
        <v>2</v>
      </c>
      <c r="I152">
        <v>2</v>
      </c>
      <c r="J152">
        <v>815</v>
      </c>
      <c r="K152">
        <v>815</v>
      </c>
      <c r="L152">
        <v>0</v>
      </c>
      <c r="M152">
        <v>0</v>
      </c>
      <c r="N152" s="4">
        <f t="shared" si="2"/>
        <v>5.2299864599309798E-2</v>
      </c>
      <c r="P152">
        <v>2</v>
      </c>
      <c r="Q152">
        <v>0</v>
      </c>
      <c r="R152">
        <v>0</v>
      </c>
      <c r="T152" t="s">
        <v>69</v>
      </c>
    </row>
    <row r="153" spans="1:22">
      <c r="A153">
        <v>151</v>
      </c>
      <c r="B153">
        <v>1115.660034179688</v>
      </c>
      <c r="C153" t="s">
        <v>501</v>
      </c>
      <c r="D153">
        <v>6.2138028144836426</v>
      </c>
      <c r="E153" t="s">
        <v>67</v>
      </c>
      <c r="F153" t="s">
        <v>500</v>
      </c>
      <c r="G153" t="s">
        <v>68</v>
      </c>
      <c r="H153" t="s">
        <v>2</v>
      </c>
      <c r="I153">
        <v>2</v>
      </c>
      <c r="J153">
        <v>1067</v>
      </c>
      <c r="K153">
        <v>1067</v>
      </c>
      <c r="L153">
        <v>0</v>
      </c>
      <c r="M153">
        <v>0</v>
      </c>
      <c r="N153" s="4">
        <f t="shared" si="2"/>
        <v>4.5604530627636253E-2</v>
      </c>
      <c r="P153">
        <v>2</v>
      </c>
      <c r="Q153">
        <v>0</v>
      </c>
      <c r="R153">
        <v>0</v>
      </c>
      <c r="T153" t="s">
        <v>68</v>
      </c>
    </row>
    <row r="154" spans="1:22">
      <c r="A154">
        <v>152</v>
      </c>
      <c r="B154">
        <v>878.36865234375</v>
      </c>
      <c r="C154" t="s">
        <v>502</v>
      </c>
      <c r="D154">
        <v>7.1416208744049072</v>
      </c>
      <c r="E154" t="s">
        <v>67</v>
      </c>
      <c r="F154" t="s">
        <v>500</v>
      </c>
      <c r="G154" t="s">
        <v>69</v>
      </c>
      <c r="H154" t="s">
        <v>3</v>
      </c>
      <c r="I154">
        <v>2</v>
      </c>
      <c r="J154">
        <v>815</v>
      </c>
      <c r="K154">
        <v>0</v>
      </c>
      <c r="L154">
        <v>0</v>
      </c>
      <c r="M154">
        <v>815</v>
      </c>
      <c r="N154" s="4">
        <f t="shared" si="2"/>
        <v>7.7752947661043015E-2</v>
      </c>
      <c r="P154">
        <v>0</v>
      </c>
      <c r="Q154">
        <v>0</v>
      </c>
      <c r="R154">
        <v>2</v>
      </c>
      <c r="V154" t="s">
        <v>69</v>
      </c>
    </row>
    <row r="155" spans="1:22">
      <c r="A155">
        <v>153</v>
      </c>
      <c r="B155">
        <v>1172.764892578125</v>
      </c>
      <c r="C155" t="s">
        <v>503</v>
      </c>
      <c r="D155">
        <v>7.1416208744049072</v>
      </c>
      <c r="E155" t="s">
        <v>67</v>
      </c>
      <c r="F155" t="s">
        <v>500</v>
      </c>
      <c r="G155" t="s">
        <v>68</v>
      </c>
      <c r="H155" t="s">
        <v>3</v>
      </c>
      <c r="I155">
        <v>2</v>
      </c>
      <c r="J155">
        <v>1067</v>
      </c>
      <c r="K155">
        <v>0</v>
      </c>
      <c r="L155">
        <v>0</v>
      </c>
      <c r="M155">
        <v>1067</v>
      </c>
      <c r="N155" s="4">
        <f t="shared" si="2"/>
        <v>9.9123610663659711E-2</v>
      </c>
      <c r="P155">
        <v>0</v>
      </c>
      <c r="Q155">
        <v>0</v>
      </c>
      <c r="R155">
        <v>2</v>
      </c>
      <c r="V155" t="s">
        <v>68</v>
      </c>
    </row>
    <row r="156" spans="1:22">
      <c r="A156">
        <v>154</v>
      </c>
      <c r="B156">
        <v>846.1767578125</v>
      </c>
      <c r="C156" t="s">
        <v>504</v>
      </c>
      <c r="D156">
        <v>7.0132906436920166</v>
      </c>
      <c r="E156" t="s">
        <v>67</v>
      </c>
      <c r="F156" t="s">
        <v>500</v>
      </c>
      <c r="G156" t="s">
        <v>69</v>
      </c>
      <c r="H156" t="s">
        <v>4</v>
      </c>
      <c r="I156">
        <v>2</v>
      </c>
      <c r="J156">
        <v>815</v>
      </c>
      <c r="K156">
        <v>0</v>
      </c>
      <c r="L156">
        <v>815</v>
      </c>
      <c r="M156">
        <v>0</v>
      </c>
      <c r="N156" s="4">
        <f t="shared" si="2"/>
        <v>3.8253690567484622E-2</v>
      </c>
      <c r="P156">
        <v>0</v>
      </c>
      <c r="Q156">
        <v>2</v>
      </c>
      <c r="R156">
        <v>0</v>
      </c>
      <c r="U156" t="s">
        <v>69</v>
      </c>
    </row>
    <row r="157" spans="1:22">
      <c r="A157">
        <v>155</v>
      </c>
      <c r="B157">
        <v>1139.248168945312</v>
      </c>
      <c r="C157" t="s">
        <v>505</v>
      </c>
      <c r="D157">
        <v>7.0132906436920166</v>
      </c>
      <c r="E157" t="s">
        <v>67</v>
      </c>
      <c r="F157" t="s">
        <v>500</v>
      </c>
      <c r="G157" t="s">
        <v>68</v>
      </c>
      <c r="H157" t="s">
        <v>4</v>
      </c>
      <c r="I157">
        <v>2</v>
      </c>
      <c r="J157">
        <v>1067</v>
      </c>
      <c r="K157">
        <v>0</v>
      </c>
      <c r="L157">
        <v>1067</v>
      </c>
      <c r="M157">
        <v>0</v>
      </c>
      <c r="N157" s="4">
        <f t="shared" si="2"/>
        <v>6.7711498542935455E-2</v>
      </c>
      <c r="P157">
        <v>0</v>
      </c>
      <c r="Q157">
        <v>2</v>
      </c>
      <c r="R157">
        <v>0</v>
      </c>
      <c r="U157" t="s">
        <v>68</v>
      </c>
    </row>
    <row r="158" spans="1:22">
      <c r="A158">
        <v>156</v>
      </c>
      <c r="B158">
        <v>375.27978515625</v>
      </c>
      <c r="C158" t="s">
        <v>506</v>
      </c>
      <c r="D158">
        <v>2.960870504379272</v>
      </c>
      <c r="E158" t="s">
        <v>67</v>
      </c>
      <c r="F158" t="s">
        <v>507</v>
      </c>
      <c r="G158" t="s">
        <v>70</v>
      </c>
      <c r="H158" t="s">
        <v>2</v>
      </c>
      <c r="I158">
        <v>1</v>
      </c>
      <c r="J158">
        <v>375</v>
      </c>
      <c r="K158">
        <v>375</v>
      </c>
      <c r="L158">
        <v>0</v>
      </c>
      <c r="M158">
        <v>0</v>
      </c>
      <c r="N158" s="4">
        <f t="shared" si="2"/>
        <v>7.4609374999989875E-4</v>
      </c>
      <c r="P158">
        <v>1</v>
      </c>
      <c r="Q158">
        <v>0</v>
      </c>
      <c r="R158">
        <v>0</v>
      </c>
      <c r="T158" t="s">
        <v>70</v>
      </c>
    </row>
    <row r="159" spans="1:22">
      <c r="A159">
        <v>157</v>
      </c>
      <c r="B159">
        <v>395.63583374023438</v>
      </c>
      <c r="C159" t="s">
        <v>508</v>
      </c>
      <c r="D159">
        <v>2.808930397033691</v>
      </c>
      <c r="E159" t="s">
        <v>67</v>
      </c>
      <c r="F159" t="s">
        <v>507</v>
      </c>
      <c r="G159" t="s">
        <v>70</v>
      </c>
      <c r="H159" t="s">
        <v>3</v>
      </c>
      <c r="I159">
        <v>1</v>
      </c>
      <c r="J159">
        <v>375</v>
      </c>
      <c r="K159">
        <v>0</v>
      </c>
      <c r="L159">
        <v>0</v>
      </c>
      <c r="M159">
        <v>375</v>
      </c>
      <c r="N159" s="4">
        <f t="shared" si="2"/>
        <v>5.5028889973958384E-2</v>
      </c>
      <c r="P159">
        <v>0</v>
      </c>
      <c r="Q159">
        <v>0</v>
      </c>
      <c r="R159">
        <v>1</v>
      </c>
      <c r="V159" t="s">
        <v>70</v>
      </c>
    </row>
    <row r="160" spans="1:22">
      <c r="A160">
        <v>158</v>
      </c>
      <c r="B160">
        <v>383.516845703125</v>
      </c>
      <c r="C160" t="s">
        <v>509</v>
      </c>
      <c r="D160">
        <v>3.8758857250213619</v>
      </c>
      <c r="E160" t="s">
        <v>67</v>
      </c>
      <c r="F160" t="s">
        <v>507</v>
      </c>
      <c r="G160" t="s">
        <v>70</v>
      </c>
      <c r="H160" t="s">
        <v>4</v>
      </c>
      <c r="I160">
        <v>1</v>
      </c>
      <c r="J160">
        <v>375</v>
      </c>
      <c r="K160">
        <v>0</v>
      </c>
      <c r="L160">
        <v>375</v>
      </c>
      <c r="M160">
        <v>0</v>
      </c>
      <c r="N160" s="4">
        <f t="shared" si="2"/>
        <v>2.2711588541666661E-2</v>
      </c>
      <c r="P160">
        <v>0</v>
      </c>
      <c r="Q160">
        <v>1</v>
      </c>
      <c r="R160">
        <v>0</v>
      </c>
      <c r="U160" t="s">
        <v>70</v>
      </c>
    </row>
    <row r="161" spans="1:22">
      <c r="A161">
        <v>159</v>
      </c>
      <c r="B161">
        <v>569.8846435546875</v>
      </c>
      <c r="C161" t="s">
        <v>510</v>
      </c>
      <c r="D161">
        <v>3.0543448925018311</v>
      </c>
      <c r="E161" t="s">
        <v>67</v>
      </c>
      <c r="F161" t="s">
        <v>511</v>
      </c>
      <c r="G161" t="s">
        <v>71</v>
      </c>
      <c r="H161" t="s">
        <v>2</v>
      </c>
      <c r="I161">
        <v>1</v>
      </c>
      <c r="J161">
        <v>569</v>
      </c>
      <c r="K161">
        <v>569</v>
      </c>
      <c r="L161">
        <v>0</v>
      </c>
      <c r="M161">
        <v>0</v>
      </c>
      <c r="N161" s="4">
        <f t="shared" si="2"/>
        <v>1.5547338395209831E-3</v>
      </c>
      <c r="P161">
        <v>1</v>
      </c>
      <c r="Q161">
        <v>0</v>
      </c>
      <c r="R161">
        <v>0</v>
      </c>
      <c r="T161" t="s">
        <v>71</v>
      </c>
    </row>
    <row r="162" spans="1:22">
      <c r="A162">
        <v>160</v>
      </c>
      <c r="B162">
        <v>569.88458251953125</v>
      </c>
      <c r="C162" t="s">
        <v>512</v>
      </c>
      <c r="D162">
        <v>2.823676586151123</v>
      </c>
      <c r="E162" t="s">
        <v>67</v>
      </c>
      <c r="F162" t="s">
        <v>511</v>
      </c>
      <c r="G162" t="s">
        <v>71</v>
      </c>
      <c r="H162" t="s">
        <v>3</v>
      </c>
      <c r="I162">
        <v>1</v>
      </c>
      <c r="J162">
        <v>569</v>
      </c>
      <c r="K162">
        <v>0</v>
      </c>
      <c r="L162">
        <v>0</v>
      </c>
      <c r="M162">
        <v>569</v>
      </c>
      <c r="N162" s="4">
        <f t="shared" si="2"/>
        <v>1.5546265721111396E-3</v>
      </c>
      <c r="P162">
        <v>0</v>
      </c>
      <c r="Q162">
        <v>0</v>
      </c>
      <c r="R162">
        <v>1</v>
      </c>
      <c r="V162" t="s">
        <v>71</v>
      </c>
    </row>
    <row r="163" spans="1:22">
      <c r="A163">
        <v>161</v>
      </c>
      <c r="B163">
        <v>591.361328125</v>
      </c>
      <c r="C163" t="s">
        <v>513</v>
      </c>
      <c r="D163">
        <v>0.1012251377105713</v>
      </c>
      <c r="E163" t="s">
        <v>67</v>
      </c>
      <c r="F163" t="s">
        <v>511</v>
      </c>
      <c r="G163" t="s">
        <v>71</v>
      </c>
      <c r="H163" t="s">
        <v>4</v>
      </c>
      <c r="I163">
        <v>1</v>
      </c>
      <c r="J163">
        <v>569</v>
      </c>
      <c r="K163">
        <v>0</v>
      </c>
      <c r="L163">
        <v>569</v>
      </c>
      <c r="M163">
        <v>0</v>
      </c>
      <c r="N163" s="4">
        <f t="shared" si="2"/>
        <v>3.9299346441124872E-2</v>
      </c>
      <c r="P163">
        <v>0</v>
      </c>
      <c r="Q163">
        <v>1</v>
      </c>
      <c r="R163">
        <v>0</v>
      </c>
      <c r="U163" t="s">
        <v>71</v>
      </c>
    </row>
    <row r="164" spans="1:22">
      <c r="A164">
        <v>162</v>
      </c>
      <c r="B164">
        <v>534</v>
      </c>
      <c r="C164" t="s">
        <v>514</v>
      </c>
      <c r="D164">
        <v>4.2691621780395508</v>
      </c>
      <c r="E164" t="s">
        <v>67</v>
      </c>
      <c r="F164" t="s">
        <v>515</v>
      </c>
      <c r="G164" t="s">
        <v>72</v>
      </c>
      <c r="H164" t="s">
        <v>2</v>
      </c>
      <c r="I164">
        <v>1</v>
      </c>
      <c r="J164">
        <v>534</v>
      </c>
      <c r="K164">
        <v>534</v>
      </c>
      <c r="L164">
        <v>0</v>
      </c>
      <c r="M164">
        <v>0</v>
      </c>
      <c r="N164" s="4">
        <f t="shared" si="2"/>
        <v>0</v>
      </c>
      <c r="P164">
        <v>1</v>
      </c>
      <c r="Q164">
        <v>0</v>
      </c>
      <c r="R164">
        <v>0</v>
      </c>
      <c r="T164" t="s">
        <v>72</v>
      </c>
    </row>
    <row r="165" spans="1:22">
      <c r="A165">
        <v>163</v>
      </c>
      <c r="B165">
        <v>534</v>
      </c>
      <c r="C165" t="s">
        <v>516</v>
      </c>
      <c r="D165">
        <v>0.14350652694702151</v>
      </c>
      <c r="E165" t="s">
        <v>67</v>
      </c>
      <c r="F165" t="s">
        <v>515</v>
      </c>
      <c r="G165" t="s">
        <v>72</v>
      </c>
      <c r="H165" t="s">
        <v>3</v>
      </c>
      <c r="I165">
        <v>1</v>
      </c>
      <c r="J165">
        <v>534</v>
      </c>
      <c r="K165">
        <v>0</v>
      </c>
      <c r="L165">
        <v>0</v>
      </c>
      <c r="M165">
        <v>534</v>
      </c>
      <c r="N165" s="4">
        <f t="shared" si="2"/>
        <v>0</v>
      </c>
      <c r="P165">
        <v>0</v>
      </c>
      <c r="Q165">
        <v>0</v>
      </c>
      <c r="R165">
        <v>1</v>
      </c>
      <c r="V165" t="s">
        <v>72</v>
      </c>
    </row>
    <row r="166" spans="1:22">
      <c r="A166">
        <v>164</v>
      </c>
      <c r="B166">
        <v>534</v>
      </c>
      <c r="C166" t="s">
        <v>516</v>
      </c>
      <c r="D166">
        <v>0.14496064186096189</v>
      </c>
      <c r="E166" t="s">
        <v>67</v>
      </c>
      <c r="F166" t="s">
        <v>515</v>
      </c>
      <c r="G166" t="s">
        <v>72</v>
      </c>
      <c r="H166" t="s">
        <v>4</v>
      </c>
      <c r="I166">
        <v>1</v>
      </c>
      <c r="J166">
        <v>534</v>
      </c>
      <c r="K166">
        <v>0</v>
      </c>
      <c r="L166">
        <v>534</v>
      </c>
      <c r="M166">
        <v>0</v>
      </c>
      <c r="N166" s="4">
        <f t="shared" si="2"/>
        <v>0</v>
      </c>
      <c r="P166">
        <v>0</v>
      </c>
      <c r="Q166">
        <v>1</v>
      </c>
      <c r="R166">
        <v>0</v>
      </c>
      <c r="U166" t="s">
        <v>72</v>
      </c>
    </row>
    <row r="167" spans="1:22">
      <c r="A167">
        <v>165</v>
      </c>
      <c r="B167">
        <v>841.1573486328125</v>
      </c>
      <c r="C167" t="s">
        <v>517</v>
      </c>
      <c r="D167">
        <v>6.1486499309539786</v>
      </c>
      <c r="E167" t="s">
        <v>67</v>
      </c>
      <c r="F167" t="s">
        <v>518</v>
      </c>
      <c r="G167" t="s">
        <v>73</v>
      </c>
      <c r="H167" t="s">
        <v>2</v>
      </c>
      <c r="I167">
        <v>1</v>
      </c>
      <c r="J167">
        <v>835</v>
      </c>
      <c r="K167">
        <v>835</v>
      </c>
      <c r="L167">
        <v>0</v>
      </c>
      <c r="M167">
        <v>0</v>
      </c>
      <c r="N167" s="4">
        <f t="shared" si="2"/>
        <v>7.374070218937101E-3</v>
      </c>
      <c r="P167">
        <v>1</v>
      </c>
      <c r="Q167">
        <v>0</v>
      </c>
      <c r="R167">
        <v>0</v>
      </c>
      <c r="T167" t="s">
        <v>73</v>
      </c>
    </row>
    <row r="168" spans="1:22">
      <c r="A168">
        <v>166</v>
      </c>
      <c r="B168">
        <v>846.34765625</v>
      </c>
      <c r="C168" t="s">
        <v>519</v>
      </c>
      <c r="D168">
        <v>2.570203542709351</v>
      </c>
      <c r="E168" t="s">
        <v>67</v>
      </c>
      <c r="F168" t="s">
        <v>518</v>
      </c>
      <c r="G168" t="s">
        <v>73</v>
      </c>
      <c r="H168" t="s">
        <v>3</v>
      </c>
      <c r="I168">
        <v>1</v>
      </c>
      <c r="J168">
        <v>835</v>
      </c>
      <c r="K168">
        <v>0</v>
      </c>
      <c r="L168">
        <v>0</v>
      </c>
      <c r="M168">
        <v>835</v>
      </c>
      <c r="N168" s="4">
        <f t="shared" si="2"/>
        <v>1.359000748502992E-2</v>
      </c>
      <c r="P168">
        <v>0</v>
      </c>
      <c r="Q168">
        <v>0</v>
      </c>
      <c r="R168">
        <v>1</v>
      </c>
      <c r="V168" t="s">
        <v>73</v>
      </c>
    </row>
    <row r="169" spans="1:22">
      <c r="A169">
        <v>167</v>
      </c>
      <c r="B169">
        <v>842.511962890625</v>
      </c>
      <c r="C169" t="s">
        <v>520</v>
      </c>
      <c r="D169">
        <v>3.2686004638671879</v>
      </c>
      <c r="E169" t="s">
        <v>67</v>
      </c>
      <c r="F169" t="s">
        <v>518</v>
      </c>
      <c r="G169" t="s">
        <v>73</v>
      </c>
      <c r="H169" t="s">
        <v>4</v>
      </c>
      <c r="I169">
        <v>1</v>
      </c>
      <c r="J169">
        <v>835</v>
      </c>
      <c r="K169">
        <v>0</v>
      </c>
      <c r="L169">
        <v>835</v>
      </c>
      <c r="M169">
        <v>0</v>
      </c>
      <c r="N169" s="4">
        <f t="shared" si="2"/>
        <v>8.9963627432634308E-3</v>
      </c>
      <c r="P169">
        <v>0</v>
      </c>
      <c r="Q169">
        <v>1</v>
      </c>
      <c r="R169">
        <v>0</v>
      </c>
      <c r="U169" t="s">
        <v>73</v>
      </c>
    </row>
    <row r="170" spans="1:22">
      <c r="A170">
        <v>168</v>
      </c>
      <c r="B170">
        <v>565.0142822265625</v>
      </c>
      <c r="C170" t="s">
        <v>521</v>
      </c>
      <c r="D170">
        <v>5.100142240524292</v>
      </c>
      <c r="E170" t="s">
        <v>67</v>
      </c>
      <c r="F170" t="s">
        <v>522</v>
      </c>
      <c r="G170" t="s">
        <v>74</v>
      </c>
      <c r="H170" t="s">
        <v>2</v>
      </c>
      <c r="I170">
        <v>1</v>
      </c>
      <c r="J170">
        <v>521</v>
      </c>
      <c r="K170">
        <v>521</v>
      </c>
      <c r="L170">
        <v>0</v>
      </c>
      <c r="M170">
        <v>0</v>
      </c>
      <c r="N170" s="4">
        <f t="shared" si="2"/>
        <v>8.4480388150791841E-2</v>
      </c>
      <c r="P170">
        <v>1</v>
      </c>
      <c r="Q170">
        <v>0</v>
      </c>
      <c r="R170">
        <v>0</v>
      </c>
      <c r="T170" t="s">
        <v>74</v>
      </c>
    </row>
    <row r="171" spans="1:22">
      <c r="A171">
        <v>169</v>
      </c>
      <c r="B171">
        <v>530.17828369140625</v>
      </c>
      <c r="C171" t="s">
        <v>523</v>
      </c>
      <c r="D171">
        <v>3.1492335796356201</v>
      </c>
      <c r="E171" t="s">
        <v>67</v>
      </c>
      <c r="F171" t="s">
        <v>522</v>
      </c>
      <c r="G171" t="s">
        <v>74</v>
      </c>
      <c r="H171" t="s">
        <v>3</v>
      </c>
      <c r="I171">
        <v>1</v>
      </c>
      <c r="J171">
        <v>521</v>
      </c>
      <c r="K171">
        <v>0</v>
      </c>
      <c r="L171">
        <v>0</v>
      </c>
      <c r="M171">
        <v>521</v>
      </c>
      <c r="N171" s="4">
        <f t="shared" si="2"/>
        <v>1.7616667353946847E-2</v>
      </c>
      <c r="P171">
        <v>0</v>
      </c>
      <c r="Q171">
        <v>0</v>
      </c>
      <c r="R171">
        <v>1</v>
      </c>
      <c r="V171" t="s">
        <v>74</v>
      </c>
    </row>
    <row r="172" spans="1:22">
      <c r="A172">
        <v>170</v>
      </c>
      <c r="B172">
        <v>524.9268798828125</v>
      </c>
      <c r="C172" t="s">
        <v>524</v>
      </c>
      <c r="D172">
        <v>3.0208299160003662</v>
      </c>
      <c r="E172" t="s">
        <v>67</v>
      </c>
      <c r="F172" t="s">
        <v>522</v>
      </c>
      <c r="G172" t="s">
        <v>74</v>
      </c>
      <c r="H172" t="s">
        <v>4</v>
      </c>
      <c r="I172">
        <v>1</v>
      </c>
      <c r="J172">
        <v>521</v>
      </c>
      <c r="K172">
        <v>0</v>
      </c>
      <c r="L172">
        <v>521</v>
      </c>
      <c r="M172">
        <v>0</v>
      </c>
      <c r="N172" s="4">
        <f t="shared" si="2"/>
        <v>7.5371974718090318E-3</v>
      </c>
      <c r="P172">
        <v>0</v>
      </c>
      <c r="Q172">
        <v>1</v>
      </c>
      <c r="R172">
        <v>0</v>
      </c>
      <c r="U172" t="s">
        <v>74</v>
      </c>
    </row>
    <row r="173" spans="1:22">
      <c r="A173">
        <v>171</v>
      </c>
      <c r="B173">
        <v>720.15234375</v>
      </c>
      <c r="C173" t="s">
        <v>525</v>
      </c>
      <c r="D173">
        <v>9.9216756820678711</v>
      </c>
      <c r="E173" t="s">
        <v>67</v>
      </c>
      <c r="F173" t="s">
        <v>526</v>
      </c>
      <c r="G173" t="s">
        <v>77</v>
      </c>
      <c r="H173" t="s">
        <v>2</v>
      </c>
      <c r="I173">
        <v>4</v>
      </c>
      <c r="J173">
        <v>682</v>
      </c>
      <c r="K173">
        <v>682</v>
      </c>
      <c r="L173">
        <v>0</v>
      </c>
      <c r="M173">
        <v>0</v>
      </c>
      <c r="N173" s="4">
        <f t="shared" si="2"/>
        <v>5.5941853005865072E-2</v>
      </c>
      <c r="P173">
        <v>4</v>
      </c>
      <c r="Q173">
        <v>0</v>
      </c>
      <c r="R173">
        <v>0</v>
      </c>
      <c r="T173" t="s">
        <v>77</v>
      </c>
    </row>
    <row r="174" spans="1:22">
      <c r="A174">
        <v>172</v>
      </c>
      <c r="B174">
        <v>749.0667724609375</v>
      </c>
      <c r="C174" t="s">
        <v>527</v>
      </c>
      <c r="D174">
        <v>9.9216756820678711</v>
      </c>
      <c r="E174" t="s">
        <v>67</v>
      </c>
      <c r="F174" t="s">
        <v>526</v>
      </c>
      <c r="G174" t="s">
        <v>78</v>
      </c>
      <c r="H174" t="s">
        <v>2</v>
      </c>
      <c r="I174">
        <v>4</v>
      </c>
      <c r="J174">
        <v>735</v>
      </c>
      <c r="K174">
        <v>735</v>
      </c>
      <c r="L174">
        <v>0</v>
      </c>
      <c r="M174">
        <v>0</v>
      </c>
      <c r="N174" s="4">
        <f t="shared" si="2"/>
        <v>1.9138465933248305E-2</v>
      </c>
      <c r="P174">
        <v>4</v>
      </c>
      <c r="Q174">
        <v>0</v>
      </c>
      <c r="R174">
        <v>0</v>
      </c>
      <c r="T174" t="s">
        <v>78</v>
      </c>
    </row>
    <row r="175" spans="1:22">
      <c r="A175">
        <v>173</v>
      </c>
      <c r="B175">
        <v>856.5809326171875</v>
      </c>
      <c r="C175" t="s">
        <v>528</v>
      </c>
      <c r="D175">
        <v>9.9216756820678711</v>
      </c>
      <c r="E175" t="s">
        <v>67</v>
      </c>
      <c r="F175" t="s">
        <v>526</v>
      </c>
      <c r="G175" t="s">
        <v>75</v>
      </c>
      <c r="H175" t="s">
        <v>2</v>
      </c>
      <c r="I175">
        <v>4</v>
      </c>
      <c r="J175">
        <v>830</v>
      </c>
      <c r="K175">
        <v>830</v>
      </c>
      <c r="L175">
        <v>0</v>
      </c>
      <c r="M175">
        <v>0</v>
      </c>
      <c r="N175" s="4">
        <f t="shared" si="2"/>
        <v>3.2025220020707845E-2</v>
      </c>
      <c r="P175">
        <v>4</v>
      </c>
      <c r="Q175">
        <v>0</v>
      </c>
      <c r="R175">
        <v>0</v>
      </c>
      <c r="T175" t="s">
        <v>75</v>
      </c>
    </row>
    <row r="176" spans="1:22">
      <c r="A176">
        <v>174</v>
      </c>
      <c r="B176">
        <v>1056.47021484375</v>
      </c>
      <c r="C176" t="s">
        <v>529</v>
      </c>
      <c r="D176">
        <v>9.9216756820678711</v>
      </c>
      <c r="E176" t="s">
        <v>67</v>
      </c>
      <c r="F176" t="s">
        <v>526</v>
      </c>
      <c r="G176" t="s">
        <v>76</v>
      </c>
      <c r="H176" t="s">
        <v>2</v>
      </c>
      <c r="I176">
        <v>4</v>
      </c>
      <c r="J176">
        <v>1021</v>
      </c>
      <c r="K176">
        <v>1021</v>
      </c>
      <c r="L176">
        <v>0</v>
      </c>
      <c r="M176">
        <v>0</v>
      </c>
      <c r="N176" s="4">
        <f t="shared" si="2"/>
        <v>3.4740660963516135E-2</v>
      </c>
      <c r="P176">
        <v>4</v>
      </c>
      <c r="Q176">
        <v>0</v>
      </c>
      <c r="R176">
        <v>0</v>
      </c>
      <c r="T176" t="s">
        <v>76</v>
      </c>
    </row>
    <row r="177" spans="1:22">
      <c r="A177">
        <v>175</v>
      </c>
      <c r="B177">
        <v>729.9522705078125</v>
      </c>
      <c r="C177" t="s">
        <v>530</v>
      </c>
      <c r="D177">
        <v>9.238555908203125</v>
      </c>
      <c r="E177" t="s">
        <v>67</v>
      </c>
      <c r="F177" t="s">
        <v>526</v>
      </c>
      <c r="G177" t="s">
        <v>77</v>
      </c>
      <c r="H177" t="s">
        <v>3</v>
      </c>
      <c r="I177">
        <v>4</v>
      </c>
      <c r="J177">
        <v>682</v>
      </c>
      <c r="K177">
        <v>0</v>
      </c>
      <c r="L177">
        <v>0</v>
      </c>
      <c r="M177">
        <v>682</v>
      </c>
      <c r="N177" s="4">
        <f t="shared" si="2"/>
        <v>7.0311247078904016E-2</v>
      </c>
      <c r="P177">
        <v>0</v>
      </c>
      <c r="Q177">
        <v>0</v>
      </c>
      <c r="R177">
        <v>4</v>
      </c>
      <c r="V177" t="s">
        <v>77</v>
      </c>
    </row>
    <row r="178" spans="1:22">
      <c r="A178">
        <v>176</v>
      </c>
      <c r="B178">
        <v>781.0142822265625</v>
      </c>
      <c r="C178" t="s">
        <v>531</v>
      </c>
      <c r="D178">
        <v>9.238555908203125</v>
      </c>
      <c r="E178" t="s">
        <v>67</v>
      </c>
      <c r="F178" t="s">
        <v>526</v>
      </c>
      <c r="G178" t="s">
        <v>78</v>
      </c>
      <c r="H178" t="s">
        <v>3</v>
      </c>
      <c r="I178">
        <v>4</v>
      </c>
      <c r="J178">
        <v>735</v>
      </c>
      <c r="K178">
        <v>0</v>
      </c>
      <c r="L178">
        <v>0</v>
      </c>
      <c r="M178">
        <v>735</v>
      </c>
      <c r="N178" s="4">
        <f t="shared" si="2"/>
        <v>6.2604465614370719E-2</v>
      </c>
      <c r="P178">
        <v>0</v>
      </c>
      <c r="Q178">
        <v>0</v>
      </c>
      <c r="R178">
        <v>4</v>
      </c>
      <c r="V178" t="s">
        <v>78</v>
      </c>
    </row>
    <row r="179" spans="1:22">
      <c r="A179">
        <v>177</v>
      </c>
      <c r="B179">
        <v>875.9486083984375</v>
      </c>
      <c r="C179" t="s">
        <v>532</v>
      </c>
      <c r="D179">
        <v>9.238555908203125</v>
      </c>
      <c r="E179" t="s">
        <v>67</v>
      </c>
      <c r="F179" t="s">
        <v>526</v>
      </c>
      <c r="G179" t="s">
        <v>75</v>
      </c>
      <c r="H179" t="s">
        <v>3</v>
      </c>
      <c r="I179">
        <v>4</v>
      </c>
      <c r="J179">
        <v>830</v>
      </c>
      <c r="K179">
        <v>0</v>
      </c>
      <c r="L179">
        <v>0</v>
      </c>
      <c r="M179">
        <v>830</v>
      </c>
      <c r="N179" s="4">
        <f t="shared" si="2"/>
        <v>5.5359769154744054E-2</v>
      </c>
      <c r="P179">
        <v>0</v>
      </c>
      <c r="Q179">
        <v>0</v>
      </c>
      <c r="R179">
        <v>4</v>
      </c>
      <c r="V179" t="s">
        <v>75</v>
      </c>
    </row>
    <row r="180" spans="1:22">
      <c r="A180">
        <v>178</v>
      </c>
      <c r="B180">
        <v>1054.9541015625</v>
      </c>
      <c r="C180" t="s">
        <v>533</v>
      </c>
      <c r="D180">
        <v>9.238555908203125</v>
      </c>
      <c r="E180" t="s">
        <v>67</v>
      </c>
      <c r="F180" t="s">
        <v>526</v>
      </c>
      <c r="G180" t="s">
        <v>76</v>
      </c>
      <c r="H180" t="s">
        <v>3</v>
      </c>
      <c r="I180">
        <v>4</v>
      </c>
      <c r="J180">
        <v>1021</v>
      </c>
      <c r="K180">
        <v>0</v>
      </c>
      <c r="L180">
        <v>0</v>
      </c>
      <c r="M180">
        <v>1021</v>
      </c>
      <c r="N180" s="4">
        <f t="shared" si="2"/>
        <v>3.3255731207149752E-2</v>
      </c>
      <c r="P180">
        <v>0</v>
      </c>
      <c r="Q180">
        <v>0</v>
      </c>
      <c r="R180">
        <v>4</v>
      </c>
      <c r="V180" t="s">
        <v>76</v>
      </c>
    </row>
    <row r="181" spans="1:22">
      <c r="A181">
        <v>179</v>
      </c>
      <c r="B181">
        <v>708.42987060546875</v>
      </c>
      <c r="C181" t="s">
        <v>534</v>
      </c>
      <c r="D181">
        <v>13.106418132781981</v>
      </c>
      <c r="E181" t="s">
        <v>67</v>
      </c>
      <c r="F181" t="s">
        <v>526</v>
      </c>
      <c r="G181" t="s">
        <v>77</v>
      </c>
      <c r="H181" t="s">
        <v>4</v>
      </c>
      <c r="I181">
        <v>4</v>
      </c>
      <c r="J181">
        <v>682</v>
      </c>
      <c r="K181">
        <v>0</v>
      </c>
      <c r="L181">
        <v>682</v>
      </c>
      <c r="M181">
        <v>0</v>
      </c>
      <c r="N181" s="4">
        <f t="shared" si="2"/>
        <v>3.8753475961097905E-2</v>
      </c>
      <c r="P181">
        <v>0</v>
      </c>
      <c r="Q181">
        <v>4</v>
      </c>
      <c r="R181">
        <v>0</v>
      </c>
      <c r="U181" t="s">
        <v>77</v>
      </c>
    </row>
    <row r="182" spans="1:22">
      <c r="A182">
        <v>180</v>
      </c>
      <c r="B182">
        <v>757.4769287109375</v>
      </c>
      <c r="C182" t="s">
        <v>535</v>
      </c>
      <c r="D182">
        <v>13.106418132781981</v>
      </c>
      <c r="E182" t="s">
        <v>67</v>
      </c>
      <c r="F182" t="s">
        <v>526</v>
      </c>
      <c r="G182" t="s">
        <v>78</v>
      </c>
      <c r="H182" t="s">
        <v>4</v>
      </c>
      <c r="I182">
        <v>4</v>
      </c>
      <c r="J182">
        <v>735</v>
      </c>
      <c r="K182">
        <v>0</v>
      </c>
      <c r="L182">
        <v>735</v>
      </c>
      <c r="M182">
        <v>0</v>
      </c>
      <c r="N182" s="4">
        <f t="shared" si="2"/>
        <v>3.0580855389030548E-2</v>
      </c>
      <c r="P182">
        <v>0</v>
      </c>
      <c r="Q182">
        <v>4</v>
      </c>
      <c r="R182">
        <v>0</v>
      </c>
      <c r="U182" t="s">
        <v>78</v>
      </c>
    </row>
    <row r="183" spans="1:22">
      <c r="A183">
        <v>181</v>
      </c>
      <c r="B183">
        <v>856.62200927734375</v>
      </c>
      <c r="C183" t="s">
        <v>536</v>
      </c>
      <c r="D183">
        <v>13.106418132781981</v>
      </c>
      <c r="E183" t="s">
        <v>67</v>
      </c>
      <c r="F183" t="s">
        <v>526</v>
      </c>
      <c r="G183" t="s">
        <v>75</v>
      </c>
      <c r="H183" t="s">
        <v>4</v>
      </c>
      <c r="I183">
        <v>4</v>
      </c>
      <c r="J183">
        <v>830</v>
      </c>
      <c r="K183">
        <v>0</v>
      </c>
      <c r="L183">
        <v>830</v>
      </c>
      <c r="M183">
        <v>0</v>
      </c>
      <c r="N183" s="4">
        <f t="shared" si="2"/>
        <v>3.207470997270323E-2</v>
      </c>
      <c r="P183">
        <v>0</v>
      </c>
      <c r="Q183">
        <v>4</v>
      </c>
      <c r="R183">
        <v>0</v>
      </c>
      <c r="U183" t="s">
        <v>75</v>
      </c>
    </row>
    <row r="184" spans="1:22">
      <c r="A184">
        <v>182</v>
      </c>
      <c r="B184">
        <v>1057.482421875</v>
      </c>
      <c r="C184" t="s">
        <v>537</v>
      </c>
      <c r="D184">
        <v>13.106418132781981</v>
      </c>
      <c r="E184" t="s">
        <v>67</v>
      </c>
      <c r="F184" t="s">
        <v>526</v>
      </c>
      <c r="G184" t="s">
        <v>76</v>
      </c>
      <c r="H184" t="s">
        <v>4</v>
      </c>
      <c r="I184">
        <v>4</v>
      </c>
      <c r="J184">
        <v>1021</v>
      </c>
      <c r="K184">
        <v>0</v>
      </c>
      <c r="L184">
        <v>1021</v>
      </c>
      <c r="M184">
        <v>0</v>
      </c>
      <c r="N184" s="4">
        <f t="shared" si="2"/>
        <v>3.5732048849167475E-2</v>
      </c>
      <c r="P184">
        <v>0</v>
      </c>
      <c r="Q184">
        <v>4</v>
      </c>
      <c r="R184">
        <v>0</v>
      </c>
      <c r="U184" t="s">
        <v>76</v>
      </c>
    </row>
    <row r="185" spans="1:22">
      <c r="A185">
        <v>183</v>
      </c>
      <c r="B185">
        <v>1496.851806640625</v>
      </c>
      <c r="C185" t="s">
        <v>538</v>
      </c>
      <c r="D185">
        <v>7.1104977130889893</v>
      </c>
      <c r="E185" t="s">
        <v>79</v>
      </c>
      <c r="F185" t="s">
        <v>539</v>
      </c>
      <c r="G185" t="s">
        <v>80</v>
      </c>
      <c r="H185" t="s">
        <v>2</v>
      </c>
      <c r="I185">
        <v>1</v>
      </c>
      <c r="J185">
        <v>1162</v>
      </c>
      <c r="K185">
        <v>1162</v>
      </c>
      <c r="L185">
        <v>0</v>
      </c>
      <c r="M185">
        <v>0</v>
      </c>
      <c r="N185" s="4">
        <f t="shared" si="2"/>
        <v>0.28816850829657925</v>
      </c>
      <c r="P185">
        <v>1</v>
      </c>
      <c r="Q185">
        <v>0</v>
      </c>
      <c r="R185">
        <v>0</v>
      </c>
      <c r="T185" t="s">
        <v>80</v>
      </c>
    </row>
    <row r="186" spans="1:22">
      <c r="A186">
        <v>184</v>
      </c>
      <c r="B186">
        <v>2029.828491210938</v>
      </c>
      <c r="C186" t="s">
        <v>540</v>
      </c>
      <c r="D186">
        <v>17.93290209770203</v>
      </c>
      <c r="E186" t="s">
        <v>79</v>
      </c>
      <c r="F186" t="s">
        <v>539</v>
      </c>
      <c r="G186" t="s">
        <v>80</v>
      </c>
      <c r="H186" t="s">
        <v>3</v>
      </c>
      <c r="I186">
        <v>1</v>
      </c>
      <c r="J186">
        <v>1162</v>
      </c>
      <c r="K186">
        <v>0</v>
      </c>
      <c r="L186">
        <v>0</v>
      </c>
      <c r="M186">
        <v>1162</v>
      </c>
      <c r="N186" s="4">
        <f t="shared" si="2"/>
        <v>0.7468403538820465</v>
      </c>
      <c r="P186">
        <v>0</v>
      </c>
      <c r="Q186">
        <v>0</v>
      </c>
      <c r="R186">
        <v>1</v>
      </c>
      <c r="V186" t="s">
        <v>80</v>
      </c>
    </row>
    <row r="187" spans="1:22">
      <c r="A187">
        <v>185</v>
      </c>
      <c r="B187">
        <v>1326.867431640625</v>
      </c>
      <c r="C187" t="s">
        <v>541</v>
      </c>
      <c r="D187">
        <v>8.8636538982391357</v>
      </c>
      <c r="E187" t="s">
        <v>79</v>
      </c>
      <c r="F187" t="s">
        <v>539</v>
      </c>
      <c r="G187" t="s">
        <v>80</v>
      </c>
      <c r="H187" t="s">
        <v>4</v>
      </c>
      <c r="I187">
        <v>1</v>
      </c>
      <c r="J187">
        <v>1162</v>
      </c>
      <c r="K187">
        <v>0</v>
      </c>
      <c r="L187">
        <v>1162</v>
      </c>
      <c r="M187">
        <v>0</v>
      </c>
      <c r="N187" s="4">
        <f t="shared" si="2"/>
        <v>0.14188247129141573</v>
      </c>
      <c r="P187">
        <v>0</v>
      </c>
      <c r="Q187">
        <v>1</v>
      </c>
      <c r="R187">
        <v>0</v>
      </c>
      <c r="U187" t="s">
        <v>80</v>
      </c>
    </row>
    <row r="188" spans="1:22">
      <c r="A188">
        <v>186</v>
      </c>
      <c r="B188">
        <v>734.70269775390625</v>
      </c>
      <c r="C188" t="s">
        <v>542</v>
      </c>
      <c r="D188">
        <v>3.447107315063477</v>
      </c>
      <c r="E188" t="s">
        <v>79</v>
      </c>
      <c r="F188" t="s">
        <v>543</v>
      </c>
      <c r="G188" t="s">
        <v>81</v>
      </c>
      <c r="H188" t="s">
        <v>2</v>
      </c>
      <c r="I188">
        <v>1</v>
      </c>
      <c r="J188">
        <v>724</v>
      </c>
      <c r="K188">
        <v>724</v>
      </c>
      <c r="L188">
        <v>0</v>
      </c>
      <c r="M188">
        <v>0</v>
      </c>
      <c r="N188" s="4">
        <f t="shared" si="2"/>
        <v>1.4782731704290342E-2</v>
      </c>
      <c r="P188">
        <v>1</v>
      </c>
      <c r="Q188">
        <v>0</v>
      </c>
      <c r="R188">
        <v>0</v>
      </c>
      <c r="T188" t="s">
        <v>81</v>
      </c>
    </row>
    <row r="189" spans="1:22">
      <c r="A189">
        <v>187</v>
      </c>
      <c r="B189">
        <v>759.9327392578125</v>
      </c>
      <c r="C189" t="s">
        <v>544</v>
      </c>
      <c r="D189">
        <v>5.5181245803833008</v>
      </c>
      <c r="E189" t="s">
        <v>79</v>
      </c>
      <c r="F189" t="s">
        <v>543</v>
      </c>
      <c r="G189" t="s">
        <v>81</v>
      </c>
      <c r="H189" t="s">
        <v>3</v>
      </c>
      <c r="I189">
        <v>1</v>
      </c>
      <c r="J189">
        <v>724</v>
      </c>
      <c r="K189">
        <v>0</v>
      </c>
      <c r="L189">
        <v>0</v>
      </c>
      <c r="M189">
        <v>724</v>
      </c>
      <c r="N189" s="4">
        <f t="shared" si="2"/>
        <v>4.9630855328470336E-2</v>
      </c>
      <c r="P189">
        <v>0</v>
      </c>
      <c r="Q189">
        <v>0</v>
      </c>
      <c r="R189">
        <v>1</v>
      </c>
      <c r="V189" t="s">
        <v>81</v>
      </c>
    </row>
    <row r="190" spans="1:22">
      <c r="A190">
        <v>188</v>
      </c>
      <c r="B190">
        <v>727.746337890625</v>
      </c>
      <c r="C190" t="s">
        <v>545</v>
      </c>
      <c r="D190">
        <v>2.655626773834229</v>
      </c>
      <c r="E190" t="s">
        <v>79</v>
      </c>
      <c r="F190" t="s">
        <v>543</v>
      </c>
      <c r="G190" t="s">
        <v>81</v>
      </c>
      <c r="H190" t="s">
        <v>4</v>
      </c>
      <c r="I190">
        <v>1</v>
      </c>
      <c r="J190">
        <v>724</v>
      </c>
      <c r="K190">
        <v>0</v>
      </c>
      <c r="L190">
        <v>724</v>
      </c>
      <c r="M190">
        <v>0</v>
      </c>
      <c r="N190" s="4">
        <f t="shared" si="2"/>
        <v>5.1744998489295924E-3</v>
      </c>
      <c r="P190">
        <v>0</v>
      </c>
      <c r="Q190">
        <v>1</v>
      </c>
      <c r="R190">
        <v>0</v>
      </c>
      <c r="U190" t="s">
        <v>81</v>
      </c>
    </row>
    <row r="191" spans="1:22">
      <c r="A191">
        <v>189</v>
      </c>
      <c r="B191">
        <v>254.5649108886719</v>
      </c>
      <c r="C191" t="s">
        <v>546</v>
      </c>
      <c r="D191">
        <v>3.9620788097381592</v>
      </c>
      <c r="E191" t="s">
        <v>79</v>
      </c>
      <c r="F191" t="s">
        <v>547</v>
      </c>
      <c r="G191" t="s">
        <v>82</v>
      </c>
      <c r="H191" t="s">
        <v>2</v>
      </c>
      <c r="I191">
        <v>1</v>
      </c>
      <c r="J191">
        <v>237</v>
      </c>
      <c r="K191">
        <v>237</v>
      </c>
      <c r="L191">
        <v>0</v>
      </c>
      <c r="M191">
        <v>0</v>
      </c>
      <c r="N191" s="4">
        <f t="shared" si="2"/>
        <v>7.4113548053468037E-2</v>
      </c>
      <c r="P191">
        <v>1</v>
      </c>
      <c r="Q191">
        <v>0</v>
      </c>
      <c r="R191">
        <v>0</v>
      </c>
      <c r="T191" t="s">
        <v>82</v>
      </c>
    </row>
    <row r="192" spans="1:22">
      <c r="A192">
        <v>190</v>
      </c>
      <c r="B192">
        <v>259.22314453125</v>
      </c>
      <c r="C192" t="s">
        <v>548</v>
      </c>
      <c r="D192">
        <v>5.6005246639251709</v>
      </c>
      <c r="E192" t="s">
        <v>79</v>
      </c>
      <c r="F192" t="s">
        <v>547</v>
      </c>
      <c r="G192" t="s">
        <v>82</v>
      </c>
      <c r="H192" t="s">
        <v>3</v>
      </c>
      <c r="I192">
        <v>1</v>
      </c>
      <c r="J192">
        <v>237</v>
      </c>
      <c r="K192">
        <v>0</v>
      </c>
      <c r="L192">
        <v>0</v>
      </c>
      <c r="M192">
        <v>237</v>
      </c>
      <c r="N192" s="4">
        <f t="shared" si="2"/>
        <v>9.3768542325949333E-2</v>
      </c>
      <c r="P192">
        <v>0</v>
      </c>
      <c r="Q192">
        <v>0</v>
      </c>
      <c r="R192">
        <v>1</v>
      </c>
      <c r="V192" t="s">
        <v>82</v>
      </c>
    </row>
    <row r="193" spans="1:22">
      <c r="A193">
        <v>191</v>
      </c>
      <c r="B193">
        <v>257.1578369140625</v>
      </c>
      <c r="C193" t="s">
        <v>549</v>
      </c>
      <c r="D193">
        <v>4.8395190238952637</v>
      </c>
      <c r="E193" t="s">
        <v>79</v>
      </c>
      <c r="F193" t="s">
        <v>547</v>
      </c>
      <c r="G193" t="s">
        <v>82</v>
      </c>
      <c r="H193" t="s">
        <v>4</v>
      </c>
      <c r="I193">
        <v>1</v>
      </c>
      <c r="J193">
        <v>237</v>
      </c>
      <c r="K193">
        <v>0</v>
      </c>
      <c r="L193">
        <v>237</v>
      </c>
      <c r="M193">
        <v>0</v>
      </c>
      <c r="N193" s="4">
        <f t="shared" si="2"/>
        <v>8.5054164194356519E-2</v>
      </c>
      <c r="P193">
        <v>0</v>
      </c>
      <c r="Q193">
        <v>1</v>
      </c>
      <c r="R193">
        <v>0</v>
      </c>
      <c r="U193" t="s">
        <v>82</v>
      </c>
    </row>
    <row r="194" spans="1:22">
      <c r="A194">
        <v>289</v>
      </c>
      <c r="B194">
        <v>831.60064697265625</v>
      </c>
      <c r="C194" t="s">
        <v>578</v>
      </c>
      <c r="D194">
        <v>2.9455304145812988</v>
      </c>
      <c r="E194" t="s">
        <v>115</v>
      </c>
      <c r="F194" t="s">
        <v>579</v>
      </c>
      <c r="G194" t="s">
        <v>116</v>
      </c>
      <c r="H194" t="s">
        <v>2</v>
      </c>
      <c r="I194">
        <v>1</v>
      </c>
      <c r="J194">
        <v>820</v>
      </c>
      <c r="K194">
        <v>820</v>
      </c>
      <c r="L194">
        <v>0</v>
      </c>
      <c r="M194">
        <v>0</v>
      </c>
      <c r="N194" s="4">
        <f t="shared" ref="N194:N225" si="3">IFERROR(B194/J194-1,"")</f>
        <v>1.4147130454458923E-2</v>
      </c>
      <c r="P194">
        <v>1</v>
      </c>
      <c r="Q194">
        <v>0</v>
      </c>
      <c r="R194">
        <v>0</v>
      </c>
      <c r="T194" t="s">
        <v>116</v>
      </c>
    </row>
    <row r="195" spans="1:22">
      <c r="A195">
        <v>290</v>
      </c>
      <c r="B195">
        <v>1001.439575195312</v>
      </c>
      <c r="C195" t="s">
        <v>580</v>
      </c>
      <c r="D195">
        <v>2.5660290718078609</v>
      </c>
      <c r="E195" t="s">
        <v>115</v>
      </c>
      <c r="F195" t="s">
        <v>579</v>
      </c>
      <c r="G195" t="s">
        <v>116</v>
      </c>
      <c r="H195" t="s">
        <v>3</v>
      </c>
      <c r="I195">
        <v>1</v>
      </c>
      <c r="J195">
        <v>820</v>
      </c>
      <c r="K195">
        <v>0</v>
      </c>
      <c r="L195">
        <v>0</v>
      </c>
      <c r="M195">
        <v>820</v>
      </c>
      <c r="N195" s="4">
        <f t="shared" si="3"/>
        <v>0.22126777462842928</v>
      </c>
      <c r="P195">
        <v>0</v>
      </c>
      <c r="Q195">
        <v>0</v>
      </c>
      <c r="R195">
        <v>1</v>
      </c>
      <c r="V195" t="s">
        <v>116</v>
      </c>
    </row>
    <row r="196" spans="1:22">
      <c r="A196">
        <v>291</v>
      </c>
      <c r="B196">
        <v>832.8746337890625</v>
      </c>
      <c r="C196" t="s">
        <v>581</v>
      </c>
      <c r="D196">
        <v>2.506531953811646</v>
      </c>
      <c r="E196" t="s">
        <v>115</v>
      </c>
      <c r="F196" t="s">
        <v>579</v>
      </c>
      <c r="G196" t="s">
        <v>116</v>
      </c>
      <c r="H196" t="s">
        <v>4</v>
      </c>
      <c r="I196">
        <v>1</v>
      </c>
      <c r="J196">
        <v>820</v>
      </c>
      <c r="K196">
        <v>0</v>
      </c>
      <c r="L196">
        <v>820</v>
      </c>
      <c r="M196">
        <v>0</v>
      </c>
      <c r="N196" s="4">
        <f t="shared" si="3"/>
        <v>1.5700772913490812E-2</v>
      </c>
      <c r="P196">
        <v>0</v>
      </c>
      <c r="Q196">
        <v>1</v>
      </c>
      <c r="R196">
        <v>0</v>
      </c>
      <c r="U196" t="s">
        <v>116</v>
      </c>
    </row>
    <row r="197" spans="1:22">
      <c r="A197">
        <v>292</v>
      </c>
      <c r="B197">
        <v>1087.56982421875</v>
      </c>
      <c r="C197" t="s">
        <v>582</v>
      </c>
      <c r="D197">
        <v>2.6123578548431401</v>
      </c>
      <c r="E197" t="s">
        <v>115</v>
      </c>
      <c r="F197" t="s">
        <v>583</v>
      </c>
      <c r="G197" t="s">
        <v>117</v>
      </c>
      <c r="H197" t="s">
        <v>2</v>
      </c>
      <c r="I197">
        <v>1</v>
      </c>
      <c r="J197">
        <v>1034</v>
      </c>
      <c r="K197">
        <v>1034</v>
      </c>
      <c r="L197">
        <v>0</v>
      </c>
      <c r="M197">
        <v>0</v>
      </c>
      <c r="N197" s="4">
        <f t="shared" si="3"/>
        <v>5.1808340637089056E-2</v>
      </c>
      <c r="P197">
        <v>1</v>
      </c>
      <c r="Q197">
        <v>0</v>
      </c>
      <c r="R197">
        <v>0</v>
      </c>
      <c r="T197" t="s">
        <v>117</v>
      </c>
    </row>
    <row r="198" spans="1:22">
      <c r="A198">
        <v>293</v>
      </c>
      <c r="B198">
        <v>1193.85400390625</v>
      </c>
      <c r="C198" t="s">
        <v>584</v>
      </c>
      <c r="D198">
        <v>2.932099580764771</v>
      </c>
      <c r="E198" t="s">
        <v>115</v>
      </c>
      <c r="F198" t="s">
        <v>583</v>
      </c>
      <c r="G198" t="s">
        <v>117</v>
      </c>
      <c r="H198" t="s">
        <v>3</v>
      </c>
      <c r="I198">
        <v>1</v>
      </c>
      <c r="J198">
        <v>1034</v>
      </c>
      <c r="K198">
        <v>0</v>
      </c>
      <c r="L198">
        <v>0</v>
      </c>
      <c r="M198">
        <v>1034</v>
      </c>
      <c r="N198" s="4">
        <f t="shared" si="3"/>
        <v>0.15459768269463248</v>
      </c>
      <c r="P198">
        <v>0</v>
      </c>
      <c r="Q198">
        <v>0</v>
      </c>
      <c r="R198">
        <v>1</v>
      </c>
      <c r="V198" t="s">
        <v>117</v>
      </c>
    </row>
    <row r="199" spans="1:22">
      <c r="A199">
        <v>294</v>
      </c>
      <c r="B199">
        <v>1077.840087890625</v>
      </c>
      <c r="C199" t="s">
        <v>585</v>
      </c>
      <c r="D199">
        <v>2.3583824634552002</v>
      </c>
      <c r="E199" t="s">
        <v>115</v>
      </c>
      <c r="F199" t="s">
        <v>583</v>
      </c>
      <c r="G199" t="s">
        <v>117</v>
      </c>
      <c r="H199" t="s">
        <v>4</v>
      </c>
      <c r="I199">
        <v>1</v>
      </c>
      <c r="J199">
        <v>1034</v>
      </c>
      <c r="K199">
        <v>0</v>
      </c>
      <c r="L199">
        <v>1034</v>
      </c>
      <c r="M199">
        <v>0</v>
      </c>
      <c r="N199" s="4">
        <f t="shared" si="3"/>
        <v>4.2398537611822995E-2</v>
      </c>
      <c r="P199">
        <v>0</v>
      </c>
      <c r="Q199">
        <v>1</v>
      </c>
      <c r="R199">
        <v>0</v>
      </c>
      <c r="U199" t="s">
        <v>117</v>
      </c>
    </row>
    <row r="200" spans="1:22">
      <c r="A200">
        <v>295</v>
      </c>
      <c r="B200">
        <v>1087.244140625</v>
      </c>
      <c r="C200" t="s">
        <v>586</v>
      </c>
      <c r="D200">
        <v>4.1812434196472168</v>
      </c>
      <c r="E200" t="s">
        <v>115</v>
      </c>
      <c r="F200" t="s">
        <v>587</v>
      </c>
      <c r="G200" t="s">
        <v>118</v>
      </c>
      <c r="H200" t="s">
        <v>2</v>
      </c>
      <c r="I200">
        <v>1</v>
      </c>
      <c r="J200">
        <v>1015</v>
      </c>
      <c r="K200">
        <v>1015</v>
      </c>
      <c r="L200">
        <v>0</v>
      </c>
      <c r="M200">
        <v>0</v>
      </c>
      <c r="N200" s="4">
        <f t="shared" si="3"/>
        <v>7.1176493226601023E-2</v>
      </c>
      <c r="P200">
        <v>1</v>
      </c>
      <c r="Q200">
        <v>0</v>
      </c>
      <c r="R200">
        <v>0</v>
      </c>
      <c r="T200" t="s">
        <v>118</v>
      </c>
    </row>
    <row r="201" spans="1:22">
      <c r="A201">
        <v>296</v>
      </c>
      <c r="B201">
        <v>1135.40869140625</v>
      </c>
      <c r="C201" t="s">
        <v>588</v>
      </c>
      <c r="D201">
        <v>3.3596851825714111</v>
      </c>
      <c r="E201" t="s">
        <v>115</v>
      </c>
      <c r="F201" t="s">
        <v>587</v>
      </c>
      <c r="G201" t="s">
        <v>118</v>
      </c>
      <c r="H201" t="s">
        <v>3</v>
      </c>
      <c r="I201">
        <v>1</v>
      </c>
      <c r="J201">
        <v>1015</v>
      </c>
      <c r="K201">
        <v>0</v>
      </c>
      <c r="L201">
        <v>0</v>
      </c>
      <c r="M201">
        <v>1015</v>
      </c>
      <c r="N201" s="4">
        <f t="shared" si="3"/>
        <v>0.11862925261699497</v>
      </c>
      <c r="P201">
        <v>0</v>
      </c>
      <c r="Q201">
        <v>0</v>
      </c>
      <c r="R201">
        <v>1</v>
      </c>
      <c r="V201" t="s">
        <v>118</v>
      </c>
    </row>
    <row r="202" spans="1:22">
      <c r="A202">
        <v>297</v>
      </c>
      <c r="B202">
        <v>1082.014404296875</v>
      </c>
      <c r="C202" t="s">
        <v>589</v>
      </c>
      <c r="D202">
        <v>3.1036827564239502</v>
      </c>
      <c r="E202" t="s">
        <v>115</v>
      </c>
      <c r="F202" t="s">
        <v>587</v>
      </c>
      <c r="G202" t="s">
        <v>118</v>
      </c>
      <c r="H202" t="s">
        <v>4</v>
      </c>
      <c r="I202">
        <v>1</v>
      </c>
      <c r="J202">
        <v>1015</v>
      </c>
      <c r="K202">
        <v>0</v>
      </c>
      <c r="L202">
        <v>1015</v>
      </c>
      <c r="M202">
        <v>0</v>
      </c>
      <c r="N202" s="4">
        <f t="shared" si="3"/>
        <v>6.6024043642241459E-2</v>
      </c>
      <c r="P202">
        <v>0</v>
      </c>
      <c r="Q202">
        <v>1</v>
      </c>
      <c r="R202">
        <v>0</v>
      </c>
      <c r="U202" t="s">
        <v>118</v>
      </c>
    </row>
    <row r="203" spans="1:22">
      <c r="A203">
        <v>298</v>
      </c>
      <c r="B203">
        <v>1359.248046875</v>
      </c>
      <c r="C203" t="s">
        <v>590</v>
      </c>
      <c r="D203">
        <v>5.7961440086364746</v>
      </c>
      <c r="E203" t="s">
        <v>115</v>
      </c>
      <c r="F203" t="s">
        <v>591</v>
      </c>
      <c r="G203" t="s">
        <v>120</v>
      </c>
      <c r="H203" t="s">
        <v>2</v>
      </c>
      <c r="I203">
        <v>2</v>
      </c>
      <c r="J203">
        <v>1275</v>
      </c>
      <c r="K203">
        <v>1275</v>
      </c>
      <c r="L203">
        <v>0</v>
      </c>
      <c r="M203">
        <v>0</v>
      </c>
      <c r="N203" s="4">
        <f t="shared" si="3"/>
        <v>6.6076899509803999E-2</v>
      </c>
      <c r="P203">
        <v>2</v>
      </c>
      <c r="Q203">
        <v>0</v>
      </c>
      <c r="R203">
        <v>0</v>
      </c>
      <c r="T203" t="s">
        <v>120</v>
      </c>
    </row>
    <row r="204" spans="1:22">
      <c r="A204">
        <v>299</v>
      </c>
      <c r="B204">
        <v>1361.201049804688</v>
      </c>
      <c r="C204" t="s">
        <v>592</v>
      </c>
      <c r="D204">
        <v>5.7961440086364746</v>
      </c>
      <c r="E204" t="s">
        <v>115</v>
      </c>
      <c r="F204" t="s">
        <v>591</v>
      </c>
      <c r="G204" t="s">
        <v>119</v>
      </c>
      <c r="H204" t="s">
        <v>2</v>
      </c>
      <c r="I204">
        <v>2</v>
      </c>
      <c r="J204">
        <v>1274</v>
      </c>
      <c r="K204">
        <v>1274</v>
      </c>
      <c r="L204">
        <v>0</v>
      </c>
      <c r="M204">
        <v>0</v>
      </c>
      <c r="N204" s="4">
        <f t="shared" si="3"/>
        <v>6.8446663896929216E-2</v>
      </c>
      <c r="P204">
        <v>2</v>
      </c>
      <c r="Q204">
        <v>0</v>
      </c>
      <c r="R204">
        <v>0</v>
      </c>
      <c r="T204" t="s">
        <v>119</v>
      </c>
    </row>
    <row r="205" spans="1:22">
      <c r="A205">
        <v>300</v>
      </c>
      <c r="B205">
        <v>1502.636962890625</v>
      </c>
      <c r="C205" t="s">
        <v>593</v>
      </c>
      <c r="D205">
        <v>6.205467700958252</v>
      </c>
      <c r="E205" t="s">
        <v>115</v>
      </c>
      <c r="F205" t="s">
        <v>591</v>
      </c>
      <c r="G205" t="s">
        <v>120</v>
      </c>
      <c r="H205" t="s">
        <v>3</v>
      </c>
      <c r="I205">
        <v>2</v>
      </c>
      <c r="J205">
        <v>1275</v>
      </c>
      <c r="K205">
        <v>0</v>
      </c>
      <c r="L205">
        <v>0</v>
      </c>
      <c r="M205">
        <v>1275</v>
      </c>
      <c r="N205" s="4">
        <f t="shared" si="3"/>
        <v>0.17853879442401954</v>
      </c>
      <c r="P205">
        <v>0</v>
      </c>
      <c r="Q205">
        <v>0</v>
      </c>
      <c r="R205">
        <v>2</v>
      </c>
      <c r="V205" t="s">
        <v>120</v>
      </c>
    </row>
    <row r="206" spans="1:22">
      <c r="A206">
        <v>301</v>
      </c>
      <c r="B206">
        <v>1506.9658203125</v>
      </c>
      <c r="C206" t="s">
        <v>594</v>
      </c>
      <c r="D206">
        <v>6.205467700958252</v>
      </c>
      <c r="E206" t="s">
        <v>115</v>
      </c>
      <c r="F206" t="s">
        <v>591</v>
      </c>
      <c r="G206" t="s">
        <v>119</v>
      </c>
      <c r="H206" t="s">
        <v>3</v>
      </c>
      <c r="I206">
        <v>2</v>
      </c>
      <c r="J206">
        <v>1274</v>
      </c>
      <c r="K206">
        <v>0</v>
      </c>
      <c r="L206">
        <v>0</v>
      </c>
      <c r="M206">
        <v>1274</v>
      </c>
      <c r="N206" s="4">
        <f t="shared" si="3"/>
        <v>0.18286171139128737</v>
      </c>
      <c r="P206">
        <v>0</v>
      </c>
      <c r="Q206">
        <v>0</v>
      </c>
      <c r="R206">
        <v>2</v>
      </c>
      <c r="V206" t="s">
        <v>119</v>
      </c>
    </row>
    <row r="207" spans="1:22">
      <c r="A207">
        <v>302</v>
      </c>
      <c r="B207">
        <v>1403.285522460938</v>
      </c>
      <c r="C207" t="s">
        <v>595</v>
      </c>
      <c r="D207">
        <v>5.2532594203948966</v>
      </c>
      <c r="E207" t="s">
        <v>115</v>
      </c>
      <c r="F207" t="s">
        <v>591</v>
      </c>
      <c r="G207" t="s">
        <v>120</v>
      </c>
      <c r="H207" t="s">
        <v>4</v>
      </c>
      <c r="I207">
        <v>2</v>
      </c>
      <c r="J207">
        <v>1275</v>
      </c>
      <c r="K207">
        <v>0</v>
      </c>
      <c r="L207">
        <v>1275</v>
      </c>
      <c r="M207">
        <v>0</v>
      </c>
      <c r="N207" s="4">
        <f t="shared" si="3"/>
        <v>0.10061609604779442</v>
      </c>
      <c r="P207">
        <v>0</v>
      </c>
      <c r="Q207">
        <v>2</v>
      </c>
      <c r="R207">
        <v>0</v>
      </c>
      <c r="U207" t="s">
        <v>120</v>
      </c>
    </row>
    <row r="208" spans="1:22">
      <c r="A208">
        <v>303</v>
      </c>
      <c r="B208">
        <v>1402.022338867188</v>
      </c>
      <c r="C208" t="s">
        <v>596</v>
      </c>
      <c r="D208">
        <v>5.2532594203948966</v>
      </c>
      <c r="E208" t="s">
        <v>115</v>
      </c>
      <c r="F208" t="s">
        <v>591</v>
      </c>
      <c r="G208" t="s">
        <v>119</v>
      </c>
      <c r="H208" t="s">
        <v>4</v>
      </c>
      <c r="I208">
        <v>2</v>
      </c>
      <c r="J208">
        <v>1274</v>
      </c>
      <c r="K208">
        <v>0</v>
      </c>
      <c r="L208">
        <v>1274</v>
      </c>
      <c r="M208">
        <v>0</v>
      </c>
      <c r="N208" s="4">
        <f t="shared" si="3"/>
        <v>0.10048849204645838</v>
      </c>
      <c r="P208">
        <v>0</v>
      </c>
      <c r="Q208">
        <v>2</v>
      </c>
      <c r="R208">
        <v>0</v>
      </c>
      <c r="U208" t="s">
        <v>119</v>
      </c>
    </row>
    <row r="209" spans="1:22">
      <c r="A209">
        <v>304</v>
      </c>
      <c r="B209">
        <v>745.6224365234375</v>
      </c>
      <c r="C209" t="s">
        <v>597</v>
      </c>
      <c r="D209">
        <v>0.57243895530700684</v>
      </c>
      <c r="E209" t="s">
        <v>121</v>
      </c>
      <c r="F209" t="s">
        <v>598</v>
      </c>
      <c r="G209" t="s">
        <v>122</v>
      </c>
      <c r="H209" t="s">
        <v>2</v>
      </c>
      <c r="I209">
        <v>1</v>
      </c>
      <c r="J209">
        <v>681</v>
      </c>
      <c r="K209">
        <v>681</v>
      </c>
      <c r="L209">
        <v>0</v>
      </c>
      <c r="M209">
        <v>0</v>
      </c>
      <c r="N209" s="4">
        <f t="shared" si="3"/>
        <v>9.4893445702551427E-2</v>
      </c>
      <c r="P209">
        <v>1</v>
      </c>
      <c r="Q209">
        <v>0</v>
      </c>
      <c r="R209">
        <v>0</v>
      </c>
      <c r="T209" t="s">
        <v>122</v>
      </c>
    </row>
    <row r="210" spans="1:22">
      <c r="A210">
        <v>305</v>
      </c>
      <c r="B210">
        <v>746.7935791015625</v>
      </c>
      <c r="C210" t="s">
        <v>599</v>
      </c>
      <c r="D210">
        <v>4.2975547313690194</v>
      </c>
      <c r="E210" t="s">
        <v>121</v>
      </c>
      <c r="F210" t="s">
        <v>598</v>
      </c>
      <c r="G210" t="s">
        <v>122</v>
      </c>
      <c r="H210" t="s">
        <v>3</v>
      </c>
      <c r="I210">
        <v>1</v>
      </c>
      <c r="J210">
        <v>681</v>
      </c>
      <c r="K210">
        <v>0</v>
      </c>
      <c r="L210">
        <v>0</v>
      </c>
      <c r="M210">
        <v>681</v>
      </c>
      <c r="N210" s="4">
        <f t="shared" si="3"/>
        <v>9.6613185171163796E-2</v>
      </c>
      <c r="P210">
        <v>0</v>
      </c>
      <c r="Q210">
        <v>0</v>
      </c>
      <c r="R210">
        <v>1</v>
      </c>
      <c r="V210" t="s">
        <v>122</v>
      </c>
    </row>
    <row r="211" spans="1:22">
      <c r="A211">
        <v>306</v>
      </c>
      <c r="B211">
        <v>726.45892333984375</v>
      </c>
      <c r="C211" t="s">
        <v>600</v>
      </c>
      <c r="D211">
        <v>3.5447700023651119</v>
      </c>
      <c r="E211" t="s">
        <v>121</v>
      </c>
      <c r="F211" t="s">
        <v>598</v>
      </c>
      <c r="G211" t="s">
        <v>122</v>
      </c>
      <c r="H211" t="s">
        <v>4</v>
      </c>
      <c r="I211">
        <v>1</v>
      </c>
      <c r="J211">
        <v>681</v>
      </c>
      <c r="K211">
        <v>0</v>
      </c>
      <c r="L211">
        <v>681</v>
      </c>
      <c r="M211">
        <v>0</v>
      </c>
      <c r="N211" s="4">
        <f t="shared" si="3"/>
        <v>6.6753191394777867E-2</v>
      </c>
      <c r="P211">
        <v>0</v>
      </c>
      <c r="Q211">
        <v>1</v>
      </c>
      <c r="R211">
        <v>0</v>
      </c>
      <c r="U211" t="s">
        <v>122</v>
      </c>
    </row>
    <row r="212" spans="1:22">
      <c r="A212">
        <v>307</v>
      </c>
      <c r="B212">
        <v>451.94708251953119</v>
      </c>
      <c r="C212" t="s">
        <v>601</v>
      </c>
      <c r="D212">
        <v>2.0814764499664311</v>
      </c>
      <c r="E212" t="s">
        <v>121</v>
      </c>
      <c r="F212" t="s">
        <v>602</v>
      </c>
      <c r="G212" t="s">
        <v>123</v>
      </c>
      <c r="H212" t="s">
        <v>2</v>
      </c>
      <c r="I212">
        <v>1</v>
      </c>
      <c r="J212">
        <v>450</v>
      </c>
      <c r="K212">
        <v>450</v>
      </c>
      <c r="L212">
        <v>0</v>
      </c>
      <c r="M212">
        <v>0</v>
      </c>
      <c r="N212" s="4">
        <f t="shared" si="3"/>
        <v>4.326850043402608E-3</v>
      </c>
      <c r="P212">
        <v>1</v>
      </c>
      <c r="Q212">
        <v>0</v>
      </c>
      <c r="R212">
        <v>0</v>
      </c>
      <c r="T212" t="s">
        <v>123</v>
      </c>
    </row>
    <row r="213" spans="1:22">
      <c r="A213">
        <v>308</v>
      </c>
      <c r="B213">
        <v>451.94708251953119</v>
      </c>
      <c r="C213" t="s">
        <v>603</v>
      </c>
      <c r="D213">
        <v>0.1099700927734375</v>
      </c>
      <c r="E213" t="s">
        <v>121</v>
      </c>
      <c r="F213" t="s">
        <v>602</v>
      </c>
      <c r="G213" t="s">
        <v>123</v>
      </c>
      <c r="H213" t="s">
        <v>3</v>
      </c>
      <c r="I213">
        <v>1</v>
      </c>
      <c r="J213">
        <v>450</v>
      </c>
      <c r="K213">
        <v>0</v>
      </c>
      <c r="L213">
        <v>0</v>
      </c>
      <c r="M213">
        <v>450</v>
      </c>
      <c r="N213" s="4">
        <f t="shared" si="3"/>
        <v>4.326850043402608E-3</v>
      </c>
      <c r="P213">
        <v>0</v>
      </c>
      <c r="Q213">
        <v>0</v>
      </c>
      <c r="R213">
        <v>1</v>
      </c>
      <c r="V213" t="s">
        <v>123</v>
      </c>
    </row>
    <row r="214" spans="1:22">
      <c r="A214">
        <v>309</v>
      </c>
      <c r="B214">
        <v>451.94708251953119</v>
      </c>
      <c r="C214" t="s">
        <v>604</v>
      </c>
      <c r="D214">
        <v>3.2441725730896001</v>
      </c>
      <c r="E214" t="s">
        <v>121</v>
      </c>
      <c r="F214" t="s">
        <v>602</v>
      </c>
      <c r="G214" t="s">
        <v>123</v>
      </c>
      <c r="H214" t="s">
        <v>4</v>
      </c>
      <c r="I214">
        <v>1</v>
      </c>
      <c r="J214">
        <v>450</v>
      </c>
      <c r="K214">
        <v>0</v>
      </c>
      <c r="L214">
        <v>450</v>
      </c>
      <c r="M214">
        <v>0</v>
      </c>
      <c r="N214" s="4">
        <f t="shared" si="3"/>
        <v>4.326850043402608E-3</v>
      </c>
      <c r="P214">
        <v>0</v>
      </c>
      <c r="Q214">
        <v>1</v>
      </c>
      <c r="R214">
        <v>0</v>
      </c>
      <c r="U214" t="s">
        <v>123</v>
      </c>
    </row>
    <row r="215" spans="1:22">
      <c r="A215">
        <v>310</v>
      </c>
      <c r="B215">
        <v>220.64312744140619</v>
      </c>
      <c r="C215" t="s">
        <v>605</v>
      </c>
      <c r="D215">
        <v>2.990282535552979</v>
      </c>
      <c r="E215" t="s">
        <v>121</v>
      </c>
      <c r="F215" t="s">
        <v>606</v>
      </c>
      <c r="G215" t="s">
        <v>124</v>
      </c>
      <c r="H215" t="s">
        <v>2</v>
      </c>
      <c r="I215">
        <v>1</v>
      </c>
      <c r="J215">
        <v>212</v>
      </c>
      <c r="K215">
        <v>212</v>
      </c>
      <c r="L215">
        <v>0</v>
      </c>
      <c r="M215">
        <v>0</v>
      </c>
      <c r="N215" s="4">
        <f t="shared" si="3"/>
        <v>4.0769469063236752E-2</v>
      </c>
      <c r="P215">
        <v>1</v>
      </c>
      <c r="Q215">
        <v>0</v>
      </c>
      <c r="R215">
        <v>0</v>
      </c>
      <c r="T215" t="s">
        <v>124</v>
      </c>
    </row>
    <row r="216" spans="1:22">
      <c r="A216">
        <v>311</v>
      </c>
      <c r="B216">
        <v>220.64312744140619</v>
      </c>
      <c r="C216" t="s">
        <v>607</v>
      </c>
      <c r="D216">
        <v>4.5985660552978516</v>
      </c>
      <c r="E216" t="s">
        <v>121</v>
      </c>
      <c r="F216" t="s">
        <v>606</v>
      </c>
      <c r="G216" t="s">
        <v>124</v>
      </c>
      <c r="H216" t="s">
        <v>3</v>
      </c>
      <c r="I216">
        <v>1</v>
      </c>
      <c r="J216">
        <v>212</v>
      </c>
      <c r="K216">
        <v>0</v>
      </c>
      <c r="L216">
        <v>0</v>
      </c>
      <c r="M216">
        <v>212</v>
      </c>
      <c r="N216" s="4">
        <f t="shared" si="3"/>
        <v>4.0769469063236752E-2</v>
      </c>
      <c r="P216">
        <v>0</v>
      </c>
      <c r="Q216">
        <v>0</v>
      </c>
      <c r="R216">
        <v>1</v>
      </c>
      <c r="V216" t="s">
        <v>124</v>
      </c>
    </row>
    <row r="217" spans="1:22">
      <c r="A217">
        <v>312</v>
      </c>
      <c r="B217">
        <v>220.64312744140619</v>
      </c>
      <c r="C217" t="s">
        <v>605</v>
      </c>
      <c r="D217">
        <v>6.1232118606567383</v>
      </c>
      <c r="E217" t="s">
        <v>121</v>
      </c>
      <c r="F217" t="s">
        <v>606</v>
      </c>
      <c r="G217" t="s">
        <v>124</v>
      </c>
      <c r="H217" t="s">
        <v>4</v>
      </c>
      <c r="I217">
        <v>1</v>
      </c>
      <c r="J217">
        <v>212</v>
      </c>
      <c r="K217">
        <v>0</v>
      </c>
      <c r="L217">
        <v>212</v>
      </c>
      <c r="M217">
        <v>0</v>
      </c>
      <c r="N217" s="4">
        <f t="shared" si="3"/>
        <v>4.0769469063236752E-2</v>
      </c>
      <c r="P217">
        <v>0</v>
      </c>
      <c r="Q217">
        <v>1</v>
      </c>
      <c r="R217">
        <v>0</v>
      </c>
      <c r="U217" t="s">
        <v>124</v>
      </c>
    </row>
    <row r="218" spans="1:22">
      <c r="A218">
        <v>313</v>
      </c>
      <c r="B218">
        <v>254.41534423828119</v>
      </c>
      <c r="C218" t="s">
        <v>608</v>
      </c>
      <c r="D218">
        <v>3.0722846984863281</v>
      </c>
      <c r="E218" t="s">
        <v>121</v>
      </c>
      <c r="F218" t="s">
        <v>609</v>
      </c>
      <c r="G218" t="s">
        <v>125</v>
      </c>
      <c r="H218" t="s">
        <v>2</v>
      </c>
      <c r="I218">
        <v>1</v>
      </c>
      <c r="J218">
        <v>216</v>
      </c>
      <c r="K218">
        <v>216</v>
      </c>
      <c r="L218">
        <v>0</v>
      </c>
      <c r="M218">
        <v>0</v>
      </c>
      <c r="N218" s="4">
        <f t="shared" si="3"/>
        <v>0.17784881591796853</v>
      </c>
      <c r="P218">
        <v>1</v>
      </c>
      <c r="Q218">
        <v>0</v>
      </c>
      <c r="R218">
        <v>0</v>
      </c>
      <c r="T218" t="s">
        <v>125</v>
      </c>
    </row>
    <row r="219" spans="1:22">
      <c r="A219">
        <v>314</v>
      </c>
      <c r="B219">
        <v>220.6211242675781</v>
      </c>
      <c r="C219" t="s">
        <v>610</v>
      </c>
      <c r="D219">
        <v>5.0575244426727286</v>
      </c>
      <c r="E219" t="s">
        <v>121</v>
      </c>
      <c r="F219" t="s">
        <v>609</v>
      </c>
      <c r="G219" t="s">
        <v>125</v>
      </c>
      <c r="H219" t="s">
        <v>3</v>
      </c>
      <c r="I219">
        <v>1</v>
      </c>
      <c r="J219">
        <v>216</v>
      </c>
      <c r="K219">
        <v>0</v>
      </c>
      <c r="L219">
        <v>0</v>
      </c>
      <c r="M219">
        <v>216</v>
      </c>
      <c r="N219" s="4">
        <f t="shared" si="3"/>
        <v>2.1394093831380134E-2</v>
      </c>
      <c r="P219">
        <v>0</v>
      </c>
      <c r="Q219">
        <v>0</v>
      </c>
      <c r="R219">
        <v>1</v>
      </c>
      <c r="V219" t="s">
        <v>125</v>
      </c>
    </row>
    <row r="220" spans="1:22">
      <c r="A220">
        <v>315</v>
      </c>
      <c r="B220">
        <v>226.51165771484381</v>
      </c>
      <c r="C220" t="s">
        <v>611</v>
      </c>
      <c r="D220">
        <v>5.9177107810974121</v>
      </c>
      <c r="E220" t="s">
        <v>121</v>
      </c>
      <c r="F220" t="s">
        <v>609</v>
      </c>
      <c r="G220" t="s">
        <v>125</v>
      </c>
      <c r="H220" t="s">
        <v>4</v>
      </c>
      <c r="I220">
        <v>1</v>
      </c>
      <c r="J220">
        <v>216</v>
      </c>
      <c r="K220">
        <v>0</v>
      </c>
      <c r="L220">
        <v>216</v>
      </c>
      <c r="M220">
        <v>0</v>
      </c>
      <c r="N220" s="4">
        <f t="shared" si="3"/>
        <v>4.8665082013165772E-2</v>
      </c>
      <c r="P220">
        <v>0</v>
      </c>
      <c r="Q220">
        <v>1</v>
      </c>
      <c r="R220">
        <v>0</v>
      </c>
      <c r="U220" t="s">
        <v>125</v>
      </c>
    </row>
    <row r="221" spans="1:22">
      <c r="A221">
        <v>316</v>
      </c>
      <c r="B221">
        <v>255.1690673828125</v>
      </c>
      <c r="C221" t="s">
        <v>612</v>
      </c>
      <c r="D221">
        <v>3.137590885162354</v>
      </c>
      <c r="E221" t="s">
        <v>121</v>
      </c>
      <c r="F221" t="s">
        <v>613</v>
      </c>
      <c r="G221" t="s">
        <v>126</v>
      </c>
      <c r="H221" t="s">
        <v>2</v>
      </c>
      <c r="I221">
        <v>1</v>
      </c>
      <c r="J221">
        <v>211</v>
      </c>
      <c r="K221">
        <v>211</v>
      </c>
      <c r="L221">
        <v>0</v>
      </c>
      <c r="M221">
        <v>0</v>
      </c>
      <c r="N221" s="4">
        <f t="shared" si="3"/>
        <v>0.20933207290432465</v>
      </c>
      <c r="P221">
        <v>1</v>
      </c>
      <c r="Q221">
        <v>0</v>
      </c>
      <c r="R221">
        <v>0</v>
      </c>
      <c r="T221" t="s">
        <v>126</v>
      </c>
    </row>
    <row r="222" spans="1:22">
      <c r="A222">
        <v>317</v>
      </c>
      <c r="B222">
        <v>212.7115478515625</v>
      </c>
      <c r="C222" t="s">
        <v>614</v>
      </c>
      <c r="D222">
        <v>3.906652688980103</v>
      </c>
      <c r="E222" t="s">
        <v>121</v>
      </c>
      <c r="F222" t="s">
        <v>613</v>
      </c>
      <c r="G222" t="s">
        <v>126</v>
      </c>
      <c r="H222" t="s">
        <v>3</v>
      </c>
      <c r="I222">
        <v>1</v>
      </c>
      <c r="J222">
        <v>211</v>
      </c>
      <c r="K222">
        <v>0</v>
      </c>
      <c r="L222">
        <v>0</v>
      </c>
      <c r="M222">
        <v>211</v>
      </c>
      <c r="N222" s="4">
        <f t="shared" si="3"/>
        <v>8.1116011922393039E-3</v>
      </c>
      <c r="P222">
        <v>0</v>
      </c>
      <c r="Q222">
        <v>0</v>
      </c>
      <c r="R222">
        <v>1</v>
      </c>
      <c r="V222" t="s">
        <v>126</v>
      </c>
    </row>
    <row r="223" spans="1:22">
      <c r="A223">
        <v>318</v>
      </c>
      <c r="B223">
        <v>214.73712158203119</v>
      </c>
      <c r="C223" t="s">
        <v>615</v>
      </c>
      <c r="D223">
        <v>3.7834844589233398</v>
      </c>
      <c r="E223" t="s">
        <v>121</v>
      </c>
      <c r="F223" t="s">
        <v>613</v>
      </c>
      <c r="G223" t="s">
        <v>126</v>
      </c>
      <c r="H223" t="s">
        <v>4</v>
      </c>
      <c r="I223">
        <v>1</v>
      </c>
      <c r="J223">
        <v>211</v>
      </c>
      <c r="K223">
        <v>0</v>
      </c>
      <c r="L223">
        <v>211</v>
      </c>
      <c r="M223">
        <v>0</v>
      </c>
      <c r="N223" s="4">
        <f t="shared" si="3"/>
        <v>1.7711476692090944E-2</v>
      </c>
      <c r="P223">
        <v>0</v>
      </c>
      <c r="Q223">
        <v>1</v>
      </c>
      <c r="R223">
        <v>0</v>
      </c>
      <c r="U223" t="s">
        <v>126</v>
      </c>
    </row>
    <row r="224" spans="1:22">
      <c r="A224">
        <v>319</v>
      </c>
      <c r="B224">
        <v>260.32705688476563</v>
      </c>
      <c r="C224" t="s">
        <v>616</v>
      </c>
      <c r="D224">
        <v>3.3053288459777832</v>
      </c>
      <c r="E224" t="s">
        <v>121</v>
      </c>
      <c r="F224" t="s">
        <v>617</v>
      </c>
      <c r="G224" t="s">
        <v>127</v>
      </c>
      <c r="H224" t="s">
        <v>2</v>
      </c>
      <c r="I224">
        <v>2</v>
      </c>
      <c r="J224">
        <v>216</v>
      </c>
      <c r="K224">
        <v>216</v>
      </c>
      <c r="L224">
        <v>0</v>
      </c>
      <c r="M224">
        <v>0</v>
      </c>
      <c r="N224" s="4">
        <f t="shared" si="3"/>
        <v>0.20521785594798891</v>
      </c>
      <c r="P224">
        <v>2</v>
      </c>
      <c r="Q224">
        <v>0</v>
      </c>
      <c r="R224">
        <v>0</v>
      </c>
      <c r="T224" t="s">
        <v>127</v>
      </c>
    </row>
    <row r="225" spans="1:22">
      <c r="A225">
        <v>320</v>
      </c>
      <c r="B225">
        <v>603</v>
      </c>
      <c r="C225" t="s">
        <v>618</v>
      </c>
      <c r="D225">
        <v>3.3053288459777832</v>
      </c>
      <c r="E225" t="s">
        <v>121</v>
      </c>
      <c r="F225" t="s">
        <v>617</v>
      </c>
      <c r="G225" t="s">
        <v>128</v>
      </c>
      <c r="H225" t="s">
        <v>2</v>
      </c>
      <c r="I225">
        <v>2</v>
      </c>
      <c r="J225">
        <v>603</v>
      </c>
      <c r="K225">
        <v>603</v>
      </c>
      <c r="L225">
        <v>0</v>
      </c>
      <c r="M225">
        <v>0</v>
      </c>
      <c r="N225" s="4">
        <f t="shared" si="3"/>
        <v>0</v>
      </c>
      <c r="P225">
        <v>2</v>
      </c>
      <c r="Q225">
        <v>0</v>
      </c>
      <c r="R225">
        <v>0</v>
      </c>
      <c r="T225" t="s">
        <v>128</v>
      </c>
    </row>
    <row r="226" spans="1:22">
      <c r="A226">
        <v>321</v>
      </c>
      <c r="B226">
        <v>219.8951110839844</v>
      </c>
      <c r="C226" t="s">
        <v>619</v>
      </c>
      <c r="D226">
        <v>3.7164359092712398</v>
      </c>
      <c r="E226" t="s">
        <v>121</v>
      </c>
      <c r="F226" t="s">
        <v>617</v>
      </c>
      <c r="G226" t="s">
        <v>127</v>
      </c>
      <c r="H226" t="s">
        <v>3</v>
      </c>
      <c r="I226">
        <v>2</v>
      </c>
      <c r="J226">
        <v>216</v>
      </c>
      <c r="K226">
        <v>0</v>
      </c>
      <c r="L226">
        <v>0</v>
      </c>
      <c r="M226">
        <v>216</v>
      </c>
      <c r="N226" s="4">
        <f t="shared" ref="N226:N289" si="4">IFERROR(B226/J226-1,"")</f>
        <v>1.8032921685112946E-2</v>
      </c>
      <c r="P226">
        <v>0</v>
      </c>
      <c r="Q226">
        <v>0</v>
      </c>
      <c r="R226">
        <v>2</v>
      </c>
      <c r="V226" t="s">
        <v>127</v>
      </c>
    </row>
    <row r="227" spans="1:22">
      <c r="A227">
        <v>322</v>
      </c>
      <c r="B227">
        <v>603</v>
      </c>
      <c r="C227" t="s">
        <v>620</v>
      </c>
      <c r="D227">
        <v>3.7164359092712398</v>
      </c>
      <c r="E227" t="s">
        <v>121</v>
      </c>
      <c r="F227" t="s">
        <v>617</v>
      </c>
      <c r="G227" t="s">
        <v>128</v>
      </c>
      <c r="H227" t="s">
        <v>3</v>
      </c>
      <c r="I227">
        <v>2</v>
      </c>
      <c r="J227">
        <v>603</v>
      </c>
      <c r="K227">
        <v>0</v>
      </c>
      <c r="L227">
        <v>0</v>
      </c>
      <c r="M227">
        <v>603</v>
      </c>
      <c r="N227" s="4">
        <f t="shared" si="4"/>
        <v>0</v>
      </c>
      <c r="P227">
        <v>0</v>
      </c>
      <c r="Q227">
        <v>0</v>
      </c>
      <c r="R227">
        <v>2</v>
      </c>
      <c r="V227" t="s">
        <v>128</v>
      </c>
    </row>
    <row r="228" spans="1:22">
      <c r="A228">
        <v>323</v>
      </c>
      <c r="B228">
        <v>218.0508117675781</v>
      </c>
      <c r="C228" t="s">
        <v>621</v>
      </c>
      <c r="D228">
        <v>3.8020894527435298</v>
      </c>
      <c r="E228" t="s">
        <v>121</v>
      </c>
      <c r="F228" t="s">
        <v>617</v>
      </c>
      <c r="G228" t="s">
        <v>127</v>
      </c>
      <c r="H228" t="s">
        <v>4</v>
      </c>
      <c r="I228">
        <v>2</v>
      </c>
      <c r="J228">
        <v>216</v>
      </c>
      <c r="K228">
        <v>0</v>
      </c>
      <c r="L228">
        <v>216</v>
      </c>
      <c r="M228">
        <v>0</v>
      </c>
      <c r="N228" s="4">
        <f t="shared" si="4"/>
        <v>9.494498923972694E-3</v>
      </c>
      <c r="P228">
        <v>0</v>
      </c>
      <c r="Q228">
        <v>2</v>
      </c>
      <c r="R228">
        <v>0</v>
      </c>
      <c r="U228" t="s">
        <v>127</v>
      </c>
    </row>
    <row r="229" spans="1:22">
      <c r="A229">
        <v>324</v>
      </c>
      <c r="B229">
        <v>620.4285888671875</v>
      </c>
      <c r="C229" t="s">
        <v>622</v>
      </c>
      <c r="D229">
        <v>3.8020894527435298</v>
      </c>
      <c r="E229" t="s">
        <v>121</v>
      </c>
      <c r="F229" t="s">
        <v>617</v>
      </c>
      <c r="G229" t="s">
        <v>128</v>
      </c>
      <c r="H229" t="s">
        <v>4</v>
      </c>
      <c r="I229">
        <v>2</v>
      </c>
      <c r="J229">
        <v>603</v>
      </c>
      <c r="K229">
        <v>0</v>
      </c>
      <c r="L229">
        <v>603</v>
      </c>
      <c r="M229">
        <v>0</v>
      </c>
      <c r="N229" s="4">
        <f t="shared" si="4"/>
        <v>2.8903132449730418E-2</v>
      </c>
      <c r="P229">
        <v>0</v>
      </c>
      <c r="Q229">
        <v>2</v>
      </c>
      <c r="R229">
        <v>0</v>
      </c>
      <c r="U229" t="s">
        <v>128</v>
      </c>
    </row>
    <row r="230" spans="1:22">
      <c r="A230">
        <v>325</v>
      </c>
      <c r="B230">
        <v>538.84844970703125</v>
      </c>
      <c r="C230" t="s">
        <v>623</v>
      </c>
      <c r="D230">
        <v>3.7270050048828121</v>
      </c>
      <c r="E230" t="s">
        <v>121</v>
      </c>
      <c r="F230" t="s">
        <v>624</v>
      </c>
      <c r="G230" t="s">
        <v>129</v>
      </c>
      <c r="H230" t="s">
        <v>2</v>
      </c>
      <c r="I230">
        <v>1</v>
      </c>
      <c r="J230">
        <v>529</v>
      </c>
      <c r="K230">
        <v>529</v>
      </c>
      <c r="L230">
        <v>0</v>
      </c>
      <c r="M230">
        <v>0</v>
      </c>
      <c r="N230" s="4">
        <f t="shared" si="4"/>
        <v>1.8617107196656324E-2</v>
      </c>
      <c r="P230">
        <v>1</v>
      </c>
      <c r="Q230">
        <v>0</v>
      </c>
      <c r="R230">
        <v>0</v>
      </c>
      <c r="T230" t="s">
        <v>129</v>
      </c>
    </row>
    <row r="231" spans="1:22">
      <c r="A231">
        <v>326</v>
      </c>
      <c r="B231">
        <v>541.31597900390625</v>
      </c>
      <c r="C231" t="s">
        <v>625</v>
      </c>
      <c r="D231">
        <v>3.6725859642028809</v>
      </c>
      <c r="E231" t="s">
        <v>121</v>
      </c>
      <c r="F231" t="s">
        <v>624</v>
      </c>
      <c r="G231" t="s">
        <v>129</v>
      </c>
      <c r="H231" t="s">
        <v>3</v>
      </c>
      <c r="I231">
        <v>1</v>
      </c>
      <c r="J231">
        <v>529</v>
      </c>
      <c r="K231">
        <v>0</v>
      </c>
      <c r="L231">
        <v>0</v>
      </c>
      <c r="M231">
        <v>529</v>
      </c>
      <c r="N231" s="4">
        <f t="shared" si="4"/>
        <v>2.3281623825909703E-2</v>
      </c>
      <c r="P231">
        <v>0</v>
      </c>
      <c r="Q231">
        <v>0</v>
      </c>
      <c r="R231">
        <v>1</v>
      </c>
      <c r="V231" t="s">
        <v>129</v>
      </c>
    </row>
    <row r="232" spans="1:22">
      <c r="A232">
        <v>327</v>
      </c>
      <c r="B232">
        <v>542.2252197265625</v>
      </c>
      <c r="C232" t="s">
        <v>626</v>
      </c>
      <c r="D232">
        <v>3.7273232936859131</v>
      </c>
      <c r="E232" t="s">
        <v>121</v>
      </c>
      <c r="F232" t="s">
        <v>624</v>
      </c>
      <c r="G232" t="s">
        <v>129</v>
      </c>
      <c r="H232" t="s">
        <v>4</v>
      </c>
      <c r="I232">
        <v>1</v>
      </c>
      <c r="J232">
        <v>529</v>
      </c>
      <c r="K232">
        <v>0</v>
      </c>
      <c r="L232">
        <v>529</v>
      </c>
      <c r="M232">
        <v>0</v>
      </c>
      <c r="N232" s="4">
        <f t="shared" si="4"/>
        <v>2.5000415362121942E-2</v>
      </c>
      <c r="P232">
        <v>0</v>
      </c>
      <c r="Q232">
        <v>1</v>
      </c>
      <c r="R232">
        <v>0</v>
      </c>
      <c r="U232" t="s">
        <v>129</v>
      </c>
    </row>
    <row r="233" spans="1:22">
      <c r="A233">
        <v>328</v>
      </c>
      <c r="B233">
        <v>489.6181640625</v>
      </c>
      <c r="C233" t="s">
        <v>627</v>
      </c>
      <c r="D233">
        <v>3.634087085723877</v>
      </c>
      <c r="E233" t="s">
        <v>121</v>
      </c>
      <c r="F233" t="s">
        <v>628</v>
      </c>
      <c r="G233" t="s">
        <v>130</v>
      </c>
      <c r="H233" t="s">
        <v>2</v>
      </c>
      <c r="I233">
        <v>1</v>
      </c>
      <c r="J233">
        <v>458</v>
      </c>
      <c r="K233">
        <v>458</v>
      </c>
      <c r="L233">
        <v>0</v>
      </c>
      <c r="M233">
        <v>0</v>
      </c>
      <c r="N233" s="4">
        <f t="shared" si="4"/>
        <v>6.9035292712882113E-2</v>
      </c>
      <c r="P233">
        <v>1</v>
      </c>
      <c r="Q233">
        <v>0</v>
      </c>
      <c r="R233">
        <v>0</v>
      </c>
      <c r="T233" t="s">
        <v>130</v>
      </c>
    </row>
    <row r="234" spans="1:22">
      <c r="A234">
        <v>329</v>
      </c>
      <c r="B234">
        <v>466.31903076171881</v>
      </c>
      <c r="C234" t="s">
        <v>629</v>
      </c>
      <c r="D234">
        <v>5.774458646774292</v>
      </c>
      <c r="E234" t="s">
        <v>121</v>
      </c>
      <c r="F234" t="s">
        <v>628</v>
      </c>
      <c r="G234" t="s">
        <v>130</v>
      </c>
      <c r="H234" t="s">
        <v>3</v>
      </c>
      <c r="I234">
        <v>1</v>
      </c>
      <c r="J234">
        <v>458</v>
      </c>
      <c r="K234">
        <v>0</v>
      </c>
      <c r="L234">
        <v>0</v>
      </c>
      <c r="M234">
        <v>458</v>
      </c>
      <c r="N234" s="4">
        <f t="shared" si="4"/>
        <v>1.8163822623840087E-2</v>
      </c>
      <c r="P234">
        <v>0</v>
      </c>
      <c r="Q234">
        <v>0</v>
      </c>
      <c r="R234">
        <v>1</v>
      </c>
      <c r="V234" t="s">
        <v>130</v>
      </c>
    </row>
    <row r="235" spans="1:22">
      <c r="A235">
        <v>330</v>
      </c>
      <c r="B235">
        <v>461.7261962890625</v>
      </c>
      <c r="C235" t="s">
        <v>630</v>
      </c>
      <c r="D235">
        <v>5.0531706809997559</v>
      </c>
      <c r="E235" t="s">
        <v>121</v>
      </c>
      <c r="F235" t="s">
        <v>628</v>
      </c>
      <c r="G235" t="s">
        <v>130</v>
      </c>
      <c r="H235" t="s">
        <v>4</v>
      </c>
      <c r="I235">
        <v>1</v>
      </c>
      <c r="J235">
        <v>458</v>
      </c>
      <c r="K235">
        <v>0</v>
      </c>
      <c r="L235">
        <v>458</v>
      </c>
      <c r="M235">
        <v>0</v>
      </c>
      <c r="N235" s="4">
        <f t="shared" si="4"/>
        <v>8.1357997577784502E-3</v>
      </c>
      <c r="P235">
        <v>0</v>
      </c>
      <c r="Q235">
        <v>1</v>
      </c>
      <c r="R235">
        <v>0</v>
      </c>
      <c r="U235" t="s">
        <v>130</v>
      </c>
    </row>
    <row r="236" spans="1:22">
      <c r="A236">
        <v>331</v>
      </c>
      <c r="B236">
        <v>554.6600341796875</v>
      </c>
      <c r="C236" t="s">
        <v>631</v>
      </c>
      <c r="D236">
        <v>3.7465088367462158</v>
      </c>
      <c r="E236" t="s">
        <v>121</v>
      </c>
      <c r="F236" t="s">
        <v>632</v>
      </c>
      <c r="G236" t="s">
        <v>131</v>
      </c>
      <c r="H236" t="s">
        <v>2</v>
      </c>
      <c r="I236">
        <v>1</v>
      </c>
      <c r="J236">
        <v>510</v>
      </c>
      <c r="K236">
        <v>510</v>
      </c>
      <c r="L236">
        <v>0</v>
      </c>
      <c r="M236">
        <v>0</v>
      </c>
      <c r="N236" s="4">
        <f t="shared" si="4"/>
        <v>8.7568694469975394E-2</v>
      </c>
      <c r="P236">
        <v>1</v>
      </c>
      <c r="Q236">
        <v>0</v>
      </c>
      <c r="R236">
        <v>0</v>
      </c>
      <c r="T236" t="s">
        <v>131</v>
      </c>
    </row>
    <row r="237" spans="1:22">
      <c r="A237">
        <v>332</v>
      </c>
      <c r="B237">
        <v>514.4212646484375</v>
      </c>
      <c r="C237" t="s">
        <v>633</v>
      </c>
      <c r="D237">
        <v>5.2497093677520752</v>
      </c>
      <c r="E237" t="s">
        <v>121</v>
      </c>
      <c r="F237" t="s">
        <v>632</v>
      </c>
      <c r="G237" t="s">
        <v>131</v>
      </c>
      <c r="H237" t="s">
        <v>3</v>
      </c>
      <c r="I237">
        <v>1</v>
      </c>
      <c r="J237">
        <v>510</v>
      </c>
      <c r="K237">
        <v>0</v>
      </c>
      <c r="L237">
        <v>0</v>
      </c>
      <c r="M237">
        <v>510</v>
      </c>
      <c r="N237" s="4">
        <f t="shared" si="4"/>
        <v>8.6691463694852366E-3</v>
      </c>
      <c r="P237">
        <v>0</v>
      </c>
      <c r="Q237">
        <v>0</v>
      </c>
      <c r="R237">
        <v>1</v>
      </c>
      <c r="V237" t="s">
        <v>131</v>
      </c>
    </row>
    <row r="238" spans="1:22">
      <c r="A238">
        <v>333</v>
      </c>
      <c r="B238">
        <v>519.884521484375</v>
      </c>
      <c r="C238" t="s">
        <v>634</v>
      </c>
      <c r="D238">
        <v>4.9817330837249756</v>
      </c>
      <c r="E238" t="s">
        <v>121</v>
      </c>
      <c r="F238" t="s">
        <v>632</v>
      </c>
      <c r="G238" t="s">
        <v>131</v>
      </c>
      <c r="H238" t="s">
        <v>4</v>
      </c>
      <c r="I238">
        <v>1</v>
      </c>
      <c r="J238">
        <v>510</v>
      </c>
      <c r="K238">
        <v>0</v>
      </c>
      <c r="L238">
        <v>510</v>
      </c>
      <c r="M238">
        <v>0</v>
      </c>
      <c r="N238" s="4">
        <f t="shared" si="4"/>
        <v>1.9381414675245123E-2</v>
      </c>
      <c r="P238">
        <v>0</v>
      </c>
      <c r="Q238">
        <v>1</v>
      </c>
      <c r="R238">
        <v>0</v>
      </c>
      <c r="U238" t="s">
        <v>131</v>
      </c>
    </row>
    <row r="239" spans="1:22">
      <c r="A239">
        <v>334</v>
      </c>
      <c r="B239">
        <v>577.0357666015625</v>
      </c>
      <c r="C239" t="s">
        <v>635</v>
      </c>
      <c r="D239">
        <v>5.9056720733642578</v>
      </c>
      <c r="E239" t="s">
        <v>121</v>
      </c>
      <c r="F239" t="s">
        <v>636</v>
      </c>
      <c r="G239" t="s">
        <v>133</v>
      </c>
      <c r="H239" t="s">
        <v>2</v>
      </c>
      <c r="I239">
        <v>3</v>
      </c>
      <c r="J239">
        <v>554</v>
      </c>
      <c r="K239">
        <v>554</v>
      </c>
      <c r="L239">
        <v>0</v>
      </c>
      <c r="M239">
        <v>0</v>
      </c>
      <c r="N239" s="4">
        <f t="shared" si="4"/>
        <v>4.1580806140004478E-2</v>
      </c>
      <c r="P239">
        <v>3</v>
      </c>
      <c r="Q239">
        <v>0</v>
      </c>
      <c r="R239">
        <v>0</v>
      </c>
      <c r="T239" t="s">
        <v>133</v>
      </c>
    </row>
    <row r="240" spans="1:22">
      <c r="A240">
        <v>335</v>
      </c>
      <c r="B240">
        <v>653.61962890625</v>
      </c>
      <c r="C240" t="s">
        <v>637</v>
      </c>
      <c r="D240">
        <v>5.9056720733642578</v>
      </c>
      <c r="E240" t="s">
        <v>121</v>
      </c>
      <c r="F240" t="s">
        <v>636</v>
      </c>
      <c r="G240" t="s">
        <v>134</v>
      </c>
      <c r="H240" t="s">
        <v>2</v>
      </c>
      <c r="I240">
        <v>3</v>
      </c>
      <c r="J240">
        <v>631</v>
      </c>
      <c r="K240">
        <v>631</v>
      </c>
      <c r="L240">
        <v>0</v>
      </c>
      <c r="M240">
        <v>0</v>
      </c>
      <c r="N240" s="4">
        <f t="shared" si="4"/>
        <v>3.5847272434627486E-2</v>
      </c>
      <c r="P240">
        <v>3</v>
      </c>
      <c r="Q240">
        <v>0</v>
      </c>
      <c r="R240">
        <v>0</v>
      </c>
      <c r="T240" t="s">
        <v>134</v>
      </c>
    </row>
    <row r="241" spans="1:22">
      <c r="A241">
        <v>336</v>
      </c>
      <c r="B241">
        <v>731.9534912109375</v>
      </c>
      <c r="C241" t="s">
        <v>638</v>
      </c>
      <c r="D241">
        <v>5.9056720733642578</v>
      </c>
      <c r="E241" t="s">
        <v>121</v>
      </c>
      <c r="F241" t="s">
        <v>636</v>
      </c>
      <c r="G241" t="s">
        <v>132</v>
      </c>
      <c r="H241" t="s">
        <v>2</v>
      </c>
      <c r="I241">
        <v>3</v>
      </c>
      <c r="J241">
        <v>696</v>
      </c>
      <c r="K241">
        <v>696</v>
      </c>
      <c r="L241">
        <v>0</v>
      </c>
      <c r="M241">
        <v>0</v>
      </c>
      <c r="N241" s="4">
        <f t="shared" si="4"/>
        <v>5.165731495824355E-2</v>
      </c>
      <c r="P241">
        <v>3</v>
      </c>
      <c r="Q241">
        <v>0</v>
      </c>
      <c r="R241">
        <v>0</v>
      </c>
      <c r="T241" t="s">
        <v>132</v>
      </c>
    </row>
    <row r="242" spans="1:22">
      <c r="A242">
        <v>337</v>
      </c>
      <c r="B242">
        <v>563.9810791015625</v>
      </c>
      <c r="C242" t="s">
        <v>639</v>
      </c>
      <c r="D242">
        <v>9.259958028793335</v>
      </c>
      <c r="E242" t="s">
        <v>121</v>
      </c>
      <c r="F242" t="s">
        <v>636</v>
      </c>
      <c r="G242" t="s">
        <v>133</v>
      </c>
      <c r="H242" t="s">
        <v>3</v>
      </c>
      <c r="I242">
        <v>3</v>
      </c>
      <c r="J242">
        <v>554</v>
      </c>
      <c r="K242">
        <v>0</v>
      </c>
      <c r="L242">
        <v>0</v>
      </c>
      <c r="M242">
        <v>554</v>
      </c>
      <c r="N242" s="4">
        <f t="shared" si="4"/>
        <v>1.8016388269968431E-2</v>
      </c>
      <c r="P242">
        <v>0</v>
      </c>
      <c r="Q242">
        <v>0</v>
      </c>
      <c r="R242">
        <v>3</v>
      </c>
      <c r="V242" t="s">
        <v>133</v>
      </c>
    </row>
    <row r="243" spans="1:22">
      <c r="A243">
        <v>338</v>
      </c>
      <c r="B243">
        <v>649.759521484375</v>
      </c>
      <c r="C243" t="s">
        <v>640</v>
      </c>
      <c r="D243">
        <v>9.259958028793335</v>
      </c>
      <c r="E243" t="s">
        <v>121</v>
      </c>
      <c r="F243" t="s">
        <v>636</v>
      </c>
      <c r="G243" t="s">
        <v>134</v>
      </c>
      <c r="H243" t="s">
        <v>3</v>
      </c>
      <c r="I243">
        <v>3</v>
      </c>
      <c r="J243">
        <v>631</v>
      </c>
      <c r="K243">
        <v>0</v>
      </c>
      <c r="L243">
        <v>0</v>
      </c>
      <c r="M243">
        <v>631</v>
      </c>
      <c r="N243" s="4">
        <f t="shared" si="4"/>
        <v>2.9729828025950811E-2</v>
      </c>
      <c r="P243">
        <v>0</v>
      </c>
      <c r="Q243">
        <v>0</v>
      </c>
      <c r="R243">
        <v>3</v>
      </c>
      <c r="V243" t="s">
        <v>134</v>
      </c>
    </row>
    <row r="244" spans="1:22">
      <c r="A244">
        <v>339</v>
      </c>
      <c r="B244">
        <v>726.222900390625</v>
      </c>
      <c r="C244" t="s">
        <v>641</v>
      </c>
      <c r="D244">
        <v>9.259958028793335</v>
      </c>
      <c r="E244" t="s">
        <v>121</v>
      </c>
      <c r="F244" t="s">
        <v>636</v>
      </c>
      <c r="G244" t="s">
        <v>132</v>
      </c>
      <c r="H244" t="s">
        <v>3</v>
      </c>
      <c r="I244">
        <v>3</v>
      </c>
      <c r="J244">
        <v>696</v>
      </c>
      <c r="K244">
        <v>0</v>
      </c>
      <c r="L244">
        <v>0</v>
      </c>
      <c r="M244">
        <v>696</v>
      </c>
      <c r="N244" s="4">
        <f t="shared" si="4"/>
        <v>4.3423707457794558E-2</v>
      </c>
      <c r="P244">
        <v>0</v>
      </c>
      <c r="Q244">
        <v>0</v>
      </c>
      <c r="R244">
        <v>3</v>
      </c>
      <c r="V244" t="s">
        <v>132</v>
      </c>
    </row>
    <row r="245" spans="1:22">
      <c r="A245">
        <v>340</v>
      </c>
      <c r="B245">
        <v>578.205810546875</v>
      </c>
      <c r="C245" t="s">
        <v>642</v>
      </c>
      <c r="D245">
        <v>5.7965090274810791</v>
      </c>
      <c r="E245" t="s">
        <v>121</v>
      </c>
      <c r="F245" t="s">
        <v>636</v>
      </c>
      <c r="G245" t="s">
        <v>133</v>
      </c>
      <c r="H245" t="s">
        <v>4</v>
      </c>
      <c r="I245">
        <v>3</v>
      </c>
      <c r="J245">
        <v>554</v>
      </c>
      <c r="K245">
        <v>0</v>
      </c>
      <c r="L245">
        <v>554</v>
      </c>
      <c r="M245">
        <v>0</v>
      </c>
      <c r="N245" s="4">
        <f t="shared" si="4"/>
        <v>4.3692798821074019E-2</v>
      </c>
      <c r="P245">
        <v>0</v>
      </c>
      <c r="Q245">
        <v>3</v>
      </c>
      <c r="R245">
        <v>0</v>
      </c>
      <c r="U245" t="s">
        <v>133</v>
      </c>
    </row>
    <row r="246" spans="1:22">
      <c r="A246">
        <v>341</v>
      </c>
      <c r="B246">
        <v>642.5068359375</v>
      </c>
      <c r="C246" t="s">
        <v>643</v>
      </c>
      <c r="D246">
        <v>5.7965090274810791</v>
      </c>
      <c r="E246" t="s">
        <v>121</v>
      </c>
      <c r="F246" t="s">
        <v>636</v>
      </c>
      <c r="G246" t="s">
        <v>134</v>
      </c>
      <c r="H246" t="s">
        <v>4</v>
      </c>
      <c r="I246">
        <v>3</v>
      </c>
      <c r="J246">
        <v>631</v>
      </c>
      <c r="K246">
        <v>0</v>
      </c>
      <c r="L246">
        <v>631</v>
      </c>
      <c r="M246">
        <v>0</v>
      </c>
      <c r="N246" s="4">
        <f t="shared" si="4"/>
        <v>1.8235873118066515E-2</v>
      </c>
      <c r="P246">
        <v>0</v>
      </c>
      <c r="Q246">
        <v>3</v>
      </c>
      <c r="R246">
        <v>0</v>
      </c>
      <c r="U246" t="s">
        <v>134</v>
      </c>
    </row>
    <row r="247" spans="1:22">
      <c r="A247">
        <v>342</v>
      </c>
      <c r="B247">
        <v>723.56329345703125</v>
      </c>
      <c r="C247" t="s">
        <v>644</v>
      </c>
      <c r="D247">
        <v>5.7965090274810791</v>
      </c>
      <c r="E247" t="s">
        <v>121</v>
      </c>
      <c r="F247" t="s">
        <v>636</v>
      </c>
      <c r="G247" t="s">
        <v>132</v>
      </c>
      <c r="H247" t="s">
        <v>4</v>
      </c>
      <c r="I247">
        <v>3</v>
      </c>
      <c r="J247">
        <v>696</v>
      </c>
      <c r="K247">
        <v>0</v>
      </c>
      <c r="L247">
        <v>696</v>
      </c>
      <c r="M247">
        <v>0</v>
      </c>
      <c r="N247" s="4">
        <f t="shared" si="4"/>
        <v>3.9602433127918557E-2</v>
      </c>
      <c r="P247">
        <v>0</v>
      </c>
      <c r="Q247">
        <v>3</v>
      </c>
      <c r="R247">
        <v>0</v>
      </c>
      <c r="U247" t="s">
        <v>132</v>
      </c>
    </row>
    <row r="248" spans="1:22">
      <c r="A248">
        <v>343</v>
      </c>
      <c r="B248">
        <v>765.54608154296875</v>
      </c>
      <c r="C248" t="s">
        <v>645</v>
      </c>
      <c r="D248">
        <v>3.960512638092041</v>
      </c>
      <c r="E248" t="s">
        <v>121</v>
      </c>
      <c r="F248" t="s">
        <v>646</v>
      </c>
      <c r="G248" t="s">
        <v>135</v>
      </c>
      <c r="H248" t="s">
        <v>2</v>
      </c>
      <c r="I248">
        <v>1</v>
      </c>
      <c r="J248">
        <v>741</v>
      </c>
      <c r="K248">
        <v>741</v>
      </c>
      <c r="L248">
        <v>0</v>
      </c>
      <c r="M248">
        <v>0</v>
      </c>
      <c r="N248" s="4">
        <f t="shared" si="4"/>
        <v>3.3125616117366752E-2</v>
      </c>
      <c r="P248">
        <v>1</v>
      </c>
      <c r="Q248">
        <v>0</v>
      </c>
      <c r="R248">
        <v>0</v>
      </c>
      <c r="T248" t="s">
        <v>135</v>
      </c>
    </row>
    <row r="249" spans="1:22">
      <c r="A249">
        <v>344</v>
      </c>
      <c r="B249">
        <v>771.48748779296875</v>
      </c>
      <c r="C249" t="s">
        <v>647</v>
      </c>
      <c r="D249">
        <v>4.4888980388641357</v>
      </c>
      <c r="E249" t="s">
        <v>121</v>
      </c>
      <c r="F249" t="s">
        <v>646</v>
      </c>
      <c r="G249" t="s">
        <v>135</v>
      </c>
      <c r="H249" t="s">
        <v>3</v>
      </c>
      <c r="I249">
        <v>1</v>
      </c>
      <c r="J249">
        <v>741</v>
      </c>
      <c r="K249">
        <v>0</v>
      </c>
      <c r="L249">
        <v>0</v>
      </c>
      <c r="M249">
        <v>741</v>
      </c>
      <c r="N249" s="4">
        <f t="shared" si="4"/>
        <v>4.1143708222629805E-2</v>
      </c>
      <c r="P249">
        <v>0</v>
      </c>
      <c r="Q249">
        <v>0</v>
      </c>
      <c r="R249">
        <v>1</v>
      </c>
      <c r="V249" t="s">
        <v>135</v>
      </c>
    </row>
    <row r="250" spans="1:22">
      <c r="A250">
        <v>345</v>
      </c>
      <c r="B250">
        <v>766.09564208984375</v>
      </c>
      <c r="C250" t="s">
        <v>648</v>
      </c>
      <c r="D250">
        <v>3.880982637405396</v>
      </c>
      <c r="E250" t="s">
        <v>121</v>
      </c>
      <c r="F250" t="s">
        <v>646</v>
      </c>
      <c r="G250" t="s">
        <v>135</v>
      </c>
      <c r="H250" t="s">
        <v>4</v>
      </c>
      <c r="I250">
        <v>1</v>
      </c>
      <c r="J250">
        <v>741</v>
      </c>
      <c r="K250">
        <v>0</v>
      </c>
      <c r="L250">
        <v>741</v>
      </c>
      <c r="M250">
        <v>0</v>
      </c>
      <c r="N250" s="4">
        <f t="shared" si="4"/>
        <v>3.3867263279141469E-2</v>
      </c>
      <c r="P250">
        <v>0</v>
      </c>
      <c r="Q250">
        <v>1</v>
      </c>
      <c r="R250">
        <v>0</v>
      </c>
      <c r="U250" t="s">
        <v>135</v>
      </c>
    </row>
    <row r="251" spans="1:22">
      <c r="A251">
        <v>346</v>
      </c>
      <c r="B251">
        <v>595.47723388671875</v>
      </c>
      <c r="C251" t="s">
        <v>649</v>
      </c>
      <c r="D251">
        <v>8.0124039649963379</v>
      </c>
      <c r="E251" t="s">
        <v>121</v>
      </c>
      <c r="F251" t="s">
        <v>650</v>
      </c>
      <c r="G251" t="s">
        <v>138</v>
      </c>
      <c r="H251" t="s">
        <v>2</v>
      </c>
      <c r="I251">
        <v>4</v>
      </c>
      <c r="J251">
        <v>568</v>
      </c>
      <c r="K251">
        <v>568</v>
      </c>
      <c r="L251">
        <v>0</v>
      </c>
      <c r="M251">
        <v>0</v>
      </c>
      <c r="N251" s="4">
        <f t="shared" si="4"/>
        <v>4.8375411772392241E-2</v>
      </c>
      <c r="P251">
        <v>4</v>
      </c>
      <c r="Q251">
        <v>0</v>
      </c>
      <c r="R251">
        <v>0</v>
      </c>
      <c r="T251" t="s">
        <v>138</v>
      </c>
    </row>
    <row r="252" spans="1:22">
      <c r="A252">
        <v>347</v>
      </c>
      <c r="B252">
        <v>595.3779296875</v>
      </c>
      <c r="C252" t="s">
        <v>651</v>
      </c>
      <c r="D252">
        <v>8.0124039649963379</v>
      </c>
      <c r="E252" t="s">
        <v>121</v>
      </c>
      <c r="F252" t="s">
        <v>650</v>
      </c>
      <c r="G252" t="s">
        <v>139</v>
      </c>
      <c r="H252" t="s">
        <v>2</v>
      </c>
      <c r="I252">
        <v>4</v>
      </c>
      <c r="J252">
        <v>588</v>
      </c>
      <c r="K252">
        <v>588</v>
      </c>
      <c r="L252">
        <v>0</v>
      </c>
      <c r="M252">
        <v>0</v>
      </c>
      <c r="N252" s="4">
        <f t="shared" si="4"/>
        <v>1.2547499468537504E-2</v>
      </c>
      <c r="P252">
        <v>4</v>
      </c>
      <c r="Q252">
        <v>0</v>
      </c>
      <c r="R252">
        <v>0</v>
      </c>
      <c r="T252" t="s">
        <v>139</v>
      </c>
    </row>
    <row r="253" spans="1:22">
      <c r="A253">
        <v>348</v>
      </c>
      <c r="B253">
        <v>713.7208251953125</v>
      </c>
      <c r="C253" t="s">
        <v>652</v>
      </c>
      <c r="D253">
        <v>8.0124039649963379</v>
      </c>
      <c r="E253" t="s">
        <v>121</v>
      </c>
      <c r="F253" t="s">
        <v>650</v>
      </c>
      <c r="G253" t="s">
        <v>136</v>
      </c>
      <c r="H253" t="s">
        <v>2</v>
      </c>
      <c r="I253">
        <v>4</v>
      </c>
      <c r="J253">
        <v>694</v>
      </c>
      <c r="K253">
        <v>694</v>
      </c>
      <c r="L253">
        <v>0</v>
      </c>
      <c r="M253">
        <v>0</v>
      </c>
      <c r="N253" s="4">
        <f t="shared" si="4"/>
        <v>2.8416174633015157E-2</v>
      </c>
      <c r="P253">
        <v>4</v>
      </c>
      <c r="Q253">
        <v>0</v>
      </c>
      <c r="R253">
        <v>0</v>
      </c>
      <c r="T253" t="s">
        <v>136</v>
      </c>
    </row>
    <row r="254" spans="1:22">
      <c r="A254">
        <v>349</v>
      </c>
      <c r="B254">
        <v>989</v>
      </c>
      <c r="C254" t="s">
        <v>653</v>
      </c>
      <c r="D254">
        <v>8.0124039649963379</v>
      </c>
      <c r="E254" t="s">
        <v>121</v>
      </c>
      <c r="F254" t="s">
        <v>650</v>
      </c>
      <c r="G254" t="s">
        <v>137</v>
      </c>
      <c r="H254" t="s">
        <v>2</v>
      </c>
      <c r="I254">
        <v>4</v>
      </c>
      <c r="J254">
        <v>989</v>
      </c>
      <c r="K254">
        <v>989</v>
      </c>
      <c r="L254">
        <v>0</v>
      </c>
      <c r="M254">
        <v>0</v>
      </c>
      <c r="N254" s="4">
        <f t="shared" si="4"/>
        <v>0</v>
      </c>
      <c r="P254">
        <v>4</v>
      </c>
      <c r="Q254">
        <v>0</v>
      </c>
      <c r="R254">
        <v>0</v>
      </c>
      <c r="T254" t="s">
        <v>137</v>
      </c>
    </row>
    <row r="255" spans="1:22">
      <c r="A255">
        <v>350</v>
      </c>
      <c r="B255">
        <v>593.72552490234375</v>
      </c>
      <c r="C255" t="s">
        <v>654</v>
      </c>
      <c r="D255">
        <v>5.9331440925598136</v>
      </c>
      <c r="E255" t="s">
        <v>121</v>
      </c>
      <c r="F255" t="s">
        <v>650</v>
      </c>
      <c r="G255" t="s">
        <v>138</v>
      </c>
      <c r="H255" t="s">
        <v>3</v>
      </c>
      <c r="I255">
        <v>4</v>
      </c>
      <c r="J255">
        <v>568</v>
      </c>
      <c r="K255">
        <v>0</v>
      </c>
      <c r="L255">
        <v>0</v>
      </c>
      <c r="M255">
        <v>568</v>
      </c>
      <c r="N255" s="4">
        <f t="shared" si="4"/>
        <v>4.5291417081591012E-2</v>
      </c>
      <c r="P255">
        <v>0</v>
      </c>
      <c r="Q255">
        <v>0</v>
      </c>
      <c r="R255">
        <v>4</v>
      </c>
      <c r="V255" t="s">
        <v>138</v>
      </c>
    </row>
    <row r="256" spans="1:22">
      <c r="A256">
        <v>351</v>
      </c>
      <c r="B256">
        <v>588.2021484375</v>
      </c>
      <c r="C256" t="s">
        <v>655</v>
      </c>
      <c r="D256">
        <v>5.9331440925598136</v>
      </c>
      <c r="E256" t="s">
        <v>121</v>
      </c>
      <c r="F256" t="s">
        <v>650</v>
      </c>
      <c r="G256" t="s">
        <v>139</v>
      </c>
      <c r="H256" t="s">
        <v>3</v>
      </c>
      <c r="I256">
        <v>4</v>
      </c>
      <c r="J256">
        <v>588</v>
      </c>
      <c r="K256">
        <v>0</v>
      </c>
      <c r="L256">
        <v>0</v>
      </c>
      <c r="M256">
        <v>588</v>
      </c>
      <c r="N256" s="4">
        <f t="shared" si="4"/>
        <v>3.4378985969385489E-4</v>
      </c>
      <c r="P256">
        <v>0</v>
      </c>
      <c r="Q256">
        <v>0</v>
      </c>
      <c r="R256">
        <v>4</v>
      </c>
      <c r="V256" t="s">
        <v>139</v>
      </c>
    </row>
    <row r="257" spans="1:22">
      <c r="A257">
        <v>352</v>
      </c>
      <c r="B257">
        <v>710.47918701171875</v>
      </c>
      <c r="C257" t="s">
        <v>656</v>
      </c>
      <c r="D257">
        <v>5.9331440925598136</v>
      </c>
      <c r="E257" t="s">
        <v>121</v>
      </c>
      <c r="F257" t="s">
        <v>650</v>
      </c>
      <c r="G257" t="s">
        <v>136</v>
      </c>
      <c r="H257" t="s">
        <v>3</v>
      </c>
      <c r="I257">
        <v>4</v>
      </c>
      <c r="J257">
        <v>694</v>
      </c>
      <c r="K257">
        <v>0</v>
      </c>
      <c r="L257">
        <v>0</v>
      </c>
      <c r="M257">
        <v>694</v>
      </c>
      <c r="N257" s="4">
        <f t="shared" si="4"/>
        <v>2.3745226241669748E-2</v>
      </c>
      <c r="P257">
        <v>0</v>
      </c>
      <c r="Q257">
        <v>0</v>
      </c>
      <c r="R257">
        <v>4</v>
      </c>
      <c r="V257" t="s">
        <v>136</v>
      </c>
    </row>
    <row r="258" spans="1:22">
      <c r="A258">
        <v>353</v>
      </c>
      <c r="B258">
        <v>989</v>
      </c>
      <c r="C258" t="s">
        <v>657</v>
      </c>
      <c r="D258">
        <v>5.9331440925598136</v>
      </c>
      <c r="E258" t="s">
        <v>121</v>
      </c>
      <c r="F258" t="s">
        <v>650</v>
      </c>
      <c r="G258" t="s">
        <v>137</v>
      </c>
      <c r="H258" t="s">
        <v>3</v>
      </c>
      <c r="I258">
        <v>4</v>
      </c>
      <c r="J258">
        <v>989</v>
      </c>
      <c r="K258">
        <v>0</v>
      </c>
      <c r="L258">
        <v>0</v>
      </c>
      <c r="M258">
        <v>989</v>
      </c>
      <c r="N258" s="4">
        <f t="shared" si="4"/>
        <v>0</v>
      </c>
      <c r="P258">
        <v>0</v>
      </c>
      <c r="Q258">
        <v>0</v>
      </c>
      <c r="R258">
        <v>4</v>
      </c>
      <c r="V258" t="s">
        <v>137</v>
      </c>
    </row>
    <row r="259" spans="1:22">
      <c r="A259">
        <v>354</v>
      </c>
      <c r="B259">
        <v>587.23870849609375</v>
      </c>
      <c r="C259" t="s">
        <v>658</v>
      </c>
      <c r="D259">
        <v>7.7370922565460214</v>
      </c>
      <c r="E259" t="s">
        <v>121</v>
      </c>
      <c r="F259" t="s">
        <v>650</v>
      </c>
      <c r="G259" t="s">
        <v>138</v>
      </c>
      <c r="H259" t="s">
        <v>4</v>
      </c>
      <c r="I259">
        <v>4</v>
      </c>
      <c r="J259">
        <v>568</v>
      </c>
      <c r="K259">
        <v>0</v>
      </c>
      <c r="L259">
        <v>568</v>
      </c>
      <c r="M259">
        <v>0</v>
      </c>
      <c r="N259" s="4">
        <f t="shared" si="4"/>
        <v>3.3870965662136987E-2</v>
      </c>
      <c r="P259">
        <v>0</v>
      </c>
      <c r="Q259">
        <v>4</v>
      </c>
      <c r="R259">
        <v>0</v>
      </c>
      <c r="U259" t="s">
        <v>138</v>
      </c>
    </row>
    <row r="260" spans="1:22">
      <c r="A260">
        <v>355</v>
      </c>
      <c r="B260">
        <v>591.8511962890625</v>
      </c>
      <c r="C260" t="s">
        <v>659</v>
      </c>
      <c r="D260">
        <v>7.7370922565460214</v>
      </c>
      <c r="E260" t="s">
        <v>121</v>
      </c>
      <c r="F260" t="s">
        <v>650</v>
      </c>
      <c r="G260" t="s">
        <v>139</v>
      </c>
      <c r="H260" t="s">
        <v>4</v>
      </c>
      <c r="I260">
        <v>4</v>
      </c>
      <c r="J260">
        <v>588</v>
      </c>
      <c r="K260">
        <v>0</v>
      </c>
      <c r="L260">
        <v>588</v>
      </c>
      <c r="M260">
        <v>0</v>
      </c>
      <c r="N260" s="4">
        <f t="shared" si="4"/>
        <v>6.5496535528273281E-3</v>
      </c>
      <c r="P260">
        <v>0</v>
      </c>
      <c r="Q260">
        <v>4</v>
      </c>
      <c r="R260">
        <v>0</v>
      </c>
      <c r="U260" t="s">
        <v>139</v>
      </c>
    </row>
    <row r="261" spans="1:22">
      <c r="A261">
        <v>356</v>
      </c>
      <c r="B261">
        <v>714.883544921875</v>
      </c>
      <c r="C261" t="s">
        <v>660</v>
      </c>
      <c r="D261">
        <v>7.7370922565460214</v>
      </c>
      <c r="E261" t="s">
        <v>121</v>
      </c>
      <c r="F261" t="s">
        <v>650</v>
      </c>
      <c r="G261" t="s">
        <v>136</v>
      </c>
      <c r="H261" t="s">
        <v>4</v>
      </c>
      <c r="I261">
        <v>4</v>
      </c>
      <c r="J261">
        <v>694</v>
      </c>
      <c r="K261">
        <v>0</v>
      </c>
      <c r="L261">
        <v>694</v>
      </c>
      <c r="M261">
        <v>0</v>
      </c>
      <c r="N261" s="4">
        <f t="shared" si="4"/>
        <v>3.009156328800433E-2</v>
      </c>
      <c r="P261">
        <v>0</v>
      </c>
      <c r="Q261">
        <v>4</v>
      </c>
      <c r="R261">
        <v>0</v>
      </c>
      <c r="U261" t="s">
        <v>136</v>
      </c>
    </row>
    <row r="262" spans="1:22">
      <c r="A262">
        <v>357</v>
      </c>
      <c r="B262">
        <v>989</v>
      </c>
      <c r="C262" t="s">
        <v>661</v>
      </c>
      <c r="D262">
        <v>7.7370922565460214</v>
      </c>
      <c r="E262" t="s">
        <v>121</v>
      </c>
      <c r="F262" t="s">
        <v>650</v>
      </c>
      <c r="G262" t="s">
        <v>137</v>
      </c>
      <c r="H262" t="s">
        <v>4</v>
      </c>
      <c r="I262">
        <v>4</v>
      </c>
      <c r="J262">
        <v>989</v>
      </c>
      <c r="K262">
        <v>0</v>
      </c>
      <c r="L262">
        <v>989</v>
      </c>
      <c r="M262">
        <v>0</v>
      </c>
      <c r="N262" s="4">
        <f t="shared" si="4"/>
        <v>0</v>
      </c>
      <c r="P262">
        <v>0</v>
      </c>
      <c r="Q262">
        <v>4</v>
      </c>
      <c r="R262">
        <v>0</v>
      </c>
      <c r="U262" t="s">
        <v>137</v>
      </c>
    </row>
    <row r="263" spans="1:22">
      <c r="A263">
        <v>358</v>
      </c>
      <c r="B263">
        <v>774.64935302734375</v>
      </c>
      <c r="C263" t="s">
        <v>662</v>
      </c>
      <c r="D263">
        <v>5.9803359508514404</v>
      </c>
      <c r="E263" t="s">
        <v>121</v>
      </c>
      <c r="F263" t="s">
        <v>663</v>
      </c>
      <c r="G263" t="s">
        <v>140</v>
      </c>
      <c r="H263" t="s">
        <v>2</v>
      </c>
      <c r="I263">
        <v>2</v>
      </c>
      <c r="J263">
        <v>744</v>
      </c>
      <c r="K263">
        <v>744</v>
      </c>
      <c r="L263">
        <v>0</v>
      </c>
      <c r="M263">
        <v>0</v>
      </c>
      <c r="N263" s="4">
        <f t="shared" si="4"/>
        <v>4.1195366972236247E-2</v>
      </c>
      <c r="P263">
        <v>2</v>
      </c>
      <c r="Q263">
        <v>0</v>
      </c>
      <c r="R263">
        <v>0</v>
      </c>
      <c r="T263" t="s">
        <v>140</v>
      </c>
    </row>
    <row r="264" spans="1:22">
      <c r="A264">
        <v>359</v>
      </c>
      <c r="B264">
        <v>1018.520935058594</v>
      </c>
      <c r="C264" t="s">
        <v>664</v>
      </c>
      <c r="D264">
        <v>5.9803359508514404</v>
      </c>
      <c r="E264" t="s">
        <v>121</v>
      </c>
      <c r="F264" t="s">
        <v>663</v>
      </c>
      <c r="G264" t="s">
        <v>141</v>
      </c>
      <c r="H264" t="s">
        <v>2</v>
      </c>
      <c r="I264">
        <v>2</v>
      </c>
      <c r="J264">
        <v>968</v>
      </c>
      <c r="K264">
        <v>968</v>
      </c>
      <c r="L264">
        <v>0</v>
      </c>
      <c r="M264">
        <v>0</v>
      </c>
      <c r="N264" s="4">
        <f t="shared" si="4"/>
        <v>5.2191048614250057E-2</v>
      </c>
      <c r="P264">
        <v>2</v>
      </c>
      <c r="Q264">
        <v>0</v>
      </c>
      <c r="R264">
        <v>0</v>
      </c>
      <c r="T264" t="s">
        <v>141</v>
      </c>
    </row>
    <row r="265" spans="1:22">
      <c r="A265">
        <v>360</v>
      </c>
      <c r="B265">
        <v>777.1168212890625</v>
      </c>
      <c r="C265" t="s">
        <v>665</v>
      </c>
      <c r="D265">
        <v>4.6048662662506104</v>
      </c>
      <c r="E265" t="s">
        <v>121</v>
      </c>
      <c r="F265" t="s">
        <v>663</v>
      </c>
      <c r="G265" t="s">
        <v>140</v>
      </c>
      <c r="H265" t="s">
        <v>3</v>
      </c>
      <c r="I265">
        <v>2</v>
      </c>
      <c r="J265">
        <v>744</v>
      </c>
      <c r="K265">
        <v>0</v>
      </c>
      <c r="L265">
        <v>0</v>
      </c>
      <c r="M265">
        <v>744</v>
      </c>
      <c r="N265" s="4">
        <f t="shared" si="4"/>
        <v>4.4511856571320507E-2</v>
      </c>
      <c r="P265">
        <v>0</v>
      </c>
      <c r="Q265">
        <v>0</v>
      </c>
      <c r="R265">
        <v>2</v>
      </c>
      <c r="V265" t="s">
        <v>140</v>
      </c>
    </row>
    <row r="266" spans="1:22">
      <c r="A266">
        <v>361</v>
      </c>
      <c r="B266">
        <v>1042.214111328125</v>
      </c>
      <c r="C266" t="s">
        <v>666</v>
      </c>
      <c r="D266">
        <v>4.6048662662506104</v>
      </c>
      <c r="E266" t="s">
        <v>121</v>
      </c>
      <c r="F266" t="s">
        <v>663</v>
      </c>
      <c r="G266" t="s">
        <v>141</v>
      </c>
      <c r="H266" t="s">
        <v>3</v>
      </c>
      <c r="I266">
        <v>2</v>
      </c>
      <c r="J266">
        <v>968</v>
      </c>
      <c r="K266">
        <v>0</v>
      </c>
      <c r="L266">
        <v>0</v>
      </c>
      <c r="M266">
        <v>968</v>
      </c>
      <c r="N266" s="4">
        <f t="shared" si="4"/>
        <v>7.6667470380294311E-2</v>
      </c>
      <c r="P266">
        <v>0</v>
      </c>
      <c r="Q266">
        <v>0</v>
      </c>
      <c r="R266">
        <v>2</v>
      </c>
      <c r="V266" t="s">
        <v>141</v>
      </c>
    </row>
    <row r="267" spans="1:22">
      <c r="A267">
        <v>362</v>
      </c>
      <c r="B267">
        <v>761.7200927734375</v>
      </c>
      <c r="C267" t="s">
        <v>667</v>
      </c>
      <c r="D267">
        <v>4.8413698673248291</v>
      </c>
      <c r="E267" t="s">
        <v>121</v>
      </c>
      <c r="F267" t="s">
        <v>663</v>
      </c>
      <c r="G267" t="s">
        <v>140</v>
      </c>
      <c r="H267" t="s">
        <v>4</v>
      </c>
      <c r="I267">
        <v>2</v>
      </c>
      <c r="J267">
        <v>744</v>
      </c>
      <c r="K267">
        <v>0</v>
      </c>
      <c r="L267">
        <v>744</v>
      </c>
      <c r="M267">
        <v>0</v>
      </c>
      <c r="N267" s="4">
        <f t="shared" si="4"/>
        <v>2.3817328996555753E-2</v>
      </c>
      <c r="P267">
        <v>0</v>
      </c>
      <c r="Q267">
        <v>2</v>
      </c>
      <c r="R267">
        <v>0</v>
      </c>
      <c r="U267" t="s">
        <v>140</v>
      </c>
    </row>
    <row r="268" spans="1:22">
      <c r="A268">
        <v>363</v>
      </c>
      <c r="B268">
        <v>994.7239990234375</v>
      </c>
      <c r="C268" t="s">
        <v>668</v>
      </c>
      <c r="D268">
        <v>4.8413698673248291</v>
      </c>
      <c r="E268" t="s">
        <v>121</v>
      </c>
      <c r="F268" t="s">
        <v>663</v>
      </c>
      <c r="G268" t="s">
        <v>141</v>
      </c>
      <c r="H268" t="s">
        <v>4</v>
      </c>
      <c r="I268">
        <v>2</v>
      </c>
      <c r="J268">
        <v>968</v>
      </c>
      <c r="K268">
        <v>0</v>
      </c>
      <c r="L268">
        <v>968</v>
      </c>
      <c r="M268">
        <v>0</v>
      </c>
      <c r="N268" s="4">
        <f t="shared" si="4"/>
        <v>2.7607437007683311E-2</v>
      </c>
      <c r="P268">
        <v>0</v>
      </c>
      <c r="Q268">
        <v>2</v>
      </c>
      <c r="R268">
        <v>0</v>
      </c>
      <c r="U268" t="s">
        <v>141</v>
      </c>
    </row>
    <row r="269" spans="1:22">
      <c r="A269">
        <v>364</v>
      </c>
      <c r="B269">
        <v>827.241455078125</v>
      </c>
      <c r="C269" t="s">
        <v>669</v>
      </c>
      <c r="D269">
        <v>3.8121659755706792</v>
      </c>
      <c r="E269" t="s">
        <v>121</v>
      </c>
      <c r="F269" t="s">
        <v>670</v>
      </c>
      <c r="G269" t="s">
        <v>142</v>
      </c>
      <c r="H269" t="s">
        <v>2</v>
      </c>
      <c r="I269">
        <v>1</v>
      </c>
      <c r="J269">
        <v>792</v>
      </c>
      <c r="K269">
        <v>792</v>
      </c>
      <c r="L269">
        <v>0</v>
      </c>
      <c r="M269">
        <v>0</v>
      </c>
      <c r="N269" s="4">
        <f t="shared" si="4"/>
        <v>4.4496786714804282E-2</v>
      </c>
      <c r="P269">
        <v>1</v>
      </c>
      <c r="Q269">
        <v>0</v>
      </c>
      <c r="R269">
        <v>0</v>
      </c>
      <c r="T269" t="s">
        <v>142</v>
      </c>
    </row>
    <row r="270" spans="1:22">
      <c r="A270">
        <v>365</v>
      </c>
      <c r="B270">
        <v>827.43829345703125</v>
      </c>
      <c r="C270" t="s">
        <v>671</v>
      </c>
      <c r="D270">
        <v>3.9269406795501709</v>
      </c>
      <c r="E270" t="s">
        <v>121</v>
      </c>
      <c r="F270" t="s">
        <v>670</v>
      </c>
      <c r="G270" t="s">
        <v>142</v>
      </c>
      <c r="H270" t="s">
        <v>3</v>
      </c>
      <c r="I270">
        <v>1</v>
      </c>
      <c r="J270">
        <v>792</v>
      </c>
      <c r="K270">
        <v>0</v>
      </c>
      <c r="L270">
        <v>0</v>
      </c>
      <c r="M270">
        <v>792</v>
      </c>
      <c r="N270" s="4">
        <f t="shared" si="4"/>
        <v>4.4745320021503998E-2</v>
      </c>
      <c r="P270">
        <v>0</v>
      </c>
      <c r="Q270">
        <v>0</v>
      </c>
      <c r="R270">
        <v>1</v>
      </c>
      <c r="V270" t="s">
        <v>142</v>
      </c>
    </row>
    <row r="271" spans="1:22">
      <c r="A271">
        <v>366</v>
      </c>
      <c r="B271">
        <v>812.9393310546875</v>
      </c>
      <c r="C271" t="s">
        <v>672</v>
      </c>
      <c r="D271">
        <v>3.0925877094268799</v>
      </c>
      <c r="E271" t="s">
        <v>121</v>
      </c>
      <c r="F271" t="s">
        <v>670</v>
      </c>
      <c r="G271" t="s">
        <v>142</v>
      </c>
      <c r="H271" t="s">
        <v>4</v>
      </c>
      <c r="I271">
        <v>1</v>
      </c>
      <c r="J271">
        <v>792</v>
      </c>
      <c r="K271">
        <v>0</v>
      </c>
      <c r="L271">
        <v>792</v>
      </c>
      <c r="M271">
        <v>0</v>
      </c>
      <c r="N271" s="4">
        <f t="shared" si="4"/>
        <v>2.6438549311474047E-2</v>
      </c>
      <c r="P271">
        <v>0</v>
      </c>
      <c r="Q271">
        <v>1</v>
      </c>
      <c r="R271">
        <v>0</v>
      </c>
      <c r="U271" t="s">
        <v>142</v>
      </c>
    </row>
    <row r="272" spans="1:22">
      <c r="A272">
        <v>367</v>
      </c>
      <c r="B272">
        <v>851.7200927734375</v>
      </c>
      <c r="C272" t="s">
        <v>673</v>
      </c>
      <c r="D272">
        <v>4.0091357231140137</v>
      </c>
      <c r="E272" t="s">
        <v>121</v>
      </c>
      <c r="F272" t="s">
        <v>674</v>
      </c>
      <c r="G272" t="s">
        <v>143</v>
      </c>
      <c r="H272" t="s">
        <v>2</v>
      </c>
      <c r="I272">
        <v>1</v>
      </c>
      <c r="J272">
        <v>827</v>
      </c>
      <c r="K272">
        <v>827</v>
      </c>
      <c r="L272">
        <v>0</v>
      </c>
      <c r="M272">
        <v>0</v>
      </c>
      <c r="N272" s="4">
        <f t="shared" si="4"/>
        <v>2.9891285094845843E-2</v>
      </c>
      <c r="P272">
        <v>1</v>
      </c>
      <c r="Q272">
        <v>0</v>
      </c>
      <c r="R272">
        <v>0</v>
      </c>
      <c r="T272" t="s">
        <v>143</v>
      </c>
    </row>
    <row r="273" spans="1:22">
      <c r="A273">
        <v>368</v>
      </c>
      <c r="B273">
        <v>864.65301513671875</v>
      </c>
      <c r="C273" t="s">
        <v>675</v>
      </c>
      <c r="D273">
        <v>3.219674825668335</v>
      </c>
      <c r="E273" t="s">
        <v>121</v>
      </c>
      <c r="F273" t="s">
        <v>674</v>
      </c>
      <c r="G273" t="s">
        <v>143</v>
      </c>
      <c r="H273" t="s">
        <v>3</v>
      </c>
      <c r="I273">
        <v>1</v>
      </c>
      <c r="J273">
        <v>827</v>
      </c>
      <c r="K273">
        <v>0</v>
      </c>
      <c r="L273">
        <v>0</v>
      </c>
      <c r="M273">
        <v>827</v>
      </c>
      <c r="N273" s="4">
        <f t="shared" si="4"/>
        <v>4.5529643454315316E-2</v>
      </c>
      <c r="P273">
        <v>0</v>
      </c>
      <c r="Q273">
        <v>0</v>
      </c>
      <c r="R273">
        <v>1</v>
      </c>
      <c r="V273" t="s">
        <v>143</v>
      </c>
    </row>
    <row r="274" spans="1:22">
      <c r="A274">
        <v>369</v>
      </c>
      <c r="B274">
        <v>854.9755859375</v>
      </c>
      <c r="C274" t="s">
        <v>676</v>
      </c>
      <c r="D274">
        <v>2.9403140544891362</v>
      </c>
      <c r="E274" t="s">
        <v>121</v>
      </c>
      <c r="F274" t="s">
        <v>674</v>
      </c>
      <c r="G274" t="s">
        <v>143</v>
      </c>
      <c r="H274" t="s">
        <v>4</v>
      </c>
      <c r="I274">
        <v>1</v>
      </c>
      <c r="J274">
        <v>827</v>
      </c>
      <c r="K274">
        <v>0</v>
      </c>
      <c r="L274">
        <v>827</v>
      </c>
      <c r="M274">
        <v>0</v>
      </c>
      <c r="N274" s="4">
        <f t="shared" si="4"/>
        <v>3.382779436215233E-2</v>
      </c>
      <c r="P274">
        <v>0</v>
      </c>
      <c r="Q274">
        <v>1</v>
      </c>
      <c r="R274">
        <v>0</v>
      </c>
      <c r="U274" t="s">
        <v>143</v>
      </c>
    </row>
    <row r="275" spans="1:22">
      <c r="A275">
        <v>370</v>
      </c>
      <c r="B275">
        <v>643.5908203125</v>
      </c>
      <c r="C275" t="s">
        <v>677</v>
      </c>
      <c r="D275">
        <v>4.3511836528778076</v>
      </c>
      <c r="E275" t="s">
        <v>121</v>
      </c>
      <c r="F275" t="s">
        <v>678</v>
      </c>
      <c r="G275" t="s">
        <v>144</v>
      </c>
      <c r="H275" t="s">
        <v>2</v>
      </c>
      <c r="I275">
        <v>2</v>
      </c>
      <c r="J275">
        <v>593</v>
      </c>
      <c r="K275">
        <v>593</v>
      </c>
      <c r="L275">
        <v>0</v>
      </c>
      <c r="M275">
        <v>0</v>
      </c>
      <c r="N275" s="4">
        <f t="shared" si="4"/>
        <v>8.5313356344856706E-2</v>
      </c>
      <c r="P275">
        <v>2</v>
      </c>
      <c r="Q275">
        <v>0</v>
      </c>
      <c r="R275">
        <v>0</v>
      </c>
      <c r="T275" t="s">
        <v>144</v>
      </c>
    </row>
    <row r="276" spans="1:22">
      <c r="A276">
        <v>371</v>
      </c>
      <c r="B276">
        <v>665.95635986328125</v>
      </c>
      <c r="C276" t="s">
        <v>679</v>
      </c>
      <c r="D276">
        <v>4.3511836528778076</v>
      </c>
      <c r="E276" t="s">
        <v>121</v>
      </c>
      <c r="F276" t="s">
        <v>678</v>
      </c>
      <c r="G276" t="s">
        <v>145</v>
      </c>
      <c r="H276" t="s">
        <v>2</v>
      </c>
      <c r="I276">
        <v>2</v>
      </c>
      <c r="J276">
        <v>627</v>
      </c>
      <c r="K276">
        <v>627</v>
      </c>
      <c r="L276">
        <v>0</v>
      </c>
      <c r="M276">
        <v>0</v>
      </c>
      <c r="N276" s="4">
        <f t="shared" si="4"/>
        <v>6.2131355443829639E-2</v>
      </c>
      <c r="P276">
        <v>2</v>
      </c>
      <c r="Q276">
        <v>0</v>
      </c>
      <c r="R276">
        <v>0</v>
      </c>
      <c r="T276" t="s">
        <v>145</v>
      </c>
    </row>
    <row r="277" spans="1:22">
      <c r="A277">
        <v>372</v>
      </c>
      <c r="B277">
        <v>639.52166748046875</v>
      </c>
      <c r="C277" t="s">
        <v>680</v>
      </c>
      <c r="D277">
        <v>2.6638779640197749</v>
      </c>
      <c r="E277" t="s">
        <v>121</v>
      </c>
      <c r="F277" t="s">
        <v>678</v>
      </c>
      <c r="G277" t="s">
        <v>144</v>
      </c>
      <c r="H277" t="s">
        <v>3</v>
      </c>
      <c r="I277">
        <v>2</v>
      </c>
      <c r="J277">
        <v>593</v>
      </c>
      <c r="K277">
        <v>0</v>
      </c>
      <c r="L277">
        <v>0</v>
      </c>
      <c r="M277">
        <v>593</v>
      </c>
      <c r="N277" s="4">
        <f t="shared" si="4"/>
        <v>7.8451378550537632E-2</v>
      </c>
      <c r="P277">
        <v>0</v>
      </c>
      <c r="Q277">
        <v>0</v>
      </c>
      <c r="R277">
        <v>2</v>
      </c>
      <c r="V277" t="s">
        <v>144</v>
      </c>
    </row>
    <row r="278" spans="1:22">
      <c r="A278">
        <v>373</v>
      </c>
      <c r="B278">
        <v>651.7451171875</v>
      </c>
      <c r="C278" t="s">
        <v>681</v>
      </c>
      <c r="D278">
        <v>2.6638779640197749</v>
      </c>
      <c r="E278" t="s">
        <v>121</v>
      </c>
      <c r="F278" t="s">
        <v>678</v>
      </c>
      <c r="G278" t="s">
        <v>145</v>
      </c>
      <c r="H278" t="s">
        <v>3</v>
      </c>
      <c r="I278">
        <v>2</v>
      </c>
      <c r="J278">
        <v>627</v>
      </c>
      <c r="K278">
        <v>0</v>
      </c>
      <c r="L278">
        <v>0</v>
      </c>
      <c r="M278">
        <v>627</v>
      </c>
      <c r="N278" s="4">
        <f t="shared" si="4"/>
        <v>3.9465896630781483E-2</v>
      </c>
      <c r="P278">
        <v>0</v>
      </c>
      <c r="Q278">
        <v>0</v>
      </c>
      <c r="R278">
        <v>2</v>
      </c>
      <c r="V278" t="s">
        <v>145</v>
      </c>
    </row>
    <row r="279" spans="1:22">
      <c r="A279">
        <v>374</v>
      </c>
      <c r="B279">
        <v>639.4271240234375</v>
      </c>
      <c r="C279" t="s">
        <v>682</v>
      </c>
      <c r="D279">
        <v>3.257413387298584</v>
      </c>
      <c r="E279" t="s">
        <v>121</v>
      </c>
      <c r="F279" t="s">
        <v>678</v>
      </c>
      <c r="G279" t="s">
        <v>144</v>
      </c>
      <c r="H279" t="s">
        <v>4</v>
      </c>
      <c r="I279">
        <v>2</v>
      </c>
      <c r="J279">
        <v>593</v>
      </c>
      <c r="K279">
        <v>0</v>
      </c>
      <c r="L279">
        <v>593</v>
      </c>
      <c r="M279">
        <v>0</v>
      </c>
      <c r="N279" s="4">
        <f t="shared" si="4"/>
        <v>7.8291946076623153E-2</v>
      </c>
      <c r="P279">
        <v>0</v>
      </c>
      <c r="Q279">
        <v>2</v>
      </c>
      <c r="R279">
        <v>0</v>
      </c>
      <c r="U279" t="s">
        <v>144</v>
      </c>
    </row>
    <row r="280" spans="1:22">
      <c r="A280">
        <v>375</v>
      </c>
      <c r="B280">
        <v>645.711181640625</v>
      </c>
      <c r="C280" t="s">
        <v>683</v>
      </c>
      <c r="D280">
        <v>3.257413387298584</v>
      </c>
      <c r="E280" t="s">
        <v>121</v>
      </c>
      <c r="F280" t="s">
        <v>678</v>
      </c>
      <c r="G280" t="s">
        <v>145</v>
      </c>
      <c r="H280" t="s">
        <v>4</v>
      </c>
      <c r="I280">
        <v>2</v>
      </c>
      <c r="J280">
        <v>627</v>
      </c>
      <c r="K280">
        <v>0</v>
      </c>
      <c r="L280">
        <v>627</v>
      </c>
      <c r="M280">
        <v>0</v>
      </c>
      <c r="N280" s="4">
        <f t="shared" si="4"/>
        <v>2.9842394961124397E-2</v>
      </c>
      <c r="P280">
        <v>0</v>
      </c>
      <c r="Q280">
        <v>2</v>
      </c>
      <c r="R280">
        <v>0</v>
      </c>
      <c r="U280" t="s">
        <v>145</v>
      </c>
    </row>
    <row r="281" spans="1:22">
      <c r="A281">
        <v>376</v>
      </c>
      <c r="B281">
        <v>2209.54541015625</v>
      </c>
      <c r="C281" t="s">
        <v>684</v>
      </c>
      <c r="D281">
        <v>5.0155410766601563</v>
      </c>
      <c r="E281" t="s">
        <v>146</v>
      </c>
      <c r="F281" t="s">
        <v>685</v>
      </c>
      <c r="G281" t="s">
        <v>147</v>
      </c>
      <c r="H281" t="s">
        <v>2</v>
      </c>
      <c r="I281">
        <v>4</v>
      </c>
      <c r="J281">
        <v>2041.34</v>
      </c>
      <c r="K281">
        <v>2041.34</v>
      </c>
      <c r="L281">
        <v>0</v>
      </c>
      <c r="M281">
        <v>0</v>
      </c>
      <c r="N281" s="4">
        <f t="shared" si="4"/>
        <v>8.2399507262998828E-2</v>
      </c>
      <c r="P281">
        <v>4</v>
      </c>
      <c r="Q281">
        <v>0</v>
      </c>
      <c r="R281">
        <v>0</v>
      </c>
      <c r="T281" t="s">
        <v>147</v>
      </c>
    </row>
    <row r="282" spans="1:22">
      <c r="A282">
        <v>377</v>
      </c>
      <c r="B282">
        <v>2085.147216796875</v>
      </c>
      <c r="C282" t="s">
        <v>686</v>
      </c>
      <c r="D282">
        <v>5.0155410766601563</v>
      </c>
      <c r="E282" t="s">
        <v>146</v>
      </c>
      <c r="F282" t="s">
        <v>685</v>
      </c>
      <c r="G282" t="s">
        <v>148</v>
      </c>
      <c r="H282" t="s">
        <v>2</v>
      </c>
      <c r="I282">
        <v>4</v>
      </c>
      <c r="J282">
        <v>1939.9</v>
      </c>
      <c r="K282">
        <v>1939.9</v>
      </c>
      <c r="L282">
        <v>0</v>
      </c>
      <c r="M282">
        <v>0</v>
      </c>
      <c r="N282" s="4">
        <f t="shared" si="4"/>
        <v>7.4873558841628274E-2</v>
      </c>
      <c r="P282">
        <v>4</v>
      </c>
      <c r="Q282">
        <v>0</v>
      </c>
      <c r="R282">
        <v>0</v>
      </c>
      <c r="T282" t="s">
        <v>148</v>
      </c>
    </row>
    <row r="283" spans="1:22">
      <c r="A283">
        <v>378</v>
      </c>
      <c r="B283">
        <v>1506.185668945312</v>
      </c>
      <c r="C283" t="s">
        <v>687</v>
      </c>
      <c r="D283">
        <v>5.0155410766601563</v>
      </c>
      <c r="E283" t="s">
        <v>146</v>
      </c>
      <c r="F283" t="s">
        <v>685</v>
      </c>
      <c r="G283" t="s">
        <v>149</v>
      </c>
      <c r="H283" t="s">
        <v>2</v>
      </c>
      <c r="I283">
        <v>4</v>
      </c>
      <c r="J283">
        <v>1406.2</v>
      </c>
      <c r="K283">
        <v>1406.2</v>
      </c>
      <c r="L283">
        <v>0</v>
      </c>
      <c r="M283">
        <v>0</v>
      </c>
      <c r="N283" s="4">
        <f t="shared" si="4"/>
        <v>7.1103448261493396E-2</v>
      </c>
      <c r="P283">
        <v>4</v>
      </c>
      <c r="Q283">
        <v>0</v>
      </c>
      <c r="R283">
        <v>0</v>
      </c>
      <c r="T283" t="s">
        <v>149</v>
      </c>
    </row>
    <row r="284" spans="1:22">
      <c r="A284">
        <v>379</v>
      </c>
      <c r="B284">
        <v>1756.475463867188</v>
      </c>
      <c r="C284" t="s">
        <v>688</v>
      </c>
      <c r="D284">
        <v>5.0155410766601563</v>
      </c>
      <c r="E284" t="s">
        <v>146</v>
      </c>
      <c r="F284" t="s">
        <v>685</v>
      </c>
      <c r="G284" t="s">
        <v>150</v>
      </c>
      <c r="H284" t="s">
        <v>2</v>
      </c>
      <c r="I284">
        <v>4</v>
      </c>
      <c r="J284">
        <v>1580.46</v>
      </c>
      <c r="K284">
        <v>1580.46</v>
      </c>
      <c r="L284">
        <v>0</v>
      </c>
      <c r="M284">
        <v>0</v>
      </c>
      <c r="N284" s="4">
        <f t="shared" si="4"/>
        <v>0.11136976821127265</v>
      </c>
      <c r="P284">
        <v>4</v>
      </c>
      <c r="Q284">
        <v>0</v>
      </c>
      <c r="R284">
        <v>0</v>
      </c>
      <c r="T284" t="s">
        <v>150</v>
      </c>
    </row>
    <row r="285" spans="1:22">
      <c r="A285">
        <v>380</v>
      </c>
      <c r="B285">
        <v>2234.52734375</v>
      </c>
      <c r="C285" t="s">
        <v>689</v>
      </c>
      <c r="D285">
        <v>6.432598352432251</v>
      </c>
      <c r="E285" t="s">
        <v>146</v>
      </c>
      <c r="F285" t="s">
        <v>685</v>
      </c>
      <c r="G285" t="s">
        <v>147</v>
      </c>
      <c r="H285" t="s">
        <v>3</v>
      </c>
      <c r="I285">
        <v>4</v>
      </c>
      <c r="J285">
        <v>2041.34</v>
      </c>
      <c r="K285">
        <v>0</v>
      </c>
      <c r="L285">
        <v>0</v>
      </c>
      <c r="M285">
        <v>2041.34</v>
      </c>
      <c r="N285" s="4">
        <f t="shared" si="4"/>
        <v>9.4637514451291871E-2</v>
      </c>
      <c r="P285">
        <v>0</v>
      </c>
      <c r="Q285">
        <v>0</v>
      </c>
      <c r="R285">
        <v>4</v>
      </c>
      <c r="V285" t="s">
        <v>147</v>
      </c>
    </row>
    <row r="286" spans="1:22">
      <c r="A286">
        <v>381</v>
      </c>
      <c r="B286">
        <v>2221.20458984375</v>
      </c>
      <c r="C286" t="s">
        <v>690</v>
      </c>
      <c r="D286">
        <v>6.432598352432251</v>
      </c>
      <c r="E286" t="s">
        <v>146</v>
      </c>
      <c r="F286" t="s">
        <v>685</v>
      </c>
      <c r="G286" t="s">
        <v>148</v>
      </c>
      <c r="H286" t="s">
        <v>3</v>
      </c>
      <c r="I286">
        <v>4</v>
      </c>
      <c r="J286">
        <v>1939.9</v>
      </c>
      <c r="K286">
        <v>0</v>
      </c>
      <c r="L286">
        <v>0</v>
      </c>
      <c r="M286">
        <v>1939.9</v>
      </c>
      <c r="N286" s="4">
        <f t="shared" si="4"/>
        <v>0.14500984063289346</v>
      </c>
      <c r="P286">
        <v>0</v>
      </c>
      <c r="Q286">
        <v>0</v>
      </c>
      <c r="R286">
        <v>4</v>
      </c>
      <c r="V286" t="s">
        <v>148</v>
      </c>
    </row>
    <row r="287" spans="1:22">
      <c r="A287">
        <v>382</v>
      </c>
      <c r="B287">
        <v>1546.947875976562</v>
      </c>
      <c r="C287" t="s">
        <v>691</v>
      </c>
      <c r="D287">
        <v>6.432598352432251</v>
      </c>
      <c r="E287" t="s">
        <v>146</v>
      </c>
      <c r="F287" t="s">
        <v>685</v>
      </c>
      <c r="G287" t="s">
        <v>149</v>
      </c>
      <c r="H287" t="s">
        <v>3</v>
      </c>
      <c r="I287">
        <v>4</v>
      </c>
      <c r="J287">
        <v>1406.2</v>
      </c>
      <c r="K287">
        <v>0</v>
      </c>
      <c r="L287">
        <v>0</v>
      </c>
      <c r="M287">
        <v>1406.2</v>
      </c>
      <c r="N287" s="4">
        <f t="shared" si="4"/>
        <v>0.1000909372611023</v>
      </c>
      <c r="P287">
        <v>0</v>
      </c>
      <c r="Q287">
        <v>0</v>
      </c>
      <c r="R287">
        <v>4</v>
      </c>
      <c r="V287" t="s">
        <v>149</v>
      </c>
    </row>
    <row r="288" spans="1:22">
      <c r="A288">
        <v>383</v>
      </c>
      <c r="B288">
        <v>1783.35693359375</v>
      </c>
      <c r="C288" t="s">
        <v>692</v>
      </c>
      <c r="D288">
        <v>6.432598352432251</v>
      </c>
      <c r="E288" t="s">
        <v>146</v>
      </c>
      <c r="F288" t="s">
        <v>685</v>
      </c>
      <c r="G288" t="s">
        <v>150</v>
      </c>
      <c r="H288" t="s">
        <v>3</v>
      </c>
      <c r="I288">
        <v>4</v>
      </c>
      <c r="J288">
        <v>1580.46</v>
      </c>
      <c r="K288">
        <v>0</v>
      </c>
      <c r="L288">
        <v>0</v>
      </c>
      <c r="M288">
        <v>1580.46</v>
      </c>
      <c r="N288" s="4">
        <f t="shared" si="4"/>
        <v>0.12837840476427753</v>
      </c>
      <c r="P288">
        <v>0</v>
      </c>
      <c r="Q288">
        <v>0</v>
      </c>
      <c r="R288">
        <v>4</v>
      </c>
      <c r="V288" t="s">
        <v>150</v>
      </c>
    </row>
    <row r="289" spans="1:22">
      <c r="A289">
        <v>384</v>
      </c>
      <c r="B289">
        <v>2180.067626953125</v>
      </c>
      <c r="C289" t="s">
        <v>693</v>
      </c>
      <c r="D289">
        <v>5.4946568012237549</v>
      </c>
      <c r="E289" t="s">
        <v>146</v>
      </c>
      <c r="F289" t="s">
        <v>685</v>
      </c>
      <c r="G289" t="s">
        <v>147</v>
      </c>
      <c r="H289" t="s">
        <v>4</v>
      </c>
      <c r="I289">
        <v>4</v>
      </c>
      <c r="J289">
        <v>2041.34</v>
      </c>
      <c r="K289">
        <v>0</v>
      </c>
      <c r="L289">
        <v>2041.34</v>
      </c>
      <c r="M289">
        <v>0</v>
      </c>
      <c r="N289" s="4">
        <f t="shared" si="4"/>
        <v>6.7959098902252935E-2</v>
      </c>
      <c r="P289">
        <v>0</v>
      </c>
      <c r="Q289">
        <v>4</v>
      </c>
      <c r="R289">
        <v>0</v>
      </c>
      <c r="U289" t="s">
        <v>147</v>
      </c>
    </row>
    <row r="290" spans="1:22">
      <c r="A290">
        <v>385</v>
      </c>
      <c r="B290">
        <v>2017.516357421875</v>
      </c>
      <c r="C290" t="s">
        <v>694</v>
      </c>
      <c r="D290">
        <v>5.4946568012237549</v>
      </c>
      <c r="E290" t="s">
        <v>146</v>
      </c>
      <c r="F290" t="s">
        <v>685</v>
      </c>
      <c r="G290" t="s">
        <v>148</v>
      </c>
      <c r="H290" t="s">
        <v>4</v>
      </c>
      <c r="I290">
        <v>4</v>
      </c>
      <c r="J290">
        <v>1939.9</v>
      </c>
      <c r="K290">
        <v>0</v>
      </c>
      <c r="L290">
        <v>1939.9</v>
      </c>
      <c r="M290">
        <v>0</v>
      </c>
      <c r="N290" s="4">
        <f t="shared" ref="N290:N353" si="5">IFERROR(B290/J290-1,"")</f>
        <v>4.0010494057361123E-2</v>
      </c>
      <c r="P290">
        <v>0</v>
      </c>
      <c r="Q290">
        <v>4</v>
      </c>
      <c r="R290">
        <v>0</v>
      </c>
      <c r="U290" t="s">
        <v>148</v>
      </c>
    </row>
    <row r="291" spans="1:22">
      <c r="A291">
        <v>386</v>
      </c>
      <c r="B291">
        <v>1531.841430664062</v>
      </c>
      <c r="C291" t="s">
        <v>695</v>
      </c>
      <c r="D291">
        <v>5.4946568012237549</v>
      </c>
      <c r="E291" t="s">
        <v>146</v>
      </c>
      <c r="F291" t="s">
        <v>685</v>
      </c>
      <c r="G291" t="s">
        <v>149</v>
      </c>
      <c r="H291" t="s">
        <v>4</v>
      </c>
      <c r="I291">
        <v>4</v>
      </c>
      <c r="J291">
        <v>1406.2</v>
      </c>
      <c r="K291">
        <v>0</v>
      </c>
      <c r="L291">
        <v>1406.2</v>
      </c>
      <c r="M291">
        <v>0</v>
      </c>
      <c r="N291" s="4">
        <f t="shared" si="5"/>
        <v>8.9348194185792984E-2</v>
      </c>
      <c r="P291">
        <v>0</v>
      </c>
      <c r="Q291">
        <v>4</v>
      </c>
      <c r="R291">
        <v>0</v>
      </c>
      <c r="U291" t="s">
        <v>149</v>
      </c>
    </row>
    <row r="292" spans="1:22">
      <c r="A292">
        <v>387</v>
      </c>
      <c r="B292">
        <v>1680.028198242188</v>
      </c>
      <c r="C292" t="s">
        <v>696</v>
      </c>
      <c r="D292">
        <v>5.4946568012237549</v>
      </c>
      <c r="E292" t="s">
        <v>146</v>
      </c>
      <c r="F292" t="s">
        <v>685</v>
      </c>
      <c r="G292" t="s">
        <v>150</v>
      </c>
      <c r="H292" t="s">
        <v>4</v>
      </c>
      <c r="I292">
        <v>4</v>
      </c>
      <c r="J292">
        <v>1580.46</v>
      </c>
      <c r="K292">
        <v>0</v>
      </c>
      <c r="L292">
        <v>1580.46</v>
      </c>
      <c r="M292">
        <v>0</v>
      </c>
      <c r="N292" s="4">
        <f t="shared" si="5"/>
        <v>6.299950536058363E-2</v>
      </c>
      <c r="P292">
        <v>0</v>
      </c>
      <c r="Q292">
        <v>4</v>
      </c>
      <c r="R292">
        <v>0</v>
      </c>
      <c r="U292" t="s">
        <v>150</v>
      </c>
    </row>
    <row r="293" spans="1:22">
      <c r="A293">
        <v>388</v>
      </c>
      <c r="B293">
        <v>3416.070068359375</v>
      </c>
      <c r="C293" t="s">
        <v>697</v>
      </c>
      <c r="D293">
        <v>7.6026151180267334</v>
      </c>
      <c r="E293" t="s">
        <v>146</v>
      </c>
      <c r="F293" t="s">
        <v>698</v>
      </c>
      <c r="G293" t="s">
        <v>151</v>
      </c>
      <c r="H293" t="s">
        <v>2</v>
      </c>
      <c r="I293">
        <v>4</v>
      </c>
      <c r="J293">
        <v>3055.23</v>
      </c>
      <c r="K293">
        <v>3055.23</v>
      </c>
      <c r="L293">
        <v>0</v>
      </c>
      <c r="M293">
        <v>0</v>
      </c>
      <c r="N293" s="4">
        <f t="shared" si="5"/>
        <v>0.11810569690641137</v>
      </c>
      <c r="P293">
        <v>4</v>
      </c>
      <c r="Q293">
        <v>0</v>
      </c>
      <c r="R293">
        <v>0</v>
      </c>
      <c r="T293" t="s">
        <v>151</v>
      </c>
    </row>
    <row r="294" spans="1:22">
      <c r="A294">
        <v>389</v>
      </c>
      <c r="B294">
        <v>2854.696044921875</v>
      </c>
      <c r="C294" t="s">
        <v>699</v>
      </c>
      <c r="D294">
        <v>7.6026151180267334</v>
      </c>
      <c r="E294" t="s">
        <v>146</v>
      </c>
      <c r="F294" t="s">
        <v>698</v>
      </c>
      <c r="G294" t="s">
        <v>152</v>
      </c>
      <c r="H294" t="s">
        <v>2</v>
      </c>
      <c r="I294">
        <v>4</v>
      </c>
      <c r="J294">
        <v>2727.03</v>
      </c>
      <c r="K294">
        <v>2727.03</v>
      </c>
      <c r="L294">
        <v>0</v>
      </c>
      <c r="M294">
        <v>0</v>
      </c>
      <c r="N294" s="4">
        <f t="shared" si="5"/>
        <v>4.6815049677441989E-2</v>
      </c>
      <c r="P294">
        <v>4</v>
      </c>
      <c r="Q294">
        <v>0</v>
      </c>
      <c r="R294">
        <v>0</v>
      </c>
      <c r="T294" t="s">
        <v>152</v>
      </c>
    </row>
    <row r="295" spans="1:22">
      <c r="A295">
        <v>390</v>
      </c>
      <c r="B295">
        <v>2695.91455078125</v>
      </c>
      <c r="C295" t="s">
        <v>700</v>
      </c>
      <c r="D295">
        <v>7.6026151180267334</v>
      </c>
      <c r="E295" t="s">
        <v>146</v>
      </c>
      <c r="F295" t="s">
        <v>698</v>
      </c>
      <c r="G295" t="s">
        <v>153</v>
      </c>
      <c r="H295" t="s">
        <v>2</v>
      </c>
      <c r="I295">
        <v>4</v>
      </c>
      <c r="J295">
        <v>2358.66</v>
      </c>
      <c r="K295">
        <v>2358.66</v>
      </c>
      <c r="L295">
        <v>0</v>
      </c>
      <c r="M295">
        <v>0</v>
      </c>
      <c r="N295" s="4">
        <f t="shared" si="5"/>
        <v>0.14298565744161951</v>
      </c>
      <c r="P295">
        <v>4</v>
      </c>
      <c r="Q295">
        <v>0</v>
      </c>
      <c r="R295">
        <v>0</v>
      </c>
      <c r="T295" t="s">
        <v>153</v>
      </c>
    </row>
    <row r="296" spans="1:22">
      <c r="A296">
        <v>391</v>
      </c>
      <c r="B296">
        <v>2882.2734375</v>
      </c>
      <c r="C296" t="s">
        <v>701</v>
      </c>
      <c r="D296">
        <v>7.6026151180267334</v>
      </c>
      <c r="E296" t="s">
        <v>146</v>
      </c>
      <c r="F296" t="s">
        <v>698</v>
      </c>
      <c r="G296" t="s">
        <v>154</v>
      </c>
      <c r="H296" t="s">
        <v>2</v>
      </c>
      <c r="I296">
        <v>4</v>
      </c>
      <c r="J296">
        <v>2645.39</v>
      </c>
      <c r="K296">
        <v>2645.39</v>
      </c>
      <c r="L296">
        <v>0</v>
      </c>
      <c r="M296">
        <v>0</v>
      </c>
      <c r="N296" s="4">
        <f t="shared" si="5"/>
        <v>8.9545752233130216E-2</v>
      </c>
      <c r="P296">
        <v>4</v>
      </c>
      <c r="Q296">
        <v>0</v>
      </c>
      <c r="R296">
        <v>0</v>
      </c>
      <c r="T296" t="s">
        <v>154</v>
      </c>
    </row>
    <row r="297" spans="1:22">
      <c r="A297">
        <v>392</v>
      </c>
      <c r="B297">
        <v>3427.09033203125</v>
      </c>
      <c r="C297" t="s">
        <v>702</v>
      </c>
      <c r="D297">
        <v>10.67341470718384</v>
      </c>
      <c r="E297" t="s">
        <v>146</v>
      </c>
      <c r="F297" t="s">
        <v>698</v>
      </c>
      <c r="G297" t="s">
        <v>151</v>
      </c>
      <c r="H297" t="s">
        <v>3</v>
      </c>
      <c r="I297">
        <v>4</v>
      </c>
      <c r="J297">
        <v>3055.23</v>
      </c>
      <c r="K297">
        <v>0</v>
      </c>
      <c r="L297">
        <v>0</v>
      </c>
      <c r="M297">
        <v>3055.23</v>
      </c>
      <c r="N297" s="4">
        <f t="shared" si="5"/>
        <v>0.12171271296473596</v>
      </c>
      <c r="P297">
        <v>0</v>
      </c>
      <c r="Q297">
        <v>0</v>
      </c>
      <c r="R297">
        <v>4</v>
      </c>
      <c r="V297" t="s">
        <v>151</v>
      </c>
    </row>
    <row r="298" spans="1:22">
      <c r="A298">
        <v>393</v>
      </c>
      <c r="B298">
        <v>3157.62255859375</v>
      </c>
      <c r="C298" t="s">
        <v>703</v>
      </c>
      <c r="D298">
        <v>10.67341470718384</v>
      </c>
      <c r="E298" t="s">
        <v>146</v>
      </c>
      <c r="F298" t="s">
        <v>698</v>
      </c>
      <c r="G298" t="s">
        <v>152</v>
      </c>
      <c r="H298" t="s">
        <v>3</v>
      </c>
      <c r="I298">
        <v>4</v>
      </c>
      <c r="J298">
        <v>2727.03</v>
      </c>
      <c r="K298">
        <v>0</v>
      </c>
      <c r="L298">
        <v>0</v>
      </c>
      <c r="M298">
        <v>2727.03</v>
      </c>
      <c r="N298" s="4">
        <f t="shared" si="5"/>
        <v>0.15789799107224711</v>
      </c>
      <c r="P298">
        <v>0</v>
      </c>
      <c r="Q298">
        <v>0</v>
      </c>
      <c r="R298">
        <v>4</v>
      </c>
      <c r="V298" t="s">
        <v>152</v>
      </c>
    </row>
    <row r="299" spans="1:22">
      <c r="A299">
        <v>394</v>
      </c>
      <c r="B299">
        <v>2858.4697265625</v>
      </c>
      <c r="C299" t="s">
        <v>704</v>
      </c>
      <c r="D299">
        <v>10.67341470718384</v>
      </c>
      <c r="E299" t="s">
        <v>146</v>
      </c>
      <c r="F299" t="s">
        <v>698</v>
      </c>
      <c r="G299" t="s">
        <v>153</v>
      </c>
      <c r="H299" t="s">
        <v>3</v>
      </c>
      <c r="I299">
        <v>4</v>
      </c>
      <c r="J299">
        <v>2358.66</v>
      </c>
      <c r="K299">
        <v>0</v>
      </c>
      <c r="L299">
        <v>0</v>
      </c>
      <c r="M299">
        <v>2358.66</v>
      </c>
      <c r="N299" s="4">
        <f t="shared" si="5"/>
        <v>0.21190410087189337</v>
      </c>
      <c r="P299">
        <v>0</v>
      </c>
      <c r="Q299">
        <v>0</v>
      </c>
      <c r="R299">
        <v>4</v>
      </c>
      <c r="V299" t="s">
        <v>153</v>
      </c>
    </row>
    <row r="300" spans="1:22">
      <c r="A300">
        <v>395</v>
      </c>
      <c r="B300">
        <v>3042.97216796875</v>
      </c>
      <c r="C300" t="s">
        <v>705</v>
      </c>
      <c r="D300">
        <v>10.67341470718384</v>
      </c>
      <c r="E300" t="s">
        <v>146</v>
      </c>
      <c r="F300" t="s">
        <v>698</v>
      </c>
      <c r="G300" t="s">
        <v>154</v>
      </c>
      <c r="H300" t="s">
        <v>3</v>
      </c>
      <c r="I300">
        <v>4</v>
      </c>
      <c r="J300">
        <v>2645.39</v>
      </c>
      <c r="K300">
        <v>0</v>
      </c>
      <c r="L300">
        <v>0</v>
      </c>
      <c r="M300">
        <v>2645.39</v>
      </c>
      <c r="N300" s="4">
        <f t="shared" si="5"/>
        <v>0.15029245894508936</v>
      </c>
      <c r="P300">
        <v>0</v>
      </c>
      <c r="Q300">
        <v>0</v>
      </c>
      <c r="R300">
        <v>4</v>
      </c>
      <c r="V300" t="s">
        <v>154</v>
      </c>
    </row>
    <row r="301" spans="1:22">
      <c r="A301">
        <v>396</v>
      </c>
      <c r="B301">
        <v>3264.15673828125</v>
      </c>
      <c r="C301" t="s">
        <v>706</v>
      </c>
      <c r="D301">
        <v>8.8667840957641602</v>
      </c>
      <c r="E301" t="s">
        <v>146</v>
      </c>
      <c r="F301" t="s">
        <v>698</v>
      </c>
      <c r="G301" t="s">
        <v>151</v>
      </c>
      <c r="H301" t="s">
        <v>4</v>
      </c>
      <c r="I301">
        <v>4</v>
      </c>
      <c r="J301">
        <v>3055.23</v>
      </c>
      <c r="K301">
        <v>0</v>
      </c>
      <c r="L301">
        <v>3055.23</v>
      </c>
      <c r="M301">
        <v>0</v>
      </c>
      <c r="N301" s="4">
        <f t="shared" si="5"/>
        <v>6.8383309368279965E-2</v>
      </c>
      <c r="P301">
        <v>0</v>
      </c>
      <c r="Q301">
        <v>4</v>
      </c>
      <c r="R301">
        <v>0</v>
      </c>
      <c r="U301" t="s">
        <v>151</v>
      </c>
    </row>
    <row r="302" spans="1:22">
      <c r="A302">
        <v>397</v>
      </c>
      <c r="B302">
        <v>2997.542724609375</v>
      </c>
      <c r="C302" t="s">
        <v>707</v>
      </c>
      <c r="D302">
        <v>8.8667840957641602</v>
      </c>
      <c r="E302" t="s">
        <v>146</v>
      </c>
      <c r="F302" t="s">
        <v>698</v>
      </c>
      <c r="G302" t="s">
        <v>152</v>
      </c>
      <c r="H302" t="s">
        <v>4</v>
      </c>
      <c r="I302">
        <v>4</v>
      </c>
      <c r="J302">
        <v>2727.03</v>
      </c>
      <c r="K302">
        <v>0</v>
      </c>
      <c r="L302">
        <v>2727.03</v>
      </c>
      <c r="M302">
        <v>0</v>
      </c>
      <c r="N302" s="4">
        <f t="shared" si="5"/>
        <v>9.9196827541088606E-2</v>
      </c>
      <c r="P302">
        <v>0</v>
      </c>
      <c r="Q302">
        <v>4</v>
      </c>
      <c r="R302">
        <v>0</v>
      </c>
      <c r="U302" t="s">
        <v>152</v>
      </c>
    </row>
    <row r="303" spans="1:22">
      <c r="A303">
        <v>398</v>
      </c>
      <c r="B303">
        <v>2590.2744140625</v>
      </c>
      <c r="C303" t="s">
        <v>708</v>
      </c>
      <c r="D303">
        <v>8.8667840957641602</v>
      </c>
      <c r="E303" t="s">
        <v>146</v>
      </c>
      <c r="F303" t="s">
        <v>698</v>
      </c>
      <c r="G303" t="s">
        <v>153</v>
      </c>
      <c r="H303" t="s">
        <v>4</v>
      </c>
      <c r="I303">
        <v>4</v>
      </c>
      <c r="J303">
        <v>2358.66</v>
      </c>
      <c r="K303">
        <v>0</v>
      </c>
      <c r="L303">
        <v>2358.66</v>
      </c>
      <c r="M303">
        <v>0</v>
      </c>
      <c r="N303" s="4">
        <f t="shared" si="5"/>
        <v>9.8197457057185078E-2</v>
      </c>
      <c r="P303">
        <v>0</v>
      </c>
      <c r="Q303">
        <v>4</v>
      </c>
      <c r="R303">
        <v>0</v>
      </c>
      <c r="U303" t="s">
        <v>153</v>
      </c>
    </row>
    <row r="304" spans="1:22">
      <c r="A304">
        <v>399</v>
      </c>
      <c r="B304">
        <v>2821.7822265625</v>
      </c>
      <c r="C304" t="s">
        <v>709</v>
      </c>
      <c r="D304">
        <v>8.8667840957641602</v>
      </c>
      <c r="E304" t="s">
        <v>146</v>
      </c>
      <c r="F304" t="s">
        <v>698</v>
      </c>
      <c r="G304" t="s">
        <v>154</v>
      </c>
      <c r="H304" t="s">
        <v>4</v>
      </c>
      <c r="I304">
        <v>4</v>
      </c>
      <c r="J304">
        <v>2645.39</v>
      </c>
      <c r="K304">
        <v>0</v>
      </c>
      <c r="L304">
        <v>2645.39</v>
      </c>
      <c r="M304">
        <v>0</v>
      </c>
      <c r="N304" s="4">
        <f t="shared" si="5"/>
        <v>6.6679100836738669E-2</v>
      </c>
      <c r="P304">
        <v>0</v>
      </c>
      <c r="Q304">
        <v>4</v>
      </c>
      <c r="R304">
        <v>0</v>
      </c>
      <c r="U304" t="s">
        <v>154</v>
      </c>
    </row>
    <row r="305" spans="1:22">
      <c r="A305">
        <v>400</v>
      </c>
      <c r="B305">
        <v>27976.40625</v>
      </c>
      <c r="C305" t="s">
        <v>710</v>
      </c>
      <c r="D305">
        <v>8.2560060024261475</v>
      </c>
      <c r="E305" t="s">
        <v>146</v>
      </c>
      <c r="F305" t="s">
        <v>711</v>
      </c>
      <c r="G305" t="s">
        <v>155</v>
      </c>
      <c r="H305" t="s">
        <v>2</v>
      </c>
      <c r="I305">
        <v>1</v>
      </c>
      <c r="J305">
        <v>24366.413390000002</v>
      </c>
      <c r="K305">
        <v>24366.413390000002</v>
      </c>
      <c r="L305">
        <v>0</v>
      </c>
      <c r="M305">
        <v>0</v>
      </c>
      <c r="N305" s="4">
        <f t="shared" si="5"/>
        <v>0.14815446172646585</v>
      </c>
      <c r="P305">
        <v>1</v>
      </c>
      <c r="Q305">
        <v>0</v>
      </c>
      <c r="R305">
        <v>0</v>
      </c>
      <c r="T305" t="s">
        <v>155</v>
      </c>
    </row>
    <row r="306" spans="1:22">
      <c r="A306">
        <v>401</v>
      </c>
      <c r="B306">
        <v>30542.87109375</v>
      </c>
      <c r="C306" t="s">
        <v>712</v>
      </c>
      <c r="D306">
        <v>8.7125504016876221</v>
      </c>
      <c r="E306" t="s">
        <v>146</v>
      </c>
      <c r="F306" t="s">
        <v>711</v>
      </c>
      <c r="G306" t="s">
        <v>155</v>
      </c>
      <c r="H306" t="s">
        <v>3</v>
      </c>
      <c r="I306">
        <v>1</v>
      </c>
      <c r="J306">
        <v>24366.413390000002</v>
      </c>
      <c r="K306">
        <v>0</v>
      </c>
      <c r="L306">
        <v>0</v>
      </c>
      <c r="M306">
        <v>24366.413390000002</v>
      </c>
      <c r="N306" s="4">
        <f t="shared" si="5"/>
        <v>0.25348243111909219</v>
      </c>
      <c r="P306">
        <v>0</v>
      </c>
      <c r="Q306">
        <v>0</v>
      </c>
      <c r="R306">
        <v>1</v>
      </c>
      <c r="V306" t="s">
        <v>155</v>
      </c>
    </row>
    <row r="307" spans="1:22">
      <c r="A307">
        <v>402</v>
      </c>
      <c r="B307">
        <v>27635.98046875</v>
      </c>
      <c r="C307" t="s">
        <v>713</v>
      </c>
      <c r="D307">
        <v>8.9359960556030273</v>
      </c>
      <c r="E307" t="s">
        <v>146</v>
      </c>
      <c r="F307" t="s">
        <v>711</v>
      </c>
      <c r="G307" t="s">
        <v>155</v>
      </c>
      <c r="H307" t="s">
        <v>4</v>
      </c>
      <c r="I307">
        <v>1</v>
      </c>
      <c r="J307">
        <v>24366.413390000002</v>
      </c>
      <c r="K307">
        <v>0</v>
      </c>
      <c r="L307">
        <v>24366.413390000002</v>
      </c>
      <c r="M307">
        <v>0</v>
      </c>
      <c r="N307" s="4">
        <f t="shared" si="5"/>
        <v>0.13418335421050642</v>
      </c>
      <c r="P307">
        <v>0</v>
      </c>
      <c r="Q307">
        <v>1</v>
      </c>
      <c r="R307">
        <v>0</v>
      </c>
      <c r="U307" t="s">
        <v>155</v>
      </c>
    </row>
    <row r="308" spans="1:22">
      <c r="A308">
        <v>403</v>
      </c>
      <c r="B308">
        <v>1715.228759765625</v>
      </c>
      <c r="C308" t="s">
        <v>714</v>
      </c>
      <c r="D308">
        <v>4.4883649349212646</v>
      </c>
      <c r="E308" t="s">
        <v>146</v>
      </c>
      <c r="F308" t="s">
        <v>715</v>
      </c>
      <c r="G308" t="s">
        <v>156</v>
      </c>
      <c r="H308" t="s">
        <v>2</v>
      </c>
      <c r="I308">
        <v>4</v>
      </c>
      <c r="J308">
        <v>1618.36</v>
      </c>
      <c r="K308">
        <v>1618.36</v>
      </c>
      <c r="L308">
        <v>0</v>
      </c>
      <c r="M308">
        <v>0</v>
      </c>
      <c r="N308" s="4">
        <f t="shared" si="5"/>
        <v>5.9856125809847782E-2</v>
      </c>
      <c r="P308">
        <v>4</v>
      </c>
      <c r="Q308">
        <v>0</v>
      </c>
      <c r="R308">
        <v>0</v>
      </c>
      <c r="T308" t="s">
        <v>156</v>
      </c>
    </row>
    <row r="309" spans="1:22">
      <c r="A309">
        <v>404</v>
      </c>
      <c r="B309">
        <v>1435.428100585938</v>
      </c>
      <c r="C309" t="s">
        <v>716</v>
      </c>
      <c r="D309">
        <v>4.4883649349212646</v>
      </c>
      <c r="E309" t="s">
        <v>146</v>
      </c>
      <c r="F309" t="s">
        <v>715</v>
      </c>
      <c r="G309" t="s">
        <v>157</v>
      </c>
      <c r="H309" t="s">
        <v>2</v>
      </c>
      <c r="I309">
        <v>4</v>
      </c>
      <c r="J309">
        <v>1344.62</v>
      </c>
      <c r="K309">
        <v>1344.62</v>
      </c>
      <c r="L309">
        <v>0</v>
      </c>
      <c r="M309">
        <v>0</v>
      </c>
      <c r="N309" s="4">
        <f t="shared" si="5"/>
        <v>6.7534396770788874E-2</v>
      </c>
      <c r="P309">
        <v>4</v>
      </c>
      <c r="Q309">
        <v>0</v>
      </c>
      <c r="R309">
        <v>0</v>
      </c>
      <c r="T309" t="s">
        <v>157</v>
      </c>
    </row>
    <row r="310" spans="1:22">
      <c r="A310">
        <v>405</v>
      </c>
      <c r="B310">
        <v>1385.249755859375</v>
      </c>
      <c r="C310" t="s">
        <v>717</v>
      </c>
      <c r="D310">
        <v>4.4883649349212646</v>
      </c>
      <c r="E310" t="s">
        <v>146</v>
      </c>
      <c r="F310" t="s">
        <v>715</v>
      </c>
      <c r="G310" t="s">
        <v>158</v>
      </c>
      <c r="H310" t="s">
        <v>2</v>
      </c>
      <c r="I310">
        <v>4</v>
      </c>
      <c r="J310">
        <v>1291.01</v>
      </c>
      <c r="K310">
        <v>1291.01</v>
      </c>
      <c r="L310">
        <v>0</v>
      </c>
      <c r="M310">
        <v>0</v>
      </c>
      <c r="N310" s="4">
        <f t="shared" si="5"/>
        <v>7.2996921680990035E-2</v>
      </c>
      <c r="P310">
        <v>4</v>
      </c>
      <c r="Q310">
        <v>0</v>
      </c>
      <c r="R310">
        <v>0</v>
      </c>
      <c r="T310" t="s">
        <v>158</v>
      </c>
    </row>
    <row r="311" spans="1:22">
      <c r="A311">
        <v>406</v>
      </c>
      <c r="B311">
        <v>1449.85498046875</v>
      </c>
      <c r="C311" t="s">
        <v>718</v>
      </c>
      <c r="D311">
        <v>4.4883649349212646</v>
      </c>
      <c r="E311" t="s">
        <v>146</v>
      </c>
      <c r="F311" t="s">
        <v>715</v>
      </c>
      <c r="G311" t="s">
        <v>159</v>
      </c>
      <c r="H311" t="s">
        <v>2</v>
      </c>
      <c r="I311">
        <v>4</v>
      </c>
      <c r="J311">
        <v>1365.42</v>
      </c>
      <c r="K311">
        <v>1365.42</v>
      </c>
      <c r="L311">
        <v>0</v>
      </c>
      <c r="M311">
        <v>0</v>
      </c>
      <c r="N311" s="4">
        <f t="shared" si="5"/>
        <v>6.1838101440399251E-2</v>
      </c>
      <c r="P311">
        <v>4</v>
      </c>
      <c r="Q311">
        <v>0</v>
      </c>
      <c r="R311">
        <v>0</v>
      </c>
      <c r="T311" t="s">
        <v>159</v>
      </c>
    </row>
    <row r="312" spans="1:22">
      <c r="A312">
        <v>407</v>
      </c>
      <c r="B312">
        <v>1817.166015625</v>
      </c>
      <c r="C312" t="s">
        <v>719</v>
      </c>
      <c r="D312">
        <v>4.6849820613861084</v>
      </c>
      <c r="E312" t="s">
        <v>146</v>
      </c>
      <c r="F312" t="s">
        <v>715</v>
      </c>
      <c r="G312" t="s">
        <v>156</v>
      </c>
      <c r="H312" t="s">
        <v>3</v>
      </c>
      <c r="I312">
        <v>4</v>
      </c>
      <c r="J312">
        <v>1618.36</v>
      </c>
      <c r="K312">
        <v>0</v>
      </c>
      <c r="L312">
        <v>0</v>
      </c>
      <c r="M312">
        <v>1618.36</v>
      </c>
      <c r="N312" s="4">
        <f t="shared" si="5"/>
        <v>0.12284412344904716</v>
      </c>
      <c r="P312">
        <v>0</v>
      </c>
      <c r="Q312">
        <v>0</v>
      </c>
      <c r="R312">
        <v>4</v>
      </c>
      <c r="V312" t="s">
        <v>156</v>
      </c>
    </row>
    <row r="313" spans="1:22">
      <c r="A313">
        <v>408</v>
      </c>
      <c r="B313">
        <v>1471.28271484375</v>
      </c>
      <c r="C313" t="s">
        <v>720</v>
      </c>
      <c r="D313">
        <v>4.6849820613861084</v>
      </c>
      <c r="E313" t="s">
        <v>146</v>
      </c>
      <c r="F313" t="s">
        <v>715</v>
      </c>
      <c r="G313" t="s">
        <v>157</v>
      </c>
      <c r="H313" t="s">
        <v>3</v>
      </c>
      <c r="I313">
        <v>4</v>
      </c>
      <c r="J313">
        <v>1344.62</v>
      </c>
      <c r="K313">
        <v>0</v>
      </c>
      <c r="L313">
        <v>0</v>
      </c>
      <c r="M313">
        <v>1344.62</v>
      </c>
      <c r="N313" s="4">
        <f t="shared" si="5"/>
        <v>9.4199636212275673E-2</v>
      </c>
      <c r="P313">
        <v>0</v>
      </c>
      <c r="Q313">
        <v>0</v>
      </c>
      <c r="R313">
        <v>4</v>
      </c>
      <c r="V313" t="s">
        <v>157</v>
      </c>
    </row>
    <row r="314" spans="1:22">
      <c r="A314">
        <v>409</v>
      </c>
      <c r="B314">
        <v>1431.66845703125</v>
      </c>
      <c r="C314" t="s">
        <v>721</v>
      </c>
      <c r="D314">
        <v>4.6849820613861084</v>
      </c>
      <c r="E314" t="s">
        <v>146</v>
      </c>
      <c r="F314" t="s">
        <v>715</v>
      </c>
      <c r="G314" t="s">
        <v>158</v>
      </c>
      <c r="H314" t="s">
        <v>3</v>
      </c>
      <c r="I314">
        <v>4</v>
      </c>
      <c r="J314">
        <v>1291.01</v>
      </c>
      <c r="K314">
        <v>0</v>
      </c>
      <c r="L314">
        <v>0</v>
      </c>
      <c r="M314">
        <v>1291.01</v>
      </c>
      <c r="N314" s="4">
        <f t="shared" si="5"/>
        <v>0.10895225988276613</v>
      </c>
      <c r="P314">
        <v>0</v>
      </c>
      <c r="Q314">
        <v>0</v>
      </c>
      <c r="R314">
        <v>4</v>
      </c>
      <c r="V314" t="s">
        <v>158</v>
      </c>
    </row>
    <row r="315" spans="1:22">
      <c r="A315">
        <v>410</v>
      </c>
      <c r="B315">
        <v>1485.707275390625</v>
      </c>
      <c r="C315" t="s">
        <v>722</v>
      </c>
      <c r="D315">
        <v>4.6849820613861084</v>
      </c>
      <c r="E315" t="s">
        <v>146</v>
      </c>
      <c r="F315" t="s">
        <v>715</v>
      </c>
      <c r="G315" t="s">
        <v>159</v>
      </c>
      <c r="H315" t="s">
        <v>3</v>
      </c>
      <c r="I315">
        <v>4</v>
      </c>
      <c r="J315">
        <v>1365.42</v>
      </c>
      <c r="K315">
        <v>0</v>
      </c>
      <c r="L315">
        <v>0</v>
      </c>
      <c r="M315">
        <v>1365.42</v>
      </c>
      <c r="N315" s="4">
        <f t="shared" si="5"/>
        <v>8.8095439784553475E-2</v>
      </c>
      <c r="P315">
        <v>0</v>
      </c>
      <c r="Q315">
        <v>0</v>
      </c>
      <c r="R315">
        <v>4</v>
      </c>
      <c r="V315" t="s">
        <v>159</v>
      </c>
    </row>
    <row r="316" spans="1:22">
      <c r="A316">
        <v>411</v>
      </c>
      <c r="B316">
        <v>1689.562744140625</v>
      </c>
      <c r="C316" t="s">
        <v>723</v>
      </c>
      <c r="D316">
        <v>4.0866899490356454</v>
      </c>
      <c r="E316" t="s">
        <v>146</v>
      </c>
      <c r="F316" t="s">
        <v>715</v>
      </c>
      <c r="G316" t="s">
        <v>156</v>
      </c>
      <c r="H316" t="s">
        <v>4</v>
      </c>
      <c r="I316">
        <v>4</v>
      </c>
      <c r="J316">
        <v>1618.36</v>
      </c>
      <c r="K316">
        <v>0</v>
      </c>
      <c r="L316">
        <v>1618.36</v>
      </c>
      <c r="M316">
        <v>0</v>
      </c>
      <c r="N316" s="4">
        <f t="shared" si="5"/>
        <v>4.3996851220139632E-2</v>
      </c>
      <c r="P316">
        <v>0</v>
      </c>
      <c r="Q316">
        <v>4</v>
      </c>
      <c r="R316">
        <v>0</v>
      </c>
      <c r="U316" t="s">
        <v>156</v>
      </c>
    </row>
    <row r="317" spans="1:22">
      <c r="A317">
        <v>412</v>
      </c>
      <c r="B317">
        <v>1467.897705078125</v>
      </c>
      <c r="C317" t="s">
        <v>724</v>
      </c>
      <c r="D317">
        <v>4.0866899490356454</v>
      </c>
      <c r="E317" t="s">
        <v>146</v>
      </c>
      <c r="F317" t="s">
        <v>715</v>
      </c>
      <c r="G317" t="s">
        <v>157</v>
      </c>
      <c r="H317" t="s">
        <v>4</v>
      </c>
      <c r="I317">
        <v>4</v>
      </c>
      <c r="J317">
        <v>1344.62</v>
      </c>
      <c r="K317">
        <v>0</v>
      </c>
      <c r="L317">
        <v>1344.62</v>
      </c>
      <c r="M317">
        <v>0</v>
      </c>
      <c r="N317" s="4">
        <f t="shared" si="5"/>
        <v>9.1682189078048149E-2</v>
      </c>
      <c r="P317">
        <v>0</v>
      </c>
      <c r="Q317">
        <v>4</v>
      </c>
      <c r="R317">
        <v>0</v>
      </c>
      <c r="U317" t="s">
        <v>157</v>
      </c>
    </row>
    <row r="318" spans="1:22">
      <c r="A318">
        <v>413</v>
      </c>
      <c r="B318">
        <v>1378.84130859375</v>
      </c>
      <c r="C318" t="s">
        <v>725</v>
      </c>
      <c r="D318">
        <v>4.0866899490356454</v>
      </c>
      <c r="E318" t="s">
        <v>146</v>
      </c>
      <c r="F318" t="s">
        <v>715</v>
      </c>
      <c r="G318" t="s">
        <v>158</v>
      </c>
      <c r="H318" t="s">
        <v>4</v>
      </c>
      <c r="I318">
        <v>4</v>
      </c>
      <c r="J318">
        <v>1291.01</v>
      </c>
      <c r="K318">
        <v>0</v>
      </c>
      <c r="L318">
        <v>1291.01</v>
      </c>
      <c r="M318">
        <v>0</v>
      </c>
      <c r="N318" s="4">
        <f t="shared" si="5"/>
        <v>6.803301956898089E-2</v>
      </c>
      <c r="P318">
        <v>0</v>
      </c>
      <c r="Q318">
        <v>4</v>
      </c>
      <c r="R318">
        <v>0</v>
      </c>
      <c r="U318" t="s">
        <v>158</v>
      </c>
    </row>
    <row r="319" spans="1:22">
      <c r="A319">
        <v>414</v>
      </c>
      <c r="B319">
        <v>1476.924194335938</v>
      </c>
      <c r="C319" t="s">
        <v>726</v>
      </c>
      <c r="D319">
        <v>4.0866899490356454</v>
      </c>
      <c r="E319" t="s">
        <v>146</v>
      </c>
      <c r="F319" t="s">
        <v>715</v>
      </c>
      <c r="G319" t="s">
        <v>159</v>
      </c>
      <c r="H319" t="s">
        <v>4</v>
      </c>
      <c r="I319">
        <v>4</v>
      </c>
      <c r="J319">
        <v>1365.42</v>
      </c>
      <c r="K319">
        <v>0</v>
      </c>
      <c r="L319">
        <v>1365.42</v>
      </c>
      <c r="M319">
        <v>0</v>
      </c>
      <c r="N319" s="4">
        <f t="shared" si="5"/>
        <v>8.1662927403976626E-2</v>
      </c>
      <c r="P319">
        <v>0</v>
      </c>
      <c r="Q319">
        <v>4</v>
      </c>
      <c r="R319">
        <v>0</v>
      </c>
      <c r="U319" t="s">
        <v>159</v>
      </c>
    </row>
    <row r="320" spans="1:22">
      <c r="A320">
        <v>415</v>
      </c>
      <c r="B320">
        <v>29020.787109375</v>
      </c>
      <c r="C320" t="s">
        <v>727</v>
      </c>
      <c r="D320">
        <v>3.1529726982116699</v>
      </c>
      <c r="E320" t="s">
        <v>160</v>
      </c>
      <c r="F320" t="s">
        <v>728</v>
      </c>
      <c r="G320" t="s">
        <v>162</v>
      </c>
      <c r="H320" t="s">
        <v>2</v>
      </c>
      <c r="I320">
        <v>2</v>
      </c>
      <c r="J320">
        <v>27591</v>
      </c>
      <c r="K320">
        <v>27591</v>
      </c>
      <c r="L320">
        <v>0</v>
      </c>
      <c r="M320">
        <v>0</v>
      </c>
      <c r="N320" s="4">
        <f t="shared" si="5"/>
        <v>5.1820778854517746E-2</v>
      </c>
      <c r="P320">
        <v>2</v>
      </c>
      <c r="Q320">
        <v>0</v>
      </c>
      <c r="R320">
        <v>0</v>
      </c>
      <c r="T320" t="s">
        <v>162</v>
      </c>
    </row>
    <row r="321" spans="1:22">
      <c r="A321">
        <v>418</v>
      </c>
      <c r="B321">
        <v>29231.0703125</v>
      </c>
      <c r="C321" t="s">
        <v>729</v>
      </c>
      <c r="D321">
        <v>2.5173418521881099</v>
      </c>
      <c r="E321" t="s">
        <v>160</v>
      </c>
      <c r="F321" t="s">
        <v>728</v>
      </c>
      <c r="G321" t="s">
        <v>162</v>
      </c>
      <c r="H321" t="s">
        <v>4</v>
      </c>
      <c r="I321">
        <v>2</v>
      </c>
      <c r="J321">
        <v>27591</v>
      </c>
      <c r="K321">
        <v>0</v>
      </c>
      <c r="L321">
        <v>27591</v>
      </c>
      <c r="M321">
        <v>0</v>
      </c>
      <c r="N321" s="4">
        <f t="shared" si="5"/>
        <v>5.9442220742271124E-2</v>
      </c>
      <c r="P321">
        <v>0</v>
      </c>
      <c r="Q321">
        <v>2</v>
      </c>
      <c r="R321">
        <v>0</v>
      </c>
      <c r="U321" t="s">
        <v>162</v>
      </c>
    </row>
    <row r="322" spans="1:22">
      <c r="A322">
        <v>419</v>
      </c>
      <c r="B322">
        <v>81354.1015625</v>
      </c>
      <c r="C322" t="s">
        <v>730</v>
      </c>
      <c r="D322">
        <v>6.9488761425018311</v>
      </c>
      <c r="E322" t="s">
        <v>160</v>
      </c>
      <c r="F322" t="s">
        <v>731</v>
      </c>
      <c r="G322" t="s">
        <v>161</v>
      </c>
      <c r="H322" t="s">
        <v>2</v>
      </c>
      <c r="I322">
        <v>1</v>
      </c>
      <c r="J322">
        <v>72355</v>
      </c>
      <c r="K322">
        <v>72355</v>
      </c>
      <c r="L322">
        <v>0</v>
      </c>
      <c r="M322">
        <v>0</v>
      </c>
      <c r="N322" s="4">
        <f t="shared" si="5"/>
        <v>0.12437428736783906</v>
      </c>
      <c r="P322">
        <v>1</v>
      </c>
      <c r="Q322">
        <v>0</v>
      </c>
      <c r="R322">
        <v>0</v>
      </c>
      <c r="T322" t="s">
        <v>161</v>
      </c>
    </row>
    <row r="323" spans="1:22">
      <c r="A323">
        <v>420</v>
      </c>
      <c r="B323">
        <v>97125.5078125</v>
      </c>
      <c r="C323" t="s">
        <v>732</v>
      </c>
      <c r="D323">
        <v>5.4303090572357178</v>
      </c>
      <c r="E323" t="s">
        <v>160</v>
      </c>
      <c r="F323" t="s">
        <v>731</v>
      </c>
      <c r="G323" t="s">
        <v>161</v>
      </c>
      <c r="H323" t="s">
        <v>3</v>
      </c>
      <c r="I323">
        <v>1</v>
      </c>
      <c r="J323">
        <v>72355</v>
      </c>
      <c r="K323">
        <v>0</v>
      </c>
      <c r="L323">
        <v>0</v>
      </c>
      <c r="M323">
        <v>72355</v>
      </c>
      <c r="N323" s="4">
        <f t="shared" si="5"/>
        <v>0.34234687046506806</v>
      </c>
      <c r="P323">
        <v>0</v>
      </c>
      <c r="Q323">
        <v>0</v>
      </c>
      <c r="R323">
        <v>1</v>
      </c>
      <c r="V323" t="s">
        <v>161</v>
      </c>
    </row>
    <row r="324" spans="1:22">
      <c r="A324">
        <v>421</v>
      </c>
      <c r="B324">
        <v>88881.3203125</v>
      </c>
      <c r="C324" t="s">
        <v>733</v>
      </c>
      <c r="D324">
        <v>5.5322389602661133</v>
      </c>
      <c r="E324" t="s">
        <v>160</v>
      </c>
      <c r="F324" t="s">
        <v>731</v>
      </c>
      <c r="G324" t="s">
        <v>161</v>
      </c>
      <c r="H324" t="s">
        <v>4</v>
      </c>
      <c r="I324">
        <v>1</v>
      </c>
      <c r="J324">
        <v>72355</v>
      </c>
      <c r="K324">
        <v>0</v>
      </c>
      <c r="L324">
        <v>72355</v>
      </c>
      <c r="M324">
        <v>0</v>
      </c>
      <c r="N324" s="4">
        <f t="shared" si="5"/>
        <v>0.22840605780526579</v>
      </c>
      <c r="P324">
        <v>0</v>
      </c>
      <c r="Q324">
        <v>1</v>
      </c>
      <c r="R324">
        <v>0</v>
      </c>
      <c r="U324" t="s">
        <v>161</v>
      </c>
    </row>
    <row r="325" spans="1:22">
      <c r="A325">
        <v>422</v>
      </c>
      <c r="B325">
        <v>27593.5546875</v>
      </c>
      <c r="C325" t="s">
        <v>734</v>
      </c>
      <c r="D325">
        <v>2.5302269458770752</v>
      </c>
      <c r="E325" t="s">
        <v>160</v>
      </c>
      <c r="F325" t="s">
        <v>735</v>
      </c>
      <c r="G325" t="s">
        <v>163</v>
      </c>
      <c r="H325" t="s">
        <v>2</v>
      </c>
      <c r="I325">
        <v>1</v>
      </c>
      <c r="J325">
        <v>26362</v>
      </c>
      <c r="K325">
        <v>26362</v>
      </c>
      <c r="L325">
        <v>0</v>
      </c>
      <c r="M325">
        <v>0</v>
      </c>
      <c r="N325" s="4">
        <f t="shared" si="5"/>
        <v>4.671704299749635E-2</v>
      </c>
      <c r="P325">
        <v>1</v>
      </c>
      <c r="Q325">
        <v>0</v>
      </c>
      <c r="R325">
        <v>0</v>
      </c>
      <c r="T325" t="s">
        <v>163</v>
      </c>
    </row>
    <row r="326" spans="1:22">
      <c r="A326">
        <v>423</v>
      </c>
      <c r="B326">
        <v>28244.646484375</v>
      </c>
      <c r="C326" t="s">
        <v>736</v>
      </c>
      <c r="D326">
        <v>2.4233298301696782</v>
      </c>
      <c r="E326" t="s">
        <v>160</v>
      </c>
      <c r="F326" t="s">
        <v>735</v>
      </c>
      <c r="G326" t="s">
        <v>163</v>
      </c>
      <c r="H326" t="s">
        <v>3</v>
      </c>
      <c r="I326">
        <v>1</v>
      </c>
      <c r="J326">
        <v>26362</v>
      </c>
      <c r="K326">
        <v>0</v>
      </c>
      <c r="L326">
        <v>0</v>
      </c>
      <c r="M326">
        <v>26362</v>
      </c>
      <c r="N326" s="4">
        <f t="shared" si="5"/>
        <v>7.1415161382861747E-2</v>
      </c>
      <c r="P326">
        <v>0</v>
      </c>
      <c r="Q326">
        <v>0</v>
      </c>
      <c r="R326">
        <v>1</v>
      </c>
      <c r="V326" t="s">
        <v>163</v>
      </c>
    </row>
    <row r="327" spans="1:22">
      <c r="A327">
        <v>424</v>
      </c>
      <c r="B327">
        <v>27805.765625</v>
      </c>
      <c r="C327" t="s">
        <v>737</v>
      </c>
      <c r="D327">
        <v>2.3826777935028081</v>
      </c>
      <c r="E327" t="s">
        <v>160</v>
      </c>
      <c r="F327" t="s">
        <v>735</v>
      </c>
      <c r="G327" t="s">
        <v>163</v>
      </c>
      <c r="H327" t="s">
        <v>4</v>
      </c>
      <c r="I327">
        <v>1</v>
      </c>
      <c r="J327">
        <v>26362</v>
      </c>
      <c r="K327">
        <v>0</v>
      </c>
      <c r="L327">
        <v>26362</v>
      </c>
      <c r="M327">
        <v>0</v>
      </c>
      <c r="N327" s="4">
        <f t="shared" si="5"/>
        <v>5.476692303315378E-2</v>
      </c>
      <c r="P327">
        <v>0</v>
      </c>
      <c r="Q327">
        <v>1</v>
      </c>
      <c r="R327">
        <v>0</v>
      </c>
      <c r="U327" t="s">
        <v>163</v>
      </c>
    </row>
    <row r="328" spans="1:22">
      <c r="A328">
        <v>425</v>
      </c>
      <c r="B328">
        <v>15976.3984375</v>
      </c>
      <c r="C328" t="s">
        <v>738</v>
      </c>
      <c r="D328">
        <v>2.8020603656768799</v>
      </c>
      <c r="E328" t="s">
        <v>160</v>
      </c>
      <c r="F328" t="s">
        <v>739</v>
      </c>
      <c r="G328" t="s">
        <v>164</v>
      </c>
      <c r="H328" t="s">
        <v>2</v>
      </c>
      <c r="I328">
        <v>1</v>
      </c>
      <c r="J328">
        <v>14971</v>
      </c>
      <c r="K328">
        <v>14971</v>
      </c>
      <c r="L328">
        <v>0</v>
      </c>
      <c r="M328">
        <v>0</v>
      </c>
      <c r="N328" s="4">
        <f t="shared" si="5"/>
        <v>6.7156398203192857E-2</v>
      </c>
      <c r="P328">
        <v>1</v>
      </c>
      <c r="Q328">
        <v>0</v>
      </c>
      <c r="R328">
        <v>0</v>
      </c>
      <c r="T328" t="s">
        <v>164</v>
      </c>
    </row>
    <row r="329" spans="1:22">
      <c r="A329">
        <v>426</v>
      </c>
      <c r="B329">
        <v>16103.720703125</v>
      </c>
      <c r="C329" t="s">
        <v>740</v>
      </c>
      <c r="D329">
        <v>2.3583014011383061</v>
      </c>
      <c r="E329" t="s">
        <v>160</v>
      </c>
      <c r="F329" t="s">
        <v>739</v>
      </c>
      <c r="G329" t="s">
        <v>164</v>
      </c>
      <c r="H329" t="s">
        <v>3</v>
      </c>
      <c r="I329">
        <v>1</v>
      </c>
      <c r="J329">
        <v>14971</v>
      </c>
      <c r="K329">
        <v>0</v>
      </c>
      <c r="L329">
        <v>0</v>
      </c>
      <c r="M329">
        <v>14971</v>
      </c>
      <c r="N329" s="4">
        <f t="shared" si="5"/>
        <v>7.5660991458486482E-2</v>
      </c>
      <c r="P329">
        <v>0</v>
      </c>
      <c r="Q329">
        <v>0</v>
      </c>
      <c r="R329">
        <v>1</v>
      </c>
      <c r="V329" t="s">
        <v>164</v>
      </c>
    </row>
    <row r="330" spans="1:22">
      <c r="A330">
        <v>427</v>
      </c>
      <c r="B330">
        <v>15429.1142578125</v>
      </c>
      <c r="C330" t="s">
        <v>741</v>
      </c>
      <c r="D330">
        <v>2.533976554870605</v>
      </c>
      <c r="E330" t="s">
        <v>160</v>
      </c>
      <c r="F330" t="s">
        <v>739</v>
      </c>
      <c r="G330" t="s">
        <v>164</v>
      </c>
      <c r="H330" t="s">
        <v>4</v>
      </c>
      <c r="I330">
        <v>1</v>
      </c>
      <c r="J330">
        <v>14971</v>
      </c>
      <c r="K330">
        <v>0</v>
      </c>
      <c r="L330">
        <v>14971</v>
      </c>
      <c r="M330">
        <v>0</v>
      </c>
      <c r="N330" s="4">
        <f t="shared" si="5"/>
        <v>3.0600110734920749E-2</v>
      </c>
      <c r="P330">
        <v>0</v>
      </c>
      <c r="Q330">
        <v>1</v>
      </c>
      <c r="R330">
        <v>0</v>
      </c>
      <c r="U330" t="s">
        <v>164</v>
      </c>
    </row>
    <row r="331" spans="1:22">
      <c r="A331">
        <v>428</v>
      </c>
      <c r="B331">
        <v>13247.17578125</v>
      </c>
      <c r="C331" t="s">
        <v>742</v>
      </c>
      <c r="D331">
        <v>3.1994597911834721</v>
      </c>
      <c r="E331" t="s">
        <v>160</v>
      </c>
      <c r="F331" t="s">
        <v>743</v>
      </c>
      <c r="G331" t="s">
        <v>165</v>
      </c>
      <c r="H331" t="s">
        <v>2</v>
      </c>
      <c r="I331">
        <v>1</v>
      </c>
      <c r="J331">
        <v>12747</v>
      </c>
      <c r="K331">
        <v>12747</v>
      </c>
      <c r="L331">
        <v>0</v>
      </c>
      <c r="M331">
        <v>0</v>
      </c>
      <c r="N331" s="4">
        <f t="shared" si="5"/>
        <v>3.9238705675845198E-2</v>
      </c>
      <c r="P331">
        <v>1</v>
      </c>
      <c r="Q331">
        <v>0</v>
      </c>
      <c r="R331">
        <v>0</v>
      </c>
      <c r="T331" t="s">
        <v>165</v>
      </c>
    </row>
    <row r="332" spans="1:22">
      <c r="A332">
        <v>429</v>
      </c>
      <c r="B332">
        <v>14899.201171875</v>
      </c>
      <c r="C332" t="s">
        <v>744</v>
      </c>
      <c r="D332">
        <v>2.4981741905212398</v>
      </c>
      <c r="E332" t="s">
        <v>160</v>
      </c>
      <c r="F332" t="s">
        <v>743</v>
      </c>
      <c r="G332" t="s">
        <v>165</v>
      </c>
      <c r="H332" t="s">
        <v>3</v>
      </c>
      <c r="I332">
        <v>1</v>
      </c>
      <c r="J332">
        <v>12747</v>
      </c>
      <c r="K332">
        <v>0</v>
      </c>
      <c r="L332">
        <v>0</v>
      </c>
      <c r="M332">
        <v>12747</v>
      </c>
      <c r="N332" s="4">
        <f t="shared" si="5"/>
        <v>0.16883981892798317</v>
      </c>
      <c r="P332">
        <v>0</v>
      </c>
      <c r="Q332">
        <v>0</v>
      </c>
      <c r="R332">
        <v>1</v>
      </c>
      <c r="V332" t="s">
        <v>165</v>
      </c>
    </row>
    <row r="333" spans="1:22">
      <c r="A333">
        <v>430</v>
      </c>
      <c r="B333">
        <v>13669.05859375</v>
      </c>
      <c r="C333" t="s">
        <v>745</v>
      </c>
      <c r="D333">
        <v>2.54282546043396</v>
      </c>
      <c r="E333" t="s">
        <v>160</v>
      </c>
      <c r="F333" t="s">
        <v>743</v>
      </c>
      <c r="G333" t="s">
        <v>165</v>
      </c>
      <c r="H333" t="s">
        <v>4</v>
      </c>
      <c r="I333">
        <v>1</v>
      </c>
      <c r="J333">
        <v>12747</v>
      </c>
      <c r="K333">
        <v>0</v>
      </c>
      <c r="L333">
        <v>12747</v>
      </c>
      <c r="M333">
        <v>0</v>
      </c>
      <c r="N333" s="4">
        <f t="shared" si="5"/>
        <v>7.2335341158703992E-2</v>
      </c>
      <c r="P333">
        <v>0</v>
      </c>
      <c r="Q333">
        <v>1</v>
      </c>
      <c r="R333">
        <v>0</v>
      </c>
      <c r="U333" t="s">
        <v>165</v>
      </c>
    </row>
    <row r="334" spans="1:22">
      <c r="A334">
        <v>431</v>
      </c>
      <c r="B334">
        <v>14186.419921875</v>
      </c>
      <c r="C334" t="s">
        <v>746</v>
      </c>
      <c r="D334">
        <v>3.5214982032775879</v>
      </c>
      <c r="E334" t="s">
        <v>160</v>
      </c>
      <c r="F334" t="s">
        <v>747</v>
      </c>
      <c r="G334" t="s">
        <v>166</v>
      </c>
      <c r="H334" t="s">
        <v>2</v>
      </c>
      <c r="I334">
        <v>1</v>
      </c>
      <c r="J334">
        <v>13332</v>
      </c>
      <c r="K334">
        <v>13332</v>
      </c>
      <c r="L334">
        <v>0</v>
      </c>
      <c r="M334">
        <v>0</v>
      </c>
      <c r="N334" s="4">
        <f t="shared" si="5"/>
        <v>6.4087902930918039E-2</v>
      </c>
      <c r="P334">
        <v>1</v>
      </c>
      <c r="Q334">
        <v>0</v>
      </c>
      <c r="R334">
        <v>0</v>
      </c>
      <c r="T334" t="s">
        <v>166</v>
      </c>
    </row>
    <row r="335" spans="1:22">
      <c r="A335">
        <v>432</v>
      </c>
      <c r="B335">
        <v>14154.4169921875</v>
      </c>
      <c r="C335" t="s">
        <v>748</v>
      </c>
      <c r="D335">
        <v>2.516220331192017</v>
      </c>
      <c r="E335" t="s">
        <v>160</v>
      </c>
      <c r="F335" t="s">
        <v>747</v>
      </c>
      <c r="G335" t="s">
        <v>166</v>
      </c>
      <c r="H335" t="s">
        <v>3</v>
      </c>
      <c r="I335">
        <v>1</v>
      </c>
      <c r="J335">
        <v>13332</v>
      </c>
      <c r="K335">
        <v>0</v>
      </c>
      <c r="L335">
        <v>0</v>
      </c>
      <c r="M335">
        <v>13332</v>
      </c>
      <c r="N335" s="4">
        <f t="shared" si="5"/>
        <v>6.1687443158378263E-2</v>
      </c>
      <c r="P335">
        <v>0</v>
      </c>
      <c r="Q335">
        <v>0</v>
      </c>
      <c r="R335">
        <v>1</v>
      </c>
      <c r="V335" t="s">
        <v>166</v>
      </c>
    </row>
    <row r="336" spans="1:22">
      <c r="A336">
        <v>433</v>
      </c>
      <c r="B336">
        <v>14056.76171875</v>
      </c>
      <c r="C336" t="s">
        <v>749</v>
      </c>
      <c r="D336">
        <v>3.1284632682800289</v>
      </c>
      <c r="E336" t="s">
        <v>160</v>
      </c>
      <c r="F336" t="s">
        <v>747</v>
      </c>
      <c r="G336" t="s">
        <v>166</v>
      </c>
      <c r="H336" t="s">
        <v>4</v>
      </c>
      <c r="I336">
        <v>1</v>
      </c>
      <c r="J336">
        <v>13332</v>
      </c>
      <c r="K336">
        <v>0</v>
      </c>
      <c r="L336">
        <v>13332</v>
      </c>
      <c r="M336">
        <v>0</v>
      </c>
      <c r="N336" s="4">
        <f t="shared" si="5"/>
        <v>5.4362565162766385E-2</v>
      </c>
      <c r="P336">
        <v>0</v>
      </c>
      <c r="Q336">
        <v>1</v>
      </c>
      <c r="R336">
        <v>0</v>
      </c>
      <c r="U336" t="s">
        <v>166</v>
      </c>
    </row>
    <row r="337" spans="1:22">
      <c r="A337">
        <v>434</v>
      </c>
      <c r="B337">
        <v>59793.765625</v>
      </c>
      <c r="C337" t="s">
        <v>750</v>
      </c>
      <c r="D337">
        <v>2.865599393844604</v>
      </c>
      <c r="E337" t="s">
        <v>160</v>
      </c>
      <c r="F337" t="s">
        <v>751</v>
      </c>
      <c r="G337" t="s">
        <v>167</v>
      </c>
      <c r="H337" t="s">
        <v>2</v>
      </c>
      <c r="I337">
        <v>1</v>
      </c>
      <c r="J337">
        <v>55539</v>
      </c>
      <c r="K337">
        <v>55539</v>
      </c>
      <c r="L337">
        <v>0</v>
      </c>
      <c r="M337">
        <v>0</v>
      </c>
      <c r="N337" s="4">
        <f t="shared" si="5"/>
        <v>7.6608610615963579E-2</v>
      </c>
      <c r="P337">
        <v>1</v>
      </c>
      <c r="Q337">
        <v>0</v>
      </c>
      <c r="R337">
        <v>0</v>
      </c>
      <c r="T337" t="s">
        <v>167</v>
      </c>
    </row>
    <row r="338" spans="1:22">
      <c r="A338">
        <v>435</v>
      </c>
      <c r="B338">
        <v>58724.6640625</v>
      </c>
      <c r="C338" t="s">
        <v>752</v>
      </c>
      <c r="D338">
        <v>2.6921813488006592</v>
      </c>
      <c r="E338" t="s">
        <v>160</v>
      </c>
      <c r="F338" t="s">
        <v>751</v>
      </c>
      <c r="G338" t="s">
        <v>167</v>
      </c>
      <c r="H338" t="s">
        <v>3</v>
      </c>
      <c r="I338">
        <v>1</v>
      </c>
      <c r="J338">
        <v>55539</v>
      </c>
      <c r="K338">
        <v>0</v>
      </c>
      <c r="L338">
        <v>0</v>
      </c>
      <c r="M338">
        <v>55539</v>
      </c>
      <c r="N338" s="4">
        <f t="shared" si="5"/>
        <v>5.7359046120744051E-2</v>
      </c>
      <c r="P338">
        <v>0</v>
      </c>
      <c r="Q338">
        <v>0</v>
      </c>
      <c r="R338">
        <v>1</v>
      </c>
      <c r="V338" t="s">
        <v>167</v>
      </c>
    </row>
    <row r="339" spans="1:22">
      <c r="A339">
        <v>436</v>
      </c>
      <c r="B339">
        <v>59310.7578125</v>
      </c>
      <c r="C339" t="s">
        <v>753</v>
      </c>
      <c r="D339">
        <v>3.2816932201385498</v>
      </c>
      <c r="E339" t="s">
        <v>160</v>
      </c>
      <c r="F339" t="s">
        <v>751</v>
      </c>
      <c r="G339" t="s">
        <v>167</v>
      </c>
      <c r="H339" t="s">
        <v>4</v>
      </c>
      <c r="I339">
        <v>1</v>
      </c>
      <c r="J339">
        <v>55539</v>
      </c>
      <c r="K339">
        <v>0</v>
      </c>
      <c r="L339">
        <v>55539</v>
      </c>
      <c r="M339">
        <v>0</v>
      </c>
      <c r="N339" s="4">
        <f t="shared" si="5"/>
        <v>6.7911878364752765E-2</v>
      </c>
      <c r="P339">
        <v>0</v>
      </c>
      <c r="Q339">
        <v>1</v>
      </c>
      <c r="R339">
        <v>0</v>
      </c>
      <c r="U339" t="s">
        <v>167</v>
      </c>
    </row>
    <row r="340" spans="1:22">
      <c r="A340">
        <v>437</v>
      </c>
      <c r="B340">
        <v>30175.271484375</v>
      </c>
      <c r="C340" t="s">
        <v>754</v>
      </c>
      <c r="D340">
        <v>2.7600972652435298</v>
      </c>
      <c r="E340" t="s">
        <v>160</v>
      </c>
      <c r="F340" t="s">
        <v>755</v>
      </c>
      <c r="G340" t="s">
        <v>168</v>
      </c>
      <c r="H340" t="s">
        <v>2</v>
      </c>
      <c r="I340">
        <v>1</v>
      </c>
      <c r="J340">
        <v>28940</v>
      </c>
      <c r="K340">
        <v>28940</v>
      </c>
      <c r="L340">
        <v>0</v>
      </c>
      <c r="M340">
        <v>0</v>
      </c>
      <c r="N340" s="4">
        <f t="shared" si="5"/>
        <v>4.2683879902384314E-2</v>
      </c>
      <c r="P340">
        <v>1</v>
      </c>
      <c r="Q340">
        <v>0</v>
      </c>
      <c r="R340">
        <v>0</v>
      </c>
      <c r="T340" t="s">
        <v>168</v>
      </c>
    </row>
    <row r="341" spans="1:22">
      <c r="A341">
        <v>438</v>
      </c>
      <c r="B341">
        <v>31783.1015625</v>
      </c>
      <c r="C341" t="s">
        <v>756</v>
      </c>
      <c r="D341">
        <v>2.7846698760986328</v>
      </c>
      <c r="E341" t="s">
        <v>160</v>
      </c>
      <c r="F341" t="s">
        <v>755</v>
      </c>
      <c r="G341" t="s">
        <v>168</v>
      </c>
      <c r="H341" t="s">
        <v>3</v>
      </c>
      <c r="I341">
        <v>1</v>
      </c>
      <c r="J341">
        <v>28940</v>
      </c>
      <c r="K341">
        <v>0</v>
      </c>
      <c r="L341">
        <v>0</v>
      </c>
      <c r="M341">
        <v>28940</v>
      </c>
      <c r="N341" s="4">
        <f t="shared" si="5"/>
        <v>9.8241242657221894E-2</v>
      </c>
      <c r="P341">
        <v>0</v>
      </c>
      <c r="Q341">
        <v>0</v>
      </c>
      <c r="R341">
        <v>1</v>
      </c>
      <c r="V341" t="s">
        <v>168</v>
      </c>
    </row>
    <row r="342" spans="1:22">
      <c r="A342">
        <v>439</v>
      </c>
      <c r="B342">
        <v>30990.43359375</v>
      </c>
      <c r="C342" t="s">
        <v>757</v>
      </c>
      <c r="D342">
        <v>2.9598910808563228</v>
      </c>
      <c r="E342" t="s">
        <v>160</v>
      </c>
      <c r="F342" t="s">
        <v>755</v>
      </c>
      <c r="G342" t="s">
        <v>168</v>
      </c>
      <c r="H342" t="s">
        <v>4</v>
      </c>
      <c r="I342">
        <v>1</v>
      </c>
      <c r="J342">
        <v>28940</v>
      </c>
      <c r="K342">
        <v>0</v>
      </c>
      <c r="L342">
        <v>28940</v>
      </c>
      <c r="M342">
        <v>0</v>
      </c>
      <c r="N342" s="4">
        <f t="shared" si="5"/>
        <v>7.0851195361091968E-2</v>
      </c>
      <c r="P342">
        <v>0</v>
      </c>
      <c r="Q342">
        <v>1</v>
      </c>
      <c r="R342">
        <v>0</v>
      </c>
      <c r="U342" t="s">
        <v>168</v>
      </c>
    </row>
    <row r="343" spans="1:22">
      <c r="A343">
        <v>440</v>
      </c>
      <c r="B343">
        <v>13229.8876953125</v>
      </c>
      <c r="C343" t="s">
        <v>758</v>
      </c>
      <c r="D343">
        <v>2.883750438690186</v>
      </c>
      <c r="E343" t="s">
        <v>160</v>
      </c>
      <c r="F343" t="s">
        <v>759</v>
      </c>
      <c r="G343" t="s">
        <v>169</v>
      </c>
      <c r="H343" t="s">
        <v>2</v>
      </c>
      <c r="I343">
        <v>1</v>
      </c>
      <c r="J343">
        <v>10916</v>
      </c>
      <c r="K343">
        <v>10916</v>
      </c>
      <c r="L343">
        <v>0</v>
      </c>
      <c r="M343">
        <v>0</v>
      </c>
      <c r="N343" s="4">
        <f t="shared" si="5"/>
        <v>0.21197212305904167</v>
      </c>
      <c r="P343">
        <v>1</v>
      </c>
      <c r="Q343">
        <v>0</v>
      </c>
      <c r="R343">
        <v>0</v>
      </c>
      <c r="T343" t="s">
        <v>169</v>
      </c>
    </row>
    <row r="344" spans="1:22">
      <c r="A344">
        <v>441</v>
      </c>
      <c r="B344">
        <v>12742.4970703125</v>
      </c>
      <c r="C344" t="s">
        <v>760</v>
      </c>
      <c r="D344">
        <v>2.4842700958251949</v>
      </c>
      <c r="E344" t="s">
        <v>160</v>
      </c>
      <c r="F344" t="s">
        <v>759</v>
      </c>
      <c r="G344" t="s">
        <v>169</v>
      </c>
      <c r="H344" t="s">
        <v>3</v>
      </c>
      <c r="I344">
        <v>1</v>
      </c>
      <c r="J344">
        <v>10916</v>
      </c>
      <c r="K344">
        <v>0</v>
      </c>
      <c r="L344">
        <v>0</v>
      </c>
      <c r="M344">
        <v>10916</v>
      </c>
      <c r="N344" s="4">
        <f t="shared" si="5"/>
        <v>0.16732292692492678</v>
      </c>
      <c r="P344">
        <v>0</v>
      </c>
      <c r="Q344">
        <v>0</v>
      </c>
      <c r="R344">
        <v>1</v>
      </c>
      <c r="V344" t="s">
        <v>169</v>
      </c>
    </row>
    <row r="345" spans="1:22">
      <c r="A345">
        <v>442</v>
      </c>
      <c r="B345">
        <v>12405.9921875</v>
      </c>
      <c r="C345" t="s">
        <v>761</v>
      </c>
      <c r="D345">
        <v>2.9907104969024658</v>
      </c>
      <c r="E345" t="s">
        <v>160</v>
      </c>
      <c r="F345" t="s">
        <v>759</v>
      </c>
      <c r="G345" t="s">
        <v>169</v>
      </c>
      <c r="H345" t="s">
        <v>4</v>
      </c>
      <c r="I345">
        <v>1</v>
      </c>
      <c r="J345">
        <v>10916</v>
      </c>
      <c r="K345">
        <v>0</v>
      </c>
      <c r="L345">
        <v>10916</v>
      </c>
      <c r="M345">
        <v>0</v>
      </c>
      <c r="N345" s="4">
        <f t="shared" si="5"/>
        <v>0.13649616961341149</v>
      </c>
      <c r="P345">
        <v>0</v>
      </c>
      <c r="Q345">
        <v>1</v>
      </c>
      <c r="R345">
        <v>0</v>
      </c>
      <c r="U345" t="s">
        <v>169</v>
      </c>
    </row>
    <row r="346" spans="1:22">
      <c r="A346">
        <v>443</v>
      </c>
      <c r="B346">
        <v>13910.177734375</v>
      </c>
      <c r="C346" t="s">
        <v>762</v>
      </c>
      <c r="D346">
        <v>2.9841830730438228</v>
      </c>
      <c r="E346" t="s">
        <v>160</v>
      </c>
      <c r="F346" t="s">
        <v>763</v>
      </c>
      <c r="G346" t="s">
        <v>170</v>
      </c>
      <c r="H346" t="s">
        <v>2</v>
      </c>
      <c r="I346">
        <v>1</v>
      </c>
      <c r="J346">
        <v>13590</v>
      </c>
      <c r="K346">
        <v>13590</v>
      </c>
      <c r="L346">
        <v>0</v>
      </c>
      <c r="M346">
        <v>0</v>
      </c>
      <c r="N346" s="4">
        <f t="shared" si="5"/>
        <v>2.3559803853936634E-2</v>
      </c>
      <c r="P346">
        <v>1</v>
      </c>
      <c r="Q346">
        <v>0</v>
      </c>
      <c r="R346">
        <v>0</v>
      </c>
      <c r="T346" t="s">
        <v>170</v>
      </c>
    </row>
    <row r="347" spans="1:22">
      <c r="A347">
        <v>444</v>
      </c>
      <c r="B347">
        <v>15305.93359375</v>
      </c>
      <c r="C347" t="s">
        <v>764</v>
      </c>
      <c r="D347">
        <v>2.4199271202087398</v>
      </c>
      <c r="E347" t="s">
        <v>160</v>
      </c>
      <c r="F347" t="s">
        <v>763</v>
      </c>
      <c r="G347" t="s">
        <v>170</v>
      </c>
      <c r="H347" t="s">
        <v>3</v>
      </c>
      <c r="I347">
        <v>1</v>
      </c>
      <c r="J347">
        <v>13590</v>
      </c>
      <c r="K347">
        <v>0</v>
      </c>
      <c r="L347">
        <v>0</v>
      </c>
      <c r="M347">
        <v>13590</v>
      </c>
      <c r="N347" s="4">
        <f t="shared" si="5"/>
        <v>0.12626442926784409</v>
      </c>
      <c r="P347">
        <v>0</v>
      </c>
      <c r="Q347">
        <v>0</v>
      </c>
      <c r="R347">
        <v>1</v>
      </c>
      <c r="V347" t="s">
        <v>170</v>
      </c>
    </row>
    <row r="348" spans="1:22">
      <c r="A348">
        <v>445</v>
      </c>
      <c r="B348">
        <v>14265.3125</v>
      </c>
      <c r="C348" t="s">
        <v>765</v>
      </c>
      <c r="D348">
        <v>2.835187435150146</v>
      </c>
      <c r="E348" t="s">
        <v>160</v>
      </c>
      <c r="F348" t="s">
        <v>763</v>
      </c>
      <c r="G348" t="s">
        <v>170</v>
      </c>
      <c r="H348" t="s">
        <v>4</v>
      </c>
      <c r="I348">
        <v>1</v>
      </c>
      <c r="J348">
        <v>13590</v>
      </c>
      <c r="K348">
        <v>0</v>
      </c>
      <c r="L348">
        <v>13590</v>
      </c>
      <c r="M348">
        <v>0</v>
      </c>
      <c r="N348" s="4">
        <f t="shared" si="5"/>
        <v>4.9691869021339263E-2</v>
      </c>
      <c r="P348">
        <v>0</v>
      </c>
      <c r="Q348">
        <v>1</v>
      </c>
      <c r="R348">
        <v>0</v>
      </c>
      <c r="U348" t="s">
        <v>170</v>
      </c>
    </row>
    <row r="349" spans="1:22">
      <c r="A349">
        <v>446</v>
      </c>
      <c r="B349">
        <v>16761.017578125</v>
      </c>
      <c r="C349" t="s">
        <v>766</v>
      </c>
      <c r="D349">
        <v>2.7659306526184082</v>
      </c>
      <c r="E349" t="s">
        <v>160</v>
      </c>
      <c r="F349" t="s">
        <v>767</v>
      </c>
      <c r="G349" t="s">
        <v>171</v>
      </c>
      <c r="H349" t="s">
        <v>2</v>
      </c>
      <c r="I349">
        <v>1</v>
      </c>
      <c r="J349">
        <v>15700</v>
      </c>
      <c r="K349">
        <v>15700</v>
      </c>
      <c r="L349">
        <v>0</v>
      </c>
      <c r="M349">
        <v>0</v>
      </c>
      <c r="N349" s="4">
        <f t="shared" si="5"/>
        <v>6.7580737460191109E-2</v>
      </c>
      <c r="P349">
        <v>1</v>
      </c>
      <c r="Q349">
        <v>0</v>
      </c>
      <c r="R349">
        <v>0</v>
      </c>
      <c r="T349" t="s">
        <v>171</v>
      </c>
    </row>
    <row r="350" spans="1:22">
      <c r="A350">
        <v>447</v>
      </c>
      <c r="B350">
        <v>17343.8125</v>
      </c>
      <c r="C350" t="s">
        <v>768</v>
      </c>
      <c r="D350">
        <v>2.5166878700256352</v>
      </c>
      <c r="E350" t="s">
        <v>160</v>
      </c>
      <c r="F350" t="s">
        <v>767</v>
      </c>
      <c r="G350" t="s">
        <v>171</v>
      </c>
      <c r="H350" t="s">
        <v>3</v>
      </c>
      <c r="I350">
        <v>1</v>
      </c>
      <c r="J350">
        <v>15700</v>
      </c>
      <c r="K350">
        <v>0</v>
      </c>
      <c r="L350">
        <v>0</v>
      </c>
      <c r="M350">
        <v>15700</v>
      </c>
      <c r="N350" s="4">
        <f t="shared" si="5"/>
        <v>0.10470143312101921</v>
      </c>
      <c r="P350">
        <v>0</v>
      </c>
      <c r="Q350">
        <v>0</v>
      </c>
      <c r="R350">
        <v>1</v>
      </c>
      <c r="V350" t="s">
        <v>171</v>
      </c>
    </row>
    <row r="351" spans="1:22">
      <c r="A351">
        <v>448</v>
      </c>
      <c r="B351">
        <v>16976.44140625</v>
      </c>
      <c r="C351" t="s">
        <v>769</v>
      </c>
      <c r="D351">
        <v>3.0653338432312012</v>
      </c>
      <c r="E351" t="s">
        <v>160</v>
      </c>
      <c r="F351" t="s">
        <v>767</v>
      </c>
      <c r="G351" t="s">
        <v>171</v>
      </c>
      <c r="H351" t="s">
        <v>4</v>
      </c>
      <c r="I351">
        <v>1</v>
      </c>
      <c r="J351">
        <v>15700</v>
      </c>
      <c r="K351">
        <v>0</v>
      </c>
      <c r="L351">
        <v>15700</v>
      </c>
      <c r="M351">
        <v>0</v>
      </c>
      <c r="N351" s="4">
        <f t="shared" si="5"/>
        <v>8.1302000398089103E-2</v>
      </c>
      <c r="P351">
        <v>0</v>
      </c>
      <c r="Q351">
        <v>1</v>
      </c>
      <c r="R351">
        <v>0</v>
      </c>
      <c r="U351" t="s">
        <v>171</v>
      </c>
    </row>
    <row r="352" spans="1:22">
      <c r="A352">
        <v>449</v>
      </c>
      <c r="B352">
        <v>46232.359375</v>
      </c>
      <c r="C352" t="s">
        <v>770</v>
      </c>
      <c r="D352">
        <v>3.0473871231079102</v>
      </c>
      <c r="E352" t="s">
        <v>160</v>
      </c>
      <c r="F352" t="s">
        <v>771</v>
      </c>
      <c r="G352" t="s">
        <v>172</v>
      </c>
      <c r="H352" t="s">
        <v>2</v>
      </c>
      <c r="I352">
        <v>1</v>
      </c>
      <c r="J352">
        <v>43448</v>
      </c>
      <c r="K352">
        <v>43448</v>
      </c>
      <c r="L352">
        <v>0</v>
      </c>
      <c r="M352">
        <v>0</v>
      </c>
      <c r="N352" s="4">
        <f t="shared" si="5"/>
        <v>6.4084868693610852E-2</v>
      </c>
      <c r="P352">
        <v>1</v>
      </c>
      <c r="Q352">
        <v>0</v>
      </c>
      <c r="R352">
        <v>0</v>
      </c>
      <c r="T352" t="s">
        <v>172</v>
      </c>
    </row>
    <row r="353" spans="1:22">
      <c r="A353">
        <v>450</v>
      </c>
      <c r="B353">
        <v>47361.75</v>
      </c>
      <c r="C353" t="s">
        <v>772</v>
      </c>
      <c r="D353">
        <v>2.976193904876709</v>
      </c>
      <c r="E353" t="s">
        <v>160</v>
      </c>
      <c r="F353" t="s">
        <v>771</v>
      </c>
      <c r="G353" t="s">
        <v>172</v>
      </c>
      <c r="H353" t="s">
        <v>3</v>
      </c>
      <c r="I353">
        <v>1</v>
      </c>
      <c r="J353">
        <v>43448</v>
      </c>
      <c r="K353">
        <v>0</v>
      </c>
      <c r="L353">
        <v>0</v>
      </c>
      <c r="M353">
        <v>43448</v>
      </c>
      <c r="N353" s="4">
        <f t="shared" si="5"/>
        <v>9.0078944945682249E-2</v>
      </c>
      <c r="P353">
        <v>0</v>
      </c>
      <c r="Q353">
        <v>0</v>
      </c>
      <c r="R353">
        <v>1</v>
      </c>
      <c r="V353" t="s">
        <v>172</v>
      </c>
    </row>
    <row r="354" spans="1:22">
      <c r="A354">
        <v>451</v>
      </c>
      <c r="B354">
        <v>46901.234375</v>
      </c>
      <c r="C354" t="s">
        <v>773</v>
      </c>
      <c r="D354">
        <v>3.4172646999359131</v>
      </c>
      <c r="E354" t="s">
        <v>160</v>
      </c>
      <c r="F354" t="s">
        <v>771</v>
      </c>
      <c r="G354" t="s">
        <v>172</v>
      </c>
      <c r="H354" t="s">
        <v>4</v>
      </c>
      <c r="I354">
        <v>1</v>
      </c>
      <c r="J354">
        <v>43448</v>
      </c>
      <c r="K354">
        <v>0</v>
      </c>
      <c r="L354">
        <v>43448</v>
      </c>
      <c r="M354">
        <v>0</v>
      </c>
      <c r="N354" s="4">
        <f t="shared" ref="N354:N417" si="6">IFERROR(B354/J354-1,"")</f>
        <v>7.9479708502117496E-2</v>
      </c>
      <c r="P354">
        <v>0</v>
      </c>
      <c r="Q354">
        <v>1</v>
      </c>
      <c r="R354">
        <v>0</v>
      </c>
      <c r="U354" t="s">
        <v>172</v>
      </c>
    </row>
    <row r="355" spans="1:22">
      <c r="A355">
        <v>452</v>
      </c>
      <c r="B355">
        <v>24493.896484375</v>
      </c>
      <c r="C355" t="s">
        <v>774</v>
      </c>
      <c r="D355">
        <v>3.177170991897583</v>
      </c>
      <c r="E355" t="s">
        <v>160</v>
      </c>
      <c r="F355" t="s">
        <v>775</v>
      </c>
      <c r="G355" t="s">
        <v>173</v>
      </c>
      <c r="H355" t="s">
        <v>2</v>
      </c>
      <c r="I355">
        <v>1</v>
      </c>
      <c r="J355">
        <v>21220</v>
      </c>
      <c r="K355">
        <v>21220</v>
      </c>
      <c r="L355">
        <v>0</v>
      </c>
      <c r="M355">
        <v>0</v>
      </c>
      <c r="N355" s="4">
        <f t="shared" si="6"/>
        <v>0.15428352895263897</v>
      </c>
      <c r="P355">
        <v>1</v>
      </c>
      <c r="Q355">
        <v>0</v>
      </c>
      <c r="R355">
        <v>0</v>
      </c>
      <c r="T355" t="s">
        <v>173</v>
      </c>
    </row>
    <row r="356" spans="1:22">
      <c r="A356">
        <v>453</v>
      </c>
      <c r="B356">
        <v>24713.677734375</v>
      </c>
      <c r="C356" t="s">
        <v>776</v>
      </c>
      <c r="D356">
        <v>2.84531569480896</v>
      </c>
      <c r="E356" t="s">
        <v>160</v>
      </c>
      <c r="F356" t="s">
        <v>775</v>
      </c>
      <c r="G356" t="s">
        <v>173</v>
      </c>
      <c r="H356" t="s">
        <v>3</v>
      </c>
      <c r="I356">
        <v>1</v>
      </c>
      <c r="J356">
        <v>21220</v>
      </c>
      <c r="K356">
        <v>0</v>
      </c>
      <c r="L356">
        <v>0</v>
      </c>
      <c r="M356">
        <v>21220</v>
      </c>
      <c r="N356" s="4">
        <f t="shared" si="6"/>
        <v>0.16464079803840725</v>
      </c>
      <c r="P356">
        <v>0</v>
      </c>
      <c r="Q356">
        <v>0</v>
      </c>
      <c r="R356">
        <v>1</v>
      </c>
      <c r="V356" t="s">
        <v>173</v>
      </c>
    </row>
    <row r="357" spans="1:22">
      <c r="A357">
        <v>454</v>
      </c>
      <c r="B357">
        <v>23904.703125</v>
      </c>
      <c r="C357" t="s">
        <v>777</v>
      </c>
      <c r="D357">
        <v>2.9758915901184082</v>
      </c>
      <c r="E357" t="s">
        <v>160</v>
      </c>
      <c r="F357" t="s">
        <v>775</v>
      </c>
      <c r="G357" t="s">
        <v>173</v>
      </c>
      <c r="H357" t="s">
        <v>4</v>
      </c>
      <c r="I357">
        <v>1</v>
      </c>
      <c r="J357">
        <v>21220</v>
      </c>
      <c r="K357">
        <v>0</v>
      </c>
      <c r="L357">
        <v>21220</v>
      </c>
      <c r="M357">
        <v>0</v>
      </c>
      <c r="N357" s="4">
        <f t="shared" si="6"/>
        <v>0.12651758364750232</v>
      </c>
      <c r="P357">
        <v>0</v>
      </c>
      <c r="Q357">
        <v>1</v>
      </c>
      <c r="R357">
        <v>0</v>
      </c>
      <c r="U357" t="s">
        <v>173</v>
      </c>
    </row>
    <row r="358" spans="1:22">
      <c r="A358">
        <v>455</v>
      </c>
      <c r="B358">
        <v>17561.91015625</v>
      </c>
      <c r="C358" t="s">
        <v>778</v>
      </c>
      <c r="D358">
        <v>2.8514387607574458</v>
      </c>
      <c r="E358" t="s">
        <v>160</v>
      </c>
      <c r="F358" t="s">
        <v>779</v>
      </c>
      <c r="G358" t="s">
        <v>174</v>
      </c>
      <c r="H358" t="s">
        <v>2</v>
      </c>
      <c r="I358">
        <v>1</v>
      </c>
      <c r="J358">
        <v>16876</v>
      </c>
      <c r="K358">
        <v>16876</v>
      </c>
      <c r="L358">
        <v>0</v>
      </c>
      <c r="M358">
        <v>0</v>
      </c>
      <c r="N358" s="4">
        <f t="shared" si="6"/>
        <v>4.064411923737854E-2</v>
      </c>
      <c r="P358">
        <v>1</v>
      </c>
      <c r="Q358">
        <v>0</v>
      </c>
      <c r="R358">
        <v>0</v>
      </c>
      <c r="T358" t="s">
        <v>174</v>
      </c>
    </row>
    <row r="359" spans="1:22">
      <c r="A359">
        <v>456</v>
      </c>
      <c r="B359">
        <v>17968.98828125</v>
      </c>
      <c r="C359" t="s">
        <v>780</v>
      </c>
      <c r="D359">
        <v>3.6104526519775391</v>
      </c>
      <c r="E359" t="s">
        <v>160</v>
      </c>
      <c r="F359" t="s">
        <v>779</v>
      </c>
      <c r="G359" t="s">
        <v>174</v>
      </c>
      <c r="H359" t="s">
        <v>3</v>
      </c>
      <c r="I359">
        <v>1</v>
      </c>
      <c r="J359">
        <v>16876</v>
      </c>
      <c r="K359">
        <v>0</v>
      </c>
      <c r="L359">
        <v>0</v>
      </c>
      <c r="M359">
        <v>16876</v>
      </c>
      <c r="N359" s="4">
        <f t="shared" si="6"/>
        <v>6.4765837950343741E-2</v>
      </c>
      <c r="P359">
        <v>0</v>
      </c>
      <c r="Q359">
        <v>0</v>
      </c>
      <c r="R359">
        <v>1</v>
      </c>
      <c r="V359" t="s">
        <v>174</v>
      </c>
    </row>
    <row r="360" spans="1:22">
      <c r="A360">
        <v>457</v>
      </c>
      <c r="B360">
        <v>18465.376953125</v>
      </c>
      <c r="C360" t="s">
        <v>781</v>
      </c>
      <c r="D360">
        <v>2.9412028789520259</v>
      </c>
      <c r="E360" t="s">
        <v>160</v>
      </c>
      <c r="F360" t="s">
        <v>779</v>
      </c>
      <c r="G360" t="s">
        <v>174</v>
      </c>
      <c r="H360" t="s">
        <v>4</v>
      </c>
      <c r="I360">
        <v>1</v>
      </c>
      <c r="J360">
        <v>16876</v>
      </c>
      <c r="K360">
        <v>0</v>
      </c>
      <c r="L360">
        <v>16876</v>
      </c>
      <c r="M360">
        <v>0</v>
      </c>
      <c r="N360" s="4">
        <f t="shared" si="6"/>
        <v>9.4179719905487014E-2</v>
      </c>
      <c r="P360">
        <v>0</v>
      </c>
      <c r="Q360">
        <v>1</v>
      </c>
      <c r="R360">
        <v>0</v>
      </c>
      <c r="U360" t="s">
        <v>174</v>
      </c>
    </row>
    <row r="361" spans="1:22">
      <c r="A361">
        <v>458</v>
      </c>
      <c r="B361">
        <v>14804.3310546875</v>
      </c>
      <c r="C361" t="s">
        <v>782</v>
      </c>
      <c r="D361">
        <v>2.7990691661834721</v>
      </c>
      <c r="E361" t="s">
        <v>160</v>
      </c>
      <c r="F361" t="s">
        <v>783</v>
      </c>
      <c r="G361" t="s">
        <v>175</v>
      </c>
      <c r="H361" t="s">
        <v>2</v>
      </c>
      <c r="I361">
        <v>1</v>
      </c>
      <c r="J361">
        <v>14138</v>
      </c>
      <c r="K361">
        <v>14138</v>
      </c>
      <c r="L361">
        <v>0</v>
      </c>
      <c r="M361">
        <v>0</v>
      </c>
      <c r="N361" s="4">
        <f t="shared" si="6"/>
        <v>4.7130503231539222E-2</v>
      </c>
      <c r="P361">
        <v>1</v>
      </c>
      <c r="Q361">
        <v>0</v>
      </c>
      <c r="R361">
        <v>0</v>
      </c>
      <c r="T361" t="s">
        <v>175</v>
      </c>
    </row>
    <row r="362" spans="1:22">
      <c r="A362">
        <v>459</v>
      </c>
      <c r="B362">
        <v>15997.55859375</v>
      </c>
      <c r="C362" t="s">
        <v>784</v>
      </c>
      <c r="D362">
        <v>3.8141853809356689</v>
      </c>
      <c r="E362" t="s">
        <v>160</v>
      </c>
      <c r="F362" t="s">
        <v>783</v>
      </c>
      <c r="G362" t="s">
        <v>175</v>
      </c>
      <c r="H362" t="s">
        <v>3</v>
      </c>
      <c r="I362">
        <v>1</v>
      </c>
      <c r="J362">
        <v>14138</v>
      </c>
      <c r="K362">
        <v>0</v>
      </c>
      <c r="L362">
        <v>0</v>
      </c>
      <c r="M362">
        <v>14138</v>
      </c>
      <c r="N362" s="4">
        <f t="shared" si="6"/>
        <v>0.13152911258664601</v>
      </c>
      <c r="P362">
        <v>0</v>
      </c>
      <c r="Q362">
        <v>0</v>
      </c>
      <c r="R362">
        <v>1</v>
      </c>
      <c r="V362" t="s">
        <v>175</v>
      </c>
    </row>
    <row r="363" spans="1:22">
      <c r="A363">
        <v>460</v>
      </c>
      <c r="B363">
        <v>14798.640625</v>
      </c>
      <c r="C363" t="s">
        <v>785</v>
      </c>
      <c r="D363">
        <v>3.2272195816040039</v>
      </c>
      <c r="E363" t="s">
        <v>160</v>
      </c>
      <c r="F363" t="s">
        <v>783</v>
      </c>
      <c r="G363" t="s">
        <v>175</v>
      </c>
      <c r="H363" t="s">
        <v>4</v>
      </c>
      <c r="I363">
        <v>1</v>
      </c>
      <c r="J363">
        <v>14138</v>
      </c>
      <c r="K363">
        <v>0</v>
      </c>
      <c r="L363">
        <v>14138</v>
      </c>
      <c r="M363">
        <v>0</v>
      </c>
      <c r="N363" s="4">
        <f t="shared" si="6"/>
        <v>4.6728011387749291E-2</v>
      </c>
      <c r="P363">
        <v>0</v>
      </c>
      <c r="Q363">
        <v>1</v>
      </c>
      <c r="R363">
        <v>0</v>
      </c>
      <c r="U363" t="s">
        <v>175</v>
      </c>
    </row>
    <row r="364" spans="1:22">
      <c r="A364">
        <v>461</v>
      </c>
      <c r="B364">
        <v>21263.21484375</v>
      </c>
      <c r="C364" t="s">
        <v>786</v>
      </c>
      <c r="D364">
        <v>2.926738023757935</v>
      </c>
      <c r="E364" t="s">
        <v>160</v>
      </c>
      <c r="F364" t="s">
        <v>787</v>
      </c>
      <c r="G364" t="s">
        <v>176</v>
      </c>
      <c r="H364" t="s">
        <v>2</v>
      </c>
      <c r="I364">
        <v>1</v>
      </c>
      <c r="J364">
        <v>20557</v>
      </c>
      <c r="K364">
        <v>20557</v>
      </c>
      <c r="L364">
        <v>0</v>
      </c>
      <c r="M364">
        <v>0</v>
      </c>
      <c r="N364" s="4">
        <f t="shared" si="6"/>
        <v>3.4353983740331717E-2</v>
      </c>
      <c r="P364">
        <v>1</v>
      </c>
      <c r="Q364">
        <v>0</v>
      </c>
      <c r="R364">
        <v>0</v>
      </c>
      <c r="T364" t="s">
        <v>176</v>
      </c>
    </row>
    <row r="365" spans="1:22">
      <c r="A365">
        <v>462</v>
      </c>
      <c r="B365">
        <v>22863.935546875</v>
      </c>
      <c r="C365" t="s">
        <v>788</v>
      </c>
      <c r="D365">
        <v>3.5636358261108398</v>
      </c>
      <c r="E365" t="s">
        <v>160</v>
      </c>
      <c r="F365" t="s">
        <v>787</v>
      </c>
      <c r="G365" t="s">
        <v>176</v>
      </c>
      <c r="H365" t="s">
        <v>3</v>
      </c>
      <c r="I365">
        <v>1</v>
      </c>
      <c r="J365">
        <v>20557</v>
      </c>
      <c r="K365">
        <v>0</v>
      </c>
      <c r="L365">
        <v>0</v>
      </c>
      <c r="M365">
        <v>20557</v>
      </c>
      <c r="N365" s="4">
        <f t="shared" si="6"/>
        <v>0.11222141104611572</v>
      </c>
      <c r="P365">
        <v>0</v>
      </c>
      <c r="Q365">
        <v>0</v>
      </c>
      <c r="R365">
        <v>1</v>
      </c>
      <c r="V365" t="s">
        <v>176</v>
      </c>
    </row>
    <row r="366" spans="1:22">
      <c r="A366">
        <v>463</v>
      </c>
      <c r="B366">
        <v>21928.103515625</v>
      </c>
      <c r="C366" t="s">
        <v>789</v>
      </c>
      <c r="D366">
        <v>3.1979658603668208</v>
      </c>
      <c r="E366" t="s">
        <v>160</v>
      </c>
      <c r="F366" t="s">
        <v>787</v>
      </c>
      <c r="G366" t="s">
        <v>176</v>
      </c>
      <c r="H366" t="s">
        <v>4</v>
      </c>
      <c r="I366">
        <v>1</v>
      </c>
      <c r="J366">
        <v>20557</v>
      </c>
      <c r="K366">
        <v>0</v>
      </c>
      <c r="L366">
        <v>20557</v>
      </c>
      <c r="M366">
        <v>0</v>
      </c>
      <c r="N366" s="4">
        <f t="shared" si="6"/>
        <v>6.6697646330933447E-2</v>
      </c>
      <c r="P366">
        <v>0</v>
      </c>
      <c r="Q366">
        <v>1</v>
      </c>
      <c r="R366">
        <v>0</v>
      </c>
      <c r="U366" t="s">
        <v>176</v>
      </c>
    </row>
    <row r="367" spans="1:22">
      <c r="A367">
        <v>464</v>
      </c>
      <c r="B367">
        <v>48232.6328125</v>
      </c>
      <c r="C367" t="s">
        <v>790</v>
      </c>
      <c r="D367">
        <v>2.819195032119751</v>
      </c>
      <c r="E367" t="s">
        <v>160</v>
      </c>
      <c r="F367" t="s">
        <v>791</v>
      </c>
      <c r="G367" t="s">
        <v>177</v>
      </c>
      <c r="H367" t="s">
        <v>2</v>
      </c>
      <c r="I367">
        <v>1</v>
      </c>
      <c r="J367">
        <v>45607</v>
      </c>
      <c r="K367">
        <v>45607</v>
      </c>
      <c r="L367">
        <v>0</v>
      </c>
      <c r="M367">
        <v>0</v>
      </c>
      <c r="N367" s="4">
        <f t="shared" si="6"/>
        <v>5.7570829313482674E-2</v>
      </c>
      <c r="P367">
        <v>1</v>
      </c>
      <c r="Q367">
        <v>0</v>
      </c>
      <c r="R367">
        <v>0</v>
      </c>
      <c r="T367" t="s">
        <v>177</v>
      </c>
    </row>
    <row r="368" spans="1:22">
      <c r="A368">
        <v>465</v>
      </c>
      <c r="B368">
        <v>52379.5859375</v>
      </c>
      <c r="C368" t="s">
        <v>792</v>
      </c>
      <c r="D368">
        <v>3.7383155822753911</v>
      </c>
      <c r="E368" t="s">
        <v>160</v>
      </c>
      <c r="F368" t="s">
        <v>791</v>
      </c>
      <c r="G368" t="s">
        <v>177</v>
      </c>
      <c r="H368" t="s">
        <v>3</v>
      </c>
      <c r="I368">
        <v>1</v>
      </c>
      <c r="J368">
        <v>45607</v>
      </c>
      <c r="K368">
        <v>0</v>
      </c>
      <c r="L368">
        <v>0</v>
      </c>
      <c r="M368">
        <v>45607</v>
      </c>
      <c r="N368" s="4">
        <f t="shared" si="6"/>
        <v>0.14849882556405825</v>
      </c>
      <c r="P368">
        <v>0</v>
      </c>
      <c r="Q368">
        <v>0</v>
      </c>
      <c r="R368">
        <v>1</v>
      </c>
      <c r="V368" t="s">
        <v>177</v>
      </c>
    </row>
    <row r="369" spans="1:22">
      <c r="A369">
        <v>466</v>
      </c>
      <c r="B369">
        <v>48325.8984375</v>
      </c>
      <c r="C369" t="s">
        <v>793</v>
      </c>
      <c r="D369">
        <v>3.191984891891479</v>
      </c>
      <c r="E369" t="s">
        <v>160</v>
      </c>
      <c r="F369" t="s">
        <v>791</v>
      </c>
      <c r="G369" t="s">
        <v>177</v>
      </c>
      <c r="H369" t="s">
        <v>4</v>
      </c>
      <c r="I369">
        <v>1</v>
      </c>
      <c r="J369">
        <v>45607</v>
      </c>
      <c r="K369">
        <v>0</v>
      </c>
      <c r="L369">
        <v>45607</v>
      </c>
      <c r="M369">
        <v>0</v>
      </c>
      <c r="N369" s="4">
        <f t="shared" si="6"/>
        <v>5.9615814184226013E-2</v>
      </c>
      <c r="P369">
        <v>0</v>
      </c>
      <c r="Q369">
        <v>1</v>
      </c>
      <c r="R369">
        <v>0</v>
      </c>
      <c r="U369" t="s">
        <v>177</v>
      </c>
    </row>
    <row r="370" spans="1:22">
      <c r="A370">
        <v>467</v>
      </c>
      <c r="B370">
        <v>52005.74609375</v>
      </c>
      <c r="C370" t="s">
        <v>794</v>
      </c>
      <c r="D370">
        <v>2.9111089706420898</v>
      </c>
      <c r="E370" t="s">
        <v>160</v>
      </c>
      <c r="F370" t="s">
        <v>795</v>
      </c>
      <c r="G370" t="s">
        <v>178</v>
      </c>
      <c r="H370" t="s">
        <v>2</v>
      </c>
      <c r="I370">
        <v>1</v>
      </c>
      <c r="J370">
        <v>47812</v>
      </c>
      <c r="K370">
        <v>47812</v>
      </c>
      <c r="L370">
        <v>0</v>
      </c>
      <c r="M370">
        <v>0</v>
      </c>
      <c r="N370" s="4">
        <f t="shared" si="6"/>
        <v>8.7713253864092788E-2</v>
      </c>
      <c r="P370">
        <v>1</v>
      </c>
      <c r="Q370">
        <v>0</v>
      </c>
      <c r="R370">
        <v>0</v>
      </c>
      <c r="T370" t="s">
        <v>178</v>
      </c>
    </row>
    <row r="371" spans="1:22">
      <c r="A371">
        <v>468</v>
      </c>
      <c r="B371">
        <v>53101.046875</v>
      </c>
      <c r="C371" t="s">
        <v>796</v>
      </c>
      <c r="D371">
        <v>3.6918590068817139</v>
      </c>
      <c r="E371" t="s">
        <v>160</v>
      </c>
      <c r="F371" t="s">
        <v>795</v>
      </c>
      <c r="G371" t="s">
        <v>178</v>
      </c>
      <c r="H371" t="s">
        <v>3</v>
      </c>
      <c r="I371">
        <v>1</v>
      </c>
      <c r="J371">
        <v>47812</v>
      </c>
      <c r="K371">
        <v>0</v>
      </c>
      <c r="L371">
        <v>0</v>
      </c>
      <c r="M371">
        <v>47812</v>
      </c>
      <c r="N371" s="4">
        <f t="shared" si="6"/>
        <v>0.11062174506400058</v>
      </c>
      <c r="P371">
        <v>0</v>
      </c>
      <c r="Q371">
        <v>0</v>
      </c>
      <c r="R371">
        <v>1</v>
      </c>
      <c r="V371" t="s">
        <v>178</v>
      </c>
    </row>
    <row r="372" spans="1:22">
      <c r="A372">
        <v>469</v>
      </c>
      <c r="B372">
        <v>52753.44921875</v>
      </c>
      <c r="C372" t="s">
        <v>797</v>
      </c>
      <c r="D372">
        <v>2.894199132919312</v>
      </c>
      <c r="E372" t="s">
        <v>160</v>
      </c>
      <c r="F372" t="s">
        <v>795</v>
      </c>
      <c r="G372" t="s">
        <v>178</v>
      </c>
      <c r="H372" t="s">
        <v>4</v>
      </c>
      <c r="I372">
        <v>1</v>
      </c>
      <c r="J372">
        <v>47812</v>
      </c>
      <c r="K372">
        <v>0</v>
      </c>
      <c r="L372">
        <v>47812</v>
      </c>
      <c r="M372">
        <v>0</v>
      </c>
      <c r="N372" s="4">
        <f t="shared" si="6"/>
        <v>0.10335165269702173</v>
      </c>
      <c r="P372">
        <v>0</v>
      </c>
      <c r="Q372">
        <v>1</v>
      </c>
      <c r="R372">
        <v>0</v>
      </c>
      <c r="U372" t="s">
        <v>178</v>
      </c>
    </row>
    <row r="373" spans="1:22">
      <c r="A373">
        <v>470</v>
      </c>
      <c r="B373">
        <v>26706.982421875</v>
      </c>
      <c r="C373" t="s">
        <v>798</v>
      </c>
      <c r="D373">
        <v>2.942287921905518</v>
      </c>
      <c r="E373" t="s">
        <v>160</v>
      </c>
      <c r="F373" t="s">
        <v>799</v>
      </c>
      <c r="G373" t="s">
        <v>179</v>
      </c>
      <c r="H373" t="s">
        <v>2</v>
      </c>
      <c r="I373">
        <v>1</v>
      </c>
      <c r="J373">
        <v>25569</v>
      </c>
      <c r="K373">
        <v>25569</v>
      </c>
      <c r="L373">
        <v>0</v>
      </c>
      <c r="M373">
        <v>0</v>
      </c>
      <c r="N373" s="4">
        <f t="shared" si="6"/>
        <v>4.4506332741796717E-2</v>
      </c>
      <c r="P373">
        <v>1</v>
      </c>
      <c r="Q373">
        <v>0</v>
      </c>
      <c r="R373">
        <v>0</v>
      </c>
      <c r="T373" t="s">
        <v>179</v>
      </c>
    </row>
    <row r="374" spans="1:22">
      <c r="A374">
        <v>471</v>
      </c>
      <c r="B374">
        <v>28498.939453125</v>
      </c>
      <c r="C374" t="s">
        <v>800</v>
      </c>
      <c r="D374">
        <v>3.8984417915344238</v>
      </c>
      <c r="E374" t="s">
        <v>160</v>
      </c>
      <c r="F374" t="s">
        <v>799</v>
      </c>
      <c r="G374" t="s">
        <v>179</v>
      </c>
      <c r="H374" t="s">
        <v>3</v>
      </c>
      <c r="I374">
        <v>1</v>
      </c>
      <c r="J374">
        <v>25569</v>
      </c>
      <c r="K374">
        <v>0</v>
      </c>
      <c r="L374">
        <v>0</v>
      </c>
      <c r="M374">
        <v>25569</v>
      </c>
      <c r="N374" s="4">
        <f t="shared" si="6"/>
        <v>0.11458952063533956</v>
      </c>
      <c r="P374">
        <v>0</v>
      </c>
      <c r="Q374">
        <v>0</v>
      </c>
      <c r="R374">
        <v>1</v>
      </c>
      <c r="V374" t="s">
        <v>179</v>
      </c>
    </row>
    <row r="375" spans="1:22">
      <c r="A375">
        <v>472</v>
      </c>
      <c r="B375">
        <v>27221.1328125</v>
      </c>
      <c r="C375" t="s">
        <v>801</v>
      </c>
      <c r="D375">
        <v>3.1294634342193599</v>
      </c>
      <c r="E375" t="s">
        <v>160</v>
      </c>
      <c r="F375" t="s">
        <v>799</v>
      </c>
      <c r="G375" t="s">
        <v>179</v>
      </c>
      <c r="H375" t="s">
        <v>4</v>
      </c>
      <c r="I375">
        <v>1</v>
      </c>
      <c r="J375">
        <v>25569</v>
      </c>
      <c r="K375">
        <v>0</v>
      </c>
      <c r="L375">
        <v>25569</v>
      </c>
      <c r="M375">
        <v>0</v>
      </c>
      <c r="N375" s="4">
        <f t="shared" si="6"/>
        <v>6.4614682330165429E-2</v>
      </c>
      <c r="P375">
        <v>0</v>
      </c>
      <c r="Q375">
        <v>1</v>
      </c>
      <c r="R375">
        <v>0</v>
      </c>
      <c r="U375" t="s">
        <v>179</v>
      </c>
    </row>
    <row r="376" spans="1:22">
      <c r="A376">
        <v>473</v>
      </c>
      <c r="B376">
        <v>25280.94140625</v>
      </c>
      <c r="C376" t="s">
        <v>802</v>
      </c>
      <c r="D376">
        <v>3.0207886695861821</v>
      </c>
      <c r="E376" t="s">
        <v>160</v>
      </c>
      <c r="F376" t="s">
        <v>803</v>
      </c>
      <c r="G376" t="s">
        <v>180</v>
      </c>
      <c r="H376" t="s">
        <v>2</v>
      </c>
      <c r="I376">
        <v>1</v>
      </c>
      <c r="J376">
        <v>24145</v>
      </c>
      <c r="K376">
        <v>24145</v>
      </c>
      <c r="L376">
        <v>0</v>
      </c>
      <c r="M376">
        <v>0</v>
      </c>
      <c r="N376" s="4">
        <f t="shared" si="6"/>
        <v>4.7046651739490519E-2</v>
      </c>
      <c r="P376">
        <v>1</v>
      </c>
      <c r="Q376">
        <v>0</v>
      </c>
      <c r="R376">
        <v>0</v>
      </c>
      <c r="T376" t="s">
        <v>180</v>
      </c>
    </row>
    <row r="377" spans="1:22">
      <c r="A377">
        <v>474</v>
      </c>
      <c r="B377">
        <v>27552.349609375</v>
      </c>
      <c r="C377" t="s">
        <v>804</v>
      </c>
      <c r="D377">
        <v>3.1884555816650391</v>
      </c>
      <c r="E377" t="s">
        <v>160</v>
      </c>
      <c r="F377" t="s">
        <v>803</v>
      </c>
      <c r="G377" t="s">
        <v>180</v>
      </c>
      <c r="H377" t="s">
        <v>3</v>
      </c>
      <c r="I377">
        <v>1</v>
      </c>
      <c r="J377">
        <v>24145</v>
      </c>
      <c r="K377">
        <v>0</v>
      </c>
      <c r="L377">
        <v>0</v>
      </c>
      <c r="M377">
        <v>24145</v>
      </c>
      <c r="N377" s="4">
        <f t="shared" si="6"/>
        <v>0.14112029858666397</v>
      </c>
      <c r="P377">
        <v>0</v>
      </c>
      <c r="Q377">
        <v>0</v>
      </c>
      <c r="R377">
        <v>1</v>
      </c>
      <c r="V377" t="s">
        <v>180</v>
      </c>
    </row>
    <row r="378" spans="1:22">
      <c r="A378">
        <v>475</v>
      </c>
      <c r="B378">
        <v>26227.91796875</v>
      </c>
      <c r="C378" t="s">
        <v>805</v>
      </c>
      <c r="D378">
        <v>3.596325159072876</v>
      </c>
      <c r="E378" t="s">
        <v>160</v>
      </c>
      <c r="F378" t="s">
        <v>803</v>
      </c>
      <c r="G378" t="s">
        <v>180</v>
      </c>
      <c r="H378" t="s">
        <v>4</v>
      </c>
      <c r="I378">
        <v>1</v>
      </c>
      <c r="J378">
        <v>24145</v>
      </c>
      <c r="K378">
        <v>0</v>
      </c>
      <c r="L378">
        <v>24145</v>
      </c>
      <c r="M378">
        <v>0</v>
      </c>
      <c r="N378" s="4">
        <f t="shared" si="6"/>
        <v>8.6267051925864591E-2</v>
      </c>
      <c r="P378">
        <v>0</v>
      </c>
      <c r="Q378">
        <v>1</v>
      </c>
      <c r="R378">
        <v>0</v>
      </c>
      <c r="U378" t="s">
        <v>180</v>
      </c>
    </row>
    <row r="379" spans="1:22">
      <c r="A379">
        <v>476</v>
      </c>
      <c r="B379">
        <v>22275.271484375</v>
      </c>
      <c r="C379" t="s">
        <v>806</v>
      </c>
      <c r="D379">
        <v>2.8577826023101811</v>
      </c>
      <c r="E379" t="s">
        <v>160</v>
      </c>
      <c r="F379" t="s">
        <v>807</v>
      </c>
      <c r="G379" t="s">
        <v>181</v>
      </c>
      <c r="H379" t="s">
        <v>2</v>
      </c>
      <c r="I379">
        <v>1</v>
      </c>
      <c r="J379">
        <v>16980</v>
      </c>
      <c r="K379">
        <v>16980</v>
      </c>
      <c r="L379">
        <v>0</v>
      </c>
      <c r="M379">
        <v>0</v>
      </c>
      <c r="N379" s="4">
        <f t="shared" si="6"/>
        <v>0.31185344430948181</v>
      </c>
      <c r="P379">
        <v>1</v>
      </c>
      <c r="Q379">
        <v>0</v>
      </c>
      <c r="R379">
        <v>0</v>
      </c>
      <c r="T379" t="s">
        <v>181</v>
      </c>
    </row>
    <row r="380" spans="1:22">
      <c r="A380">
        <v>477</v>
      </c>
      <c r="B380">
        <v>20524.53125</v>
      </c>
      <c r="C380" t="s">
        <v>808</v>
      </c>
      <c r="D380">
        <v>2.8822264671325679</v>
      </c>
      <c r="E380" t="s">
        <v>160</v>
      </c>
      <c r="F380" t="s">
        <v>807</v>
      </c>
      <c r="G380" t="s">
        <v>181</v>
      </c>
      <c r="H380" t="s">
        <v>3</v>
      </c>
      <c r="I380">
        <v>1</v>
      </c>
      <c r="J380">
        <v>16980</v>
      </c>
      <c r="K380">
        <v>0</v>
      </c>
      <c r="L380">
        <v>0</v>
      </c>
      <c r="M380">
        <v>16980</v>
      </c>
      <c r="N380" s="4">
        <f t="shared" si="6"/>
        <v>0.2087474234393405</v>
      </c>
      <c r="P380">
        <v>0</v>
      </c>
      <c r="Q380">
        <v>0</v>
      </c>
      <c r="R380">
        <v>1</v>
      </c>
      <c r="V380" t="s">
        <v>181</v>
      </c>
    </row>
    <row r="381" spans="1:22">
      <c r="A381">
        <v>478</v>
      </c>
      <c r="B381">
        <v>18513.65625</v>
      </c>
      <c r="C381" t="s">
        <v>809</v>
      </c>
      <c r="D381">
        <v>3.54680347442627</v>
      </c>
      <c r="E381" t="s">
        <v>160</v>
      </c>
      <c r="F381" t="s">
        <v>807</v>
      </c>
      <c r="G381" t="s">
        <v>181</v>
      </c>
      <c r="H381" t="s">
        <v>4</v>
      </c>
      <c r="I381">
        <v>1</v>
      </c>
      <c r="J381">
        <v>16980</v>
      </c>
      <c r="K381">
        <v>0</v>
      </c>
      <c r="L381">
        <v>16980</v>
      </c>
      <c r="M381">
        <v>0</v>
      </c>
      <c r="N381" s="4">
        <f t="shared" si="6"/>
        <v>9.0321333922261493E-2</v>
      </c>
      <c r="P381">
        <v>0</v>
      </c>
      <c r="Q381">
        <v>1</v>
      </c>
      <c r="R381">
        <v>0</v>
      </c>
      <c r="U381" t="s">
        <v>181</v>
      </c>
    </row>
    <row r="382" spans="1:22">
      <c r="A382">
        <v>479</v>
      </c>
      <c r="B382">
        <v>47396.60546875</v>
      </c>
      <c r="C382" t="s">
        <v>810</v>
      </c>
      <c r="D382">
        <v>2.908354520797729</v>
      </c>
      <c r="E382" t="s">
        <v>160</v>
      </c>
      <c r="F382" t="s">
        <v>811</v>
      </c>
      <c r="G382" t="s">
        <v>182</v>
      </c>
      <c r="H382" t="s">
        <v>2</v>
      </c>
      <c r="I382">
        <v>1</v>
      </c>
      <c r="J382">
        <v>44225</v>
      </c>
      <c r="K382">
        <v>44225</v>
      </c>
      <c r="L382">
        <v>0</v>
      </c>
      <c r="M382">
        <v>0</v>
      </c>
      <c r="N382" s="4">
        <f t="shared" si="6"/>
        <v>7.1715216930469117E-2</v>
      </c>
      <c r="P382">
        <v>1</v>
      </c>
      <c r="Q382">
        <v>0</v>
      </c>
      <c r="R382">
        <v>0</v>
      </c>
      <c r="T382" t="s">
        <v>182</v>
      </c>
    </row>
    <row r="383" spans="1:22">
      <c r="A383">
        <v>480</v>
      </c>
      <c r="B383">
        <v>50015.98828125</v>
      </c>
      <c r="C383" t="s">
        <v>812</v>
      </c>
      <c r="D383">
        <v>2.9985697269439702</v>
      </c>
      <c r="E383" t="s">
        <v>160</v>
      </c>
      <c r="F383" t="s">
        <v>811</v>
      </c>
      <c r="G383" t="s">
        <v>182</v>
      </c>
      <c r="H383" t="s">
        <v>3</v>
      </c>
      <c r="I383">
        <v>1</v>
      </c>
      <c r="J383">
        <v>44225</v>
      </c>
      <c r="K383">
        <v>0</v>
      </c>
      <c r="L383">
        <v>0</v>
      </c>
      <c r="M383">
        <v>44225</v>
      </c>
      <c r="N383" s="4">
        <f t="shared" si="6"/>
        <v>0.13094377119841716</v>
      </c>
      <c r="P383">
        <v>0</v>
      </c>
      <c r="Q383">
        <v>0</v>
      </c>
      <c r="R383">
        <v>1</v>
      </c>
      <c r="V383" t="s">
        <v>182</v>
      </c>
    </row>
    <row r="384" spans="1:22">
      <c r="A384">
        <v>481</v>
      </c>
      <c r="B384">
        <v>47871.125</v>
      </c>
      <c r="C384" t="s">
        <v>813</v>
      </c>
      <c r="D384">
        <v>4.356764554977417</v>
      </c>
      <c r="E384" t="s">
        <v>160</v>
      </c>
      <c r="F384" t="s">
        <v>811</v>
      </c>
      <c r="G384" t="s">
        <v>182</v>
      </c>
      <c r="H384" t="s">
        <v>4</v>
      </c>
      <c r="I384">
        <v>1</v>
      </c>
      <c r="J384">
        <v>44225</v>
      </c>
      <c r="K384">
        <v>0</v>
      </c>
      <c r="L384">
        <v>44225</v>
      </c>
      <c r="M384">
        <v>0</v>
      </c>
      <c r="N384" s="4">
        <f t="shared" si="6"/>
        <v>8.2444884115319361E-2</v>
      </c>
      <c r="P384">
        <v>0</v>
      </c>
      <c r="Q384">
        <v>1</v>
      </c>
      <c r="R384">
        <v>0</v>
      </c>
      <c r="U384" t="s">
        <v>182</v>
      </c>
    </row>
    <row r="385" spans="1:22">
      <c r="A385">
        <v>482</v>
      </c>
      <c r="B385">
        <v>61851.05859375</v>
      </c>
      <c r="C385" t="s">
        <v>814</v>
      </c>
      <c r="D385">
        <v>3.2957367897033691</v>
      </c>
      <c r="E385" t="s">
        <v>160</v>
      </c>
      <c r="F385" t="s">
        <v>815</v>
      </c>
      <c r="G385" t="s">
        <v>183</v>
      </c>
      <c r="H385" t="s">
        <v>2</v>
      </c>
      <c r="I385">
        <v>1</v>
      </c>
      <c r="J385">
        <v>58578</v>
      </c>
      <c r="K385">
        <v>58578</v>
      </c>
      <c r="L385">
        <v>0</v>
      </c>
      <c r="M385">
        <v>0</v>
      </c>
      <c r="N385" s="4">
        <f t="shared" si="6"/>
        <v>5.5875219258936903E-2</v>
      </c>
      <c r="P385">
        <v>1</v>
      </c>
      <c r="Q385">
        <v>0</v>
      </c>
      <c r="R385">
        <v>0</v>
      </c>
      <c r="T385" t="s">
        <v>183</v>
      </c>
    </row>
    <row r="386" spans="1:22">
      <c r="A386">
        <v>483</v>
      </c>
      <c r="B386">
        <v>64761.484375</v>
      </c>
      <c r="C386" t="s">
        <v>816</v>
      </c>
      <c r="D386">
        <v>2.857083797454834</v>
      </c>
      <c r="E386" t="s">
        <v>160</v>
      </c>
      <c r="F386" t="s">
        <v>815</v>
      </c>
      <c r="G386" t="s">
        <v>183</v>
      </c>
      <c r="H386" t="s">
        <v>3</v>
      </c>
      <c r="I386">
        <v>1</v>
      </c>
      <c r="J386">
        <v>58578</v>
      </c>
      <c r="K386">
        <v>0</v>
      </c>
      <c r="L386">
        <v>0</v>
      </c>
      <c r="M386">
        <v>58578</v>
      </c>
      <c r="N386" s="4">
        <f t="shared" si="6"/>
        <v>0.10555984115196826</v>
      </c>
      <c r="P386">
        <v>0</v>
      </c>
      <c r="Q386">
        <v>0</v>
      </c>
      <c r="R386">
        <v>1</v>
      </c>
      <c r="V386" t="s">
        <v>183</v>
      </c>
    </row>
    <row r="387" spans="1:22">
      <c r="A387">
        <v>484</v>
      </c>
      <c r="B387">
        <v>63825.24609375</v>
      </c>
      <c r="C387" t="s">
        <v>817</v>
      </c>
      <c r="D387">
        <v>3.948622465133667</v>
      </c>
      <c r="E387" t="s">
        <v>160</v>
      </c>
      <c r="F387" t="s">
        <v>815</v>
      </c>
      <c r="G387" t="s">
        <v>183</v>
      </c>
      <c r="H387" t="s">
        <v>4</v>
      </c>
      <c r="I387">
        <v>1</v>
      </c>
      <c r="J387">
        <v>58578</v>
      </c>
      <c r="K387">
        <v>0</v>
      </c>
      <c r="L387">
        <v>58578</v>
      </c>
      <c r="M387">
        <v>0</v>
      </c>
      <c r="N387" s="4">
        <f t="shared" si="6"/>
        <v>8.9577078318652026E-2</v>
      </c>
      <c r="P387">
        <v>0</v>
      </c>
      <c r="Q387">
        <v>1</v>
      </c>
      <c r="R387">
        <v>0</v>
      </c>
      <c r="U387" t="s">
        <v>183</v>
      </c>
    </row>
    <row r="388" spans="1:22">
      <c r="A388">
        <v>485</v>
      </c>
      <c r="B388">
        <v>20772.09375</v>
      </c>
      <c r="C388" t="s">
        <v>818</v>
      </c>
      <c r="D388">
        <v>3.0405113697052002</v>
      </c>
      <c r="E388" t="s">
        <v>160</v>
      </c>
      <c r="F388" t="s">
        <v>819</v>
      </c>
      <c r="G388" t="s">
        <v>184</v>
      </c>
      <c r="H388" t="s">
        <v>2</v>
      </c>
      <c r="I388">
        <v>1</v>
      </c>
      <c r="J388">
        <v>19565</v>
      </c>
      <c r="K388">
        <v>19565</v>
      </c>
      <c r="L388">
        <v>0</v>
      </c>
      <c r="M388">
        <v>0</v>
      </c>
      <c r="N388" s="4">
        <f t="shared" si="6"/>
        <v>6.1696588295425459E-2</v>
      </c>
      <c r="P388">
        <v>1</v>
      </c>
      <c r="Q388">
        <v>0</v>
      </c>
      <c r="R388">
        <v>0</v>
      </c>
      <c r="T388" t="s">
        <v>184</v>
      </c>
    </row>
    <row r="389" spans="1:22">
      <c r="A389">
        <v>486</v>
      </c>
      <c r="B389">
        <v>24211.58984375</v>
      </c>
      <c r="C389" t="s">
        <v>820</v>
      </c>
      <c r="D389">
        <v>2.7884633541107182</v>
      </c>
      <c r="E389" t="s">
        <v>160</v>
      </c>
      <c r="F389" t="s">
        <v>819</v>
      </c>
      <c r="G389" t="s">
        <v>184</v>
      </c>
      <c r="H389" t="s">
        <v>3</v>
      </c>
      <c r="I389">
        <v>1</v>
      </c>
      <c r="J389">
        <v>19565</v>
      </c>
      <c r="K389">
        <v>0</v>
      </c>
      <c r="L389">
        <v>0</v>
      </c>
      <c r="M389">
        <v>19565</v>
      </c>
      <c r="N389" s="4">
        <f t="shared" si="6"/>
        <v>0.23749500862509576</v>
      </c>
      <c r="P389">
        <v>0</v>
      </c>
      <c r="Q389">
        <v>0</v>
      </c>
      <c r="R389">
        <v>1</v>
      </c>
      <c r="V389" t="s">
        <v>184</v>
      </c>
    </row>
    <row r="390" spans="1:22">
      <c r="A390">
        <v>487</v>
      </c>
      <c r="B390">
        <v>21690.8984375</v>
      </c>
      <c r="C390" t="s">
        <v>821</v>
      </c>
      <c r="D390">
        <v>3.1318075656890869</v>
      </c>
      <c r="E390" t="s">
        <v>160</v>
      </c>
      <c r="F390" t="s">
        <v>819</v>
      </c>
      <c r="G390" t="s">
        <v>184</v>
      </c>
      <c r="H390" t="s">
        <v>4</v>
      </c>
      <c r="I390">
        <v>1</v>
      </c>
      <c r="J390">
        <v>19565</v>
      </c>
      <c r="K390">
        <v>0</v>
      </c>
      <c r="L390">
        <v>19565</v>
      </c>
      <c r="M390">
        <v>0</v>
      </c>
      <c r="N390" s="4">
        <f t="shared" si="6"/>
        <v>0.10865823856376178</v>
      </c>
      <c r="P390">
        <v>0</v>
      </c>
      <c r="Q390">
        <v>1</v>
      </c>
      <c r="R390">
        <v>0</v>
      </c>
      <c r="U390" t="s">
        <v>184</v>
      </c>
    </row>
    <row r="391" spans="1:22">
      <c r="A391">
        <v>488</v>
      </c>
      <c r="B391">
        <v>32232.44140625</v>
      </c>
      <c r="C391" t="s">
        <v>822</v>
      </c>
      <c r="D391">
        <v>2.999078750610352</v>
      </c>
      <c r="E391" t="s">
        <v>160</v>
      </c>
      <c r="F391" t="s">
        <v>823</v>
      </c>
      <c r="G391" t="s">
        <v>185</v>
      </c>
      <c r="H391" t="s">
        <v>2</v>
      </c>
      <c r="I391">
        <v>1</v>
      </c>
      <c r="J391">
        <v>30656</v>
      </c>
      <c r="K391">
        <v>30656</v>
      </c>
      <c r="L391">
        <v>0</v>
      </c>
      <c r="M391">
        <v>0</v>
      </c>
      <c r="N391" s="4">
        <f t="shared" si="6"/>
        <v>5.1423584494063146E-2</v>
      </c>
      <c r="P391">
        <v>1</v>
      </c>
      <c r="Q391">
        <v>0</v>
      </c>
      <c r="R391">
        <v>0</v>
      </c>
      <c r="T391" t="s">
        <v>185</v>
      </c>
    </row>
    <row r="392" spans="1:22">
      <c r="A392">
        <v>489</v>
      </c>
      <c r="B392">
        <v>34496.6953125</v>
      </c>
      <c r="C392" t="s">
        <v>824</v>
      </c>
      <c r="D392">
        <v>2.9890346527099609</v>
      </c>
      <c r="E392" t="s">
        <v>160</v>
      </c>
      <c r="F392" t="s">
        <v>823</v>
      </c>
      <c r="G392" t="s">
        <v>185</v>
      </c>
      <c r="H392" t="s">
        <v>3</v>
      </c>
      <c r="I392">
        <v>1</v>
      </c>
      <c r="J392">
        <v>30656</v>
      </c>
      <c r="K392">
        <v>0</v>
      </c>
      <c r="L392">
        <v>0</v>
      </c>
      <c r="M392">
        <v>30656</v>
      </c>
      <c r="N392" s="4">
        <f t="shared" si="6"/>
        <v>0.12528364145681103</v>
      </c>
      <c r="P392">
        <v>0</v>
      </c>
      <c r="Q392">
        <v>0</v>
      </c>
      <c r="R392">
        <v>1</v>
      </c>
      <c r="V392" t="s">
        <v>185</v>
      </c>
    </row>
    <row r="393" spans="1:22">
      <c r="A393">
        <v>490</v>
      </c>
      <c r="B393">
        <v>33356.3359375</v>
      </c>
      <c r="C393" t="s">
        <v>825</v>
      </c>
      <c r="D393">
        <v>3.414584875106812</v>
      </c>
      <c r="E393" t="s">
        <v>160</v>
      </c>
      <c r="F393" t="s">
        <v>823</v>
      </c>
      <c r="G393" t="s">
        <v>185</v>
      </c>
      <c r="H393" t="s">
        <v>4</v>
      </c>
      <c r="I393">
        <v>1</v>
      </c>
      <c r="J393">
        <v>30656</v>
      </c>
      <c r="K393">
        <v>0</v>
      </c>
      <c r="L393">
        <v>30656</v>
      </c>
      <c r="M393">
        <v>0</v>
      </c>
      <c r="N393" s="4">
        <f t="shared" si="6"/>
        <v>8.8085071030140849E-2</v>
      </c>
      <c r="P393">
        <v>0</v>
      </c>
      <c r="Q393">
        <v>1</v>
      </c>
      <c r="R393">
        <v>0</v>
      </c>
      <c r="U393" t="s">
        <v>185</v>
      </c>
    </row>
    <row r="394" spans="1:22">
      <c r="A394">
        <v>491</v>
      </c>
      <c r="B394">
        <v>12246.341796875</v>
      </c>
      <c r="C394" t="s">
        <v>826</v>
      </c>
      <c r="D394">
        <v>2.8210866451263432</v>
      </c>
      <c r="E394" t="s">
        <v>160</v>
      </c>
      <c r="F394" t="s">
        <v>827</v>
      </c>
      <c r="G394" t="s">
        <v>186</v>
      </c>
      <c r="H394" t="s">
        <v>2</v>
      </c>
      <c r="I394">
        <v>1</v>
      </c>
      <c r="J394">
        <v>10856</v>
      </c>
      <c r="K394">
        <v>10856</v>
      </c>
      <c r="L394">
        <v>0</v>
      </c>
      <c r="M394">
        <v>0</v>
      </c>
      <c r="N394" s="4">
        <f t="shared" si="6"/>
        <v>0.1280712782677782</v>
      </c>
      <c r="P394">
        <v>1</v>
      </c>
      <c r="Q394">
        <v>0</v>
      </c>
      <c r="R394">
        <v>0</v>
      </c>
      <c r="T394" t="s">
        <v>186</v>
      </c>
    </row>
    <row r="395" spans="1:22">
      <c r="A395">
        <v>492</v>
      </c>
      <c r="B395">
        <v>12668.8876953125</v>
      </c>
      <c r="C395" t="s">
        <v>828</v>
      </c>
      <c r="D395">
        <v>2.8549997806549068</v>
      </c>
      <c r="E395" t="s">
        <v>160</v>
      </c>
      <c r="F395" t="s">
        <v>827</v>
      </c>
      <c r="G395" t="s">
        <v>186</v>
      </c>
      <c r="H395" t="s">
        <v>3</v>
      </c>
      <c r="I395">
        <v>1</v>
      </c>
      <c r="J395">
        <v>10856</v>
      </c>
      <c r="K395">
        <v>0</v>
      </c>
      <c r="L395">
        <v>0</v>
      </c>
      <c r="M395">
        <v>10856</v>
      </c>
      <c r="N395" s="4">
        <f t="shared" si="6"/>
        <v>0.16699407657631715</v>
      </c>
      <c r="P395">
        <v>0</v>
      </c>
      <c r="Q395">
        <v>0</v>
      </c>
      <c r="R395">
        <v>1</v>
      </c>
      <c r="V395" t="s">
        <v>186</v>
      </c>
    </row>
    <row r="396" spans="1:22">
      <c r="A396">
        <v>493</v>
      </c>
      <c r="B396">
        <v>12110.4580078125</v>
      </c>
      <c r="C396" t="s">
        <v>829</v>
      </c>
      <c r="D396">
        <v>4.5860707759857178</v>
      </c>
      <c r="E396" t="s">
        <v>160</v>
      </c>
      <c r="F396" t="s">
        <v>827</v>
      </c>
      <c r="G396" t="s">
        <v>186</v>
      </c>
      <c r="H396" t="s">
        <v>4</v>
      </c>
      <c r="I396">
        <v>1</v>
      </c>
      <c r="J396">
        <v>10856</v>
      </c>
      <c r="K396">
        <v>0</v>
      </c>
      <c r="L396">
        <v>10856</v>
      </c>
      <c r="M396">
        <v>0</v>
      </c>
      <c r="N396" s="4">
        <f t="shared" si="6"/>
        <v>0.1155543485457351</v>
      </c>
      <c r="P396">
        <v>0</v>
      </c>
      <c r="Q396">
        <v>1</v>
      </c>
      <c r="R396">
        <v>0</v>
      </c>
      <c r="U396" t="s">
        <v>186</v>
      </c>
    </row>
    <row r="397" spans="1:22">
      <c r="A397">
        <v>494</v>
      </c>
      <c r="B397">
        <v>123850.515625</v>
      </c>
      <c r="C397" t="s">
        <v>830</v>
      </c>
      <c r="D397">
        <v>4.3583226203918457</v>
      </c>
      <c r="E397" t="s">
        <v>160</v>
      </c>
      <c r="F397" t="s">
        <v>831</v>
      </c>
      <c r="G397" t="s">
        <v>187</v>
      </c>
      <c r="H397" t="s">
        <v>2</v>
      </c>
      <c r="I397">
        <v>1</v>
      </c>
      <c r="J397">
        <v>117595</v>
      </c>
      <c r="K397">
        <v>117595</v>
      </c>
      <c r="L397">
        <v>0</v>
      </c>
      <c r="M397">
        <v>0</v>
      </c>
      <c r="N397" s="4">
        <f t="shared" si="6"/>
        <v>5.3195421786640606E-2</v>
      </c>
      <c r="P397">
        <v>1</v>
      </c>
      <c r="Q397">
        <v>0</v>
      </c>
      <c r="R397">
        <v>0</v>
      </c>
      <c r="T397" t="s">
        <v>187</v>
      </c>
    </row>
    <row r="398" spans="1:22">
      <c r="A398">
        <v>495</v>
      </c>
      <c r="B398">
        <v>125546.65625</v>
      </c>
      <c r="C398" t="s">
        <v>832</v>
      </c>
      <c r="D398">
        <v>2.9022202491760249</v>
      </c>
      <c r="E398" t="s">
        <v>160</v>
      </c>
      <c r="F398" t="s">
        <v>831</v>
      </c>
      <c r="G398" t="s">
        <v>187</v>
      </c>
      <c r="H398" t="s">
        <v>3</v>
      </c>
      <c r="I398">
        <v>1</v>
      </c>
      <c r="J398">
        <v>117595</v>
      </c>
      <c r="K398">
        <v>0</v>
      </c>
      <c r="L398">
        <v>0</v>
      </c>
      <c r="M398">
        <v>117595</v>
      </c>
      <c r="N398" s="4">
        <f t="shared" si="6"/>
        <v>6.7618999532293111E-2</v>
      </c>
      <c r="P398">
        <v>0</v>
      </c>
      <c r="Q398">
        <v>0</v>
      </c>
      <c r="R398">
        <v>1</v>
      </c>
      <c r="V398" t="s">
        <v>187</v>
      </c>
    </row>
    <row r="399" spans="1:22">
      <c r="A399">
        <v>496</v>
      </c>
      <c r="B399">
        <v>123208.6171875</v>
      </c>
      <c r="C399" t="s">
        <v>833</v>
      </c>
      <c r="D399">
        <v>4.8679237365722656</v>
      </c>
      <c r="E399" t="s">
        <v>160</v>
      </c>
      <c r="F399" t="s">
        <v>831</v>
      </c>
      <c r="G399" t="s">
        <v>187</v>
      </c>
      <c r="H399" t="s">
        <v>4</v>
      </c>
      <c r="I399">
        <v>1</v>
      </c>
      <c r="J399">
        <v>117595</v>
      </c>
      <c r="K399">
        <v>0</v>
      </c>
      <c r="L399">
        <v>117595</v>
      </c>
      <c r="M399">
        <v>0</v>
      </c>
      <c r="N399" s="4">
        <f t="shared" si="6"/>
        <v>4.7736869658573822E-2</v>
      </c>
      <c r="P399">
        <v>0</v>
      </c>
      <c r="Q399">
        <v>1</v>
      </c>
      <c r="R399">
        <v>0</v>
      </c>
      <c r="U399" t="s">
        <v>187</v>
      </c>
    </row>
    <row r="400" spans="1:22">
      <c r="A400">
        <v>497</v>
      </c>
      <c r="B400">
        <v>43060.7265625</v>
      </c>
      <c r="C400" t="s">
        <v>834</v>
      </c>
      <c r="D400">
        <v>2.898733377456665</v>
      </c>
      <c r="E400" t="s">
        <v>160</v>
      </c>
      <c r="F400" t="s">
        <v>835</v>
      </c>
      <c r="G400" t="s">
        <v>188</v>
      </c>
      <c r="H400" t="s">
        <v>2</v>
      </c>
      <c r="I400">
        <v>1</v>
      </c>
      <c r="J400">
        <v>40437</v>
      </c>
      <c r="K400">
        <v>40437</v>
      </c>
      <c r="L400">
        <v>0</v>
      </c>
      <c r="M400">
        <v>0</v>
      </c>
      <c r="N400" s="4">
        <f t="shared" si="6"/>
        <v>6.4884303051660597E-2</v>
      </c>
      <c r="P400">
        <v>1</v>
      </c>
      <c r="Q400">
        <v>0</v>
      </c>
      <c r="R400">
        <v>0</v>
      </c>
      <c r="T400" t="s">
        <v>188</v>
      </c>
    </row>
    <row r="401" spans="1:22">
      <c r="A401">
        <v>498</v>
      </c>
      <c r="B401">
        <v>46769.546875</v>
      </c>
      <c r="C401" t="s">
        <v>836</v>
      </c>
      <c r="D401">
        <v>2.8676459789276119</v>
      </c>
      <c r="E401" t="s">
        <v>160</v>
      </c>
      <c r="F401" t="s">
        <v>835</v>
      </c>
      <c r="G401" t="s">
        <v>188</v>
      </c>
      <c r="H401" t="s">
        <v>3</v>
      </c>
      <c r="I401">
        <v>1</v>
      </c>
      <c r="J401">
        <v>40437</v>
      </c>
      <c r="K401">
        <v>0</v>
      </c>
      <c r="L401">
        <v>0</v>
      </c>
      <c r="M401">
        <v>40437</v>
      </c>
      <c r="N401" s="4">
        <f t="shared" si="6"/>
        <v>0.15660278643321712</v>
      </c>
      <c r="P401">
        <v>0</v>
      </c>
      <c r="Q401">
        <v>0</v>
      </c>
      <c r="R401">
        <v>1</v>
      </c>
      <c r="V401" t="s">
        <v>188</v>
      </c>
    </row>
    <row r="402" spans="1:22">
      <c r="A402">
        <v>499</v>
      </c>
      <c r="B402">
        <v>44301.26953125</v>
      </c>
      <c r="C402" t="s">
        <v>837</v>
      </c>
      <c r="D402">
        <v>3.0671882629394531</v>
      </c>
      <c r="E402" t="s">
        <v>160</v>
      </c>
      <c r="F402" t="s">
        <v>835</v>
      </c>
      <c r="G402" t="s">
        <v>188</v>
      </c>
      <c r="H402" t="s">
        <v>4</v>
      </c>
      <c r="I402">
        <v>1</v>
      </c>
      <c r="J402">
        <v>40437</v>
      </c>
      <c r="K402">
        <v>0</v>
      </c>
      <c r="L402">
        <v>40437</v>
      </c>
      <c r="M402">
        <v>0</v>
      </c>
      <c r="N402" s="4">
        <f t="shared" si="6"/>
        <v>9.5562715613175975E-2</v>
      </c>
      <c r="P402">
        <v>0</v>
      </c>
      <c r="Q402">
        <v>1</v>
      </c>
      <c r="R402">
        <v>0</v>
      </c>
      <c r="U402" t="s">
        <v>188</v>
      </c>
    </row>
    <row r="403" spans="1:22">
      <c r="A403">
        <v>500</v>
      </c>
      <c r="B403">
        <v>28574.484375</v>
      </c>
      <c r="C403" t="s">
        <v>838</v>
      </c>
      <c r="D403">
        <v>2.9750523567199711</v>
      </c>
      <c r="E403" t="s">
        <v>160</v>
      </c>
      <c r="F403" t="s">
        <v>839</v>
      </c>
      <c r="G403" t="s">
        <v>189</v>
      </c>
      <c r="H403" t="s">
        <v>2</v>
      </c>
      <c r="I403">
        <v>1</v>
      </c>
      <c r="J403">
        <v>25742</v>
      </c>
      <c r="K403">
        <v>25742</v>
      </c>
      <c r="L403">
        <v>0</v>
      </c>
      <c r="M403">
        <v>0</v>
      </c>
      <c r="N403" s="4">
        <f t="shared" si="6"/>
        <v>0.11003357839328731</v>
      </c>
      <c r="P403">
        <v>1</v>
      </c>
      <c r="Q403">
        <v>0</v>
      </c>
      <c r="R403">
        <v>0</v>
      </c>
      <c r="T403" t="s">
        <v>189</v>
      </c>
    </row>
    <row r="404" spans="1:22">
      <c r="A404">
        <v>501</v>
      </c>
      <c r="B404">
        <v>30493.74609375</v>
      </c>
      <c r="C404" t="s">
        <v>840</v>
      </c>
      <c r="D404">
        <v>2.9179141521453862</v>
      </c>
      <c r="E404" t="s">
        <v>160</v>
      </c>
      <c r="F404" t="s">
        <v>839</v>
      </c>
      <c r="G404" t="s">
        <v>189</v>
      </c>
      <c r="H404" t="s">
        <v>3</v>
      </c>
      <c r="I404">
        <v>1</v>
      </c>
      <c r="J404">
        <v>25742</v>
      </c>
      <c r="K404">
        <v>0</v>
      </c>
      <c r="L404">
        <v>0</v>
      </c>
      <c r="M404">
        <v>25742</v>
      </c>
      <c r="N404" s="4">
        <f t="shared" si="6"/>
        <v>0.18459117759886556</v>
      </c>
      <c r="P404">
        <v>0</v>
      </c>
      <c r="Q404">
        <v>0</v>
      </c>
      <c r="R404">
        <v>1</v>
      </c>
      <c r="V404" t="s">
        <v>189</v>
      </c>
    </row>
    <row r="405" spans="1:22">
      <c r="A405">
        <v>502</v>
      </c>
      <c r="B405">
        <v>28943.828125</v>
      </c>
      <c r="C405" t="s">
        <v>841</v>
      </c>
      <c r="D405">
        <v>2.6909670829772949</v>
      </c>
      <c r="E405" t="s">
        <v>160</v>
      </c>
      <c r="F405" t="s">
        <v>839</v>
      </c>
      <c r="G405" t="s">
        <v>189</v>
      </c>
      <c r="H405" t="s">
        <v>4</v>
      </c>
      <c r="I405">
        <v>1</v>
      </c>
      <c r="J405">
        <v>25742</v>
      </c>
      <c r="K405">
        <v>0</v>
      </c>
      <c r="L405">
        <v>25742</v>
      </c>
      <c r="M405">
        <v>0</v>
      </c>
      <c r="N405" s="4">
        <f t="shared" si="6"/>
        <v>0.12438148259653481</v>
      </c>
      <c r="P405">
        <v>0</v>
      </c>
      <c r="Q405">
        <v>1</v>
      </c>
      <c r="R405">
        <v>0</v>
      </c>
      <c r="U405" t="s">
        <v>189</v>
      </c>
    </row>
    <row r="406" spans="1:22">
      <c r="A406">
        <v>503</v>
      </c>
      <c r="B406">
        <v>20535.39453125</v>
      </c>
      <c r="C406" t="s">
        <v>842</v>
      </c>
      <c r="D406">
        <v>3.0079867839813228</v>
      </c>
      <c r="E406" t="s">
        <v>160</v>
      </c>
      <c r="F406" t="s">
        <v>843</v>
      </c>
      <c r="G406" t="s">
        <v>190</v>
      </c>
      <c r="H406" t="s">
        <v>2</v>
      </c>
      <c r="I406">
        <v>1</v>
      </c>
      <c r="J406">
        <v>19230</v>
      </c>
      <c r="K406">
        <v>19230</v>
      </c>
      <c r="L406">
        <v>0</v>
      </c>
      <c r="M406">
        <v>0</v>
      </c>
      <c r="N406" s="4">
        <f t="shared" si="6"/>
        <v>6.7883230954238094E-2</v>
      </c>
      <c r="P406">
        <v>1</v>
      </c>
      <c r="Q406">
        <v>0</v>
      </c>
      <c r="R406">
        <v>0</v>
      </c>
      <c r="T406" t="s">
        <v>190</v>
      </c>
    </row>
    <row r="407" spans="1:22">
      <c r="A407">
        <v>504</v>
      </c>
      <c r="B407">
        <v>23526.509765625</v>
      </c>
      <c r="C407" t="s">
        <v>844</v>
      </c>
      <c r="D407">
        <v>2.865298748016357</v>
      </c>
      <c r="E407" t="s">
        <v>160</v>
      </c>
      <c r="F407" t="s">
        <v>843</v>
      </c>
      <c r="G407" t="s">
        <v>190</v>
      </c>
      <c r="H407" t="s">
        <v>3</v>
      </c>
      <c r="I407">
        <v>1</v>
      </c>
      <c r="J407">
        <v>19230</v>
      </c>
      <c r="K407">
        <v>0</v>
      </c>
      <c r="L407">
        <v>0</v>
      </c>
      <c r="M407">
        <v>19230</v>
      </c>
      <c r="N407" s="4">
        <f t="shared" si="6"/>
        <v>0.22342744491029642</v>
      </c>
      <c r="P407">
        <v>0</v>
      </c>
      <c r="Q407">
        <v>0</v>
      </c>
      <c r="R407">
        <v>1</v>
      </c>
      <c r="V407" t="s">
        <v>190</v>
      </c>
    </row>
    <row r="408" spans="1:22">
      <c r="A408">
        <v>505</v>
      </c>
      <c r="B408">
        <v>21264.91015625</v>
      </c>
      <c r="C408" t="s">
        <v>845</v>
      </c>
      <c r="D408">
        <v>2.6445860862731929</v>
      </c>
      <c r="E408" t="s">
        <v>160</v>
      </c>
      <c r="F408" t="s">
        <v>843</v>
      </c>
      <c r="G408" t="s">
        <v>190</v>
      </c>
      <c r="H408" t="s">
        <v>4</v>
      </c>
      <c r="I408">
        <v>1</v>
      </c>
      <c r="J408">
        <v>19230</v>
      </c>
      <c r="K408">
        <v>0</v>
      </c>
      <c r="L408">
        <v>19230</v>
      </c>
      <c r="M408">
        <v>0</v>
      </c>
      <c r="N408" s="4">
        <f t="shared" si="6"/>
        <v>0.10581956090743638</v>
      </c>
      <c r="P408">
        <v>0</v>
      </c>
      <c r="Q408">
        <v>1</v>
      </c>
      <c r="R408">
        <v>0</v>
      </c>
      <c r="U408" t="s">
        <v>190</v>
      </c>
    </row>
    <row r="409" spans="1:22">
      <c r="A409">
        <v>506</v>
      </c>
      <c r="B409">
        <v>29881.72265625</v>
      </c>
      <c r="C409" t="s">
        <v>846</v>
      </c>
      <c r="D409">
        <v>3.1015603542327881</v>
      </c>
      <c r="E409" t="s">
        <v>160</v>
      </c>
      <c r="F409" t="s">
        <v>847</v>
      </c>
      <c r="G409" t="s">
        <v>191</v>
      </c>
      <c r="H409" t="s">
        <v>2</v>
      </c>
      <c r="I409">
        <v>1</v>
      </c>
      <c r="J409">
        <v>27042</v>
      </c>
      <c r="K409">
        <v>27042</v>
      </c>
      <c r="L409">
        <v>0</v>
      </c>
      <c r="M409">
        <v>0</v>
      </c>
      <c r="N409" s="4">
        <f t="shared" si="6"/>
        <v>0.1050115618759706</v>
      </c>
      <c r="P409">
        <v>1</v>
      </c>
      <c r="Q409">
        <v>0</v>
      </c>
      <c r="R409">
        <v>0</v>
      </c>
      <c r="T409" t="s">
        <v>191</v>
      </c>
    </row>
    <row r="410" spans="1:22">
      <c r="A410">
        <v>507</v>
      </c>
      <c r="B410">
        <v>31373.623046875</v>
      </c>
      <c r="C410" t="s">
        <v>848</v>
      </c>
      <c r="D410">
        <v>2.916808128356934</v>
      </c>
      <c r="E410" t="s">
        <v>160</v>
      </c>
      <c r="F410" t="s">
        <v>847</v>
      </c>
      <c r="G410" t="s">
        <v>191</v>
      </c>
      <c r="H410" t="s">
        <v>3</v>
      </c>
      <c r="I410">
        <v>1</v>
      </c>
      <c r="J410">
        <v>27042</v>
      </c>
      <c r="K410">
        <v>0</v>
      </c>
      <c r="L410">
        <v>0</v>
      </c>
      <c r="M410">
        <v>27042</v>
      </c>
      <c r="N410" s="4">
        <f t="shared" si="6"/>
        <v>0.16018131228736787</v>
      </c>
      <c r="P410">
        <v>0</v>
      </c>
      <c r="Q410">
        <v>0</v>
      </c>
      <c r="R410">
        <v>1</v>
      </c>
      <c r="V410" t="s">
        <v>191</v>
      </c>
    </row>
    <row r="411" spans="1:22">
      <c r="A411">
        <v>508</v>
      </c>
      <c r="B411">
        <v>30054.109375</v>
      </c>
      <c r="C411" t="s">
        <v>849</v>
      </c>
      <c r="D411">
        <v>2.725008487701416</v>
      </c>
      <c r="E411" t="s">
        <v>160</v>
      </c>
      <c r="F411" t="s">
        <v>847</v>
      </c>
      <c r="G411" t="s">
        <v>191</v>
      </c>
      <c r="H411" t="s">
        <v>4</v>
      </c>
      <c r="I411">
        <v>1</v>
      </c>
      <c r="J411">
        <v>27042</v>
      </c>
      <c r="K411">
        <v>0</v>
      </c>
      <c r="L411">
        <v>27042</v>
      </c>
      <c r="M411">
        <v>0</v>
      </c>
      <c r="N411" s="4">
        <f t="shared" si="6"/>
        <v>0.11138633884328075</v>
      </c>
      <c r="P411">
        <v>0</v>
      </c>
      <c r="Q411">
        <v>1</v>
      </c>
      <c r="R411">
        <v>0</v>
      </c>
      <c r="U411" t="s">
        <v>191</v>
      </c>
    </row>
    <row r="412" spans="1:22">
      <c r="A412">
        <v>509</v>
      </c>
      <c r="B412">
        <v>88205.375</v>
      </c>
      <c r="C412" t="s">
        <v>850</v>
      </c>
      <c r="D412">
        <v>3.1493656635284419</v>
      </c>
      <c r="E412" t="s">
        <v>160</v>
      </c>
      <c r="F412" t="s">
        <v>851</v>
      </c>
      <c r="G412" t="s">
        <v>192</v>
      </c>
      <c r="H412" t="s">
        <v>2</v>
      </c>
      <c r="I412">
        <v>1</v>
      </c>
      <c r="J412">
        <v>82751</v>
      </c>
      <c r="K412">
        <v>82751</v>
      </c>
      <c r="L412">
        <v>0</v>
      </c>
      <c r="M412">
        <v>0</v>
      </c>
      <c r="N412" s="4">
        <f t="shared" si="6"/>
        <v>6.5913100748027142E-2</v>
      </c>
      <c r="P412">
        <v>1</v>
      </c>
      <c r="Q412">
        <v>0</v>
      </c>
      <c r="R412">
        <v>0</v>
      </c>
      <c r="T412" t="s">
        <v>192</v>
      </c>
    </row>
    <row r="413" spans="1:22">
      <c r="A413">
        <v>510</v>
      </c>
      <c r="B413">
        <v>91174.140625</v>
      </c>
      <c r="C413" t="s">
        <v>852</v>
      </c>
      <c r="D413">
        <v>2.9754459857940669</v>
      </c>
      <c r="E413" t="s">
        <v>160</v>
      </c>
      <c r="F413" t="s">
        <v>851</v>
      </c>
      <c r="G413" t="s">
        <v>192</v>
      </c>
      <c r="H413" t="s">
        <v>3</v>
      </c>
      <c r="I413">
        <v>1</v>
      </c>
      <c r="J413">
        <v>82751</v>
      </c>
      <c r="K413">
        <v>0</v>
      </c>
      <c r="L413">
        <v>0</v>
      </c>
      <c r="M413">
        <v>82751</v>
      </c>
      <c r="N413" s="4">
        <f t="shared" si="6"/>
        <v>0.10178898895481625</v>
      </c>
      <c r="P413">
        <v>0</v>
      </c>
      <c r="Q413">
        <v>0</v>
      </c>
      <c r="R413">
        <v>1</v>
      </c>
      <c r="V413" t="s">
        <v>192</v>
      </c>
    </row>
    <row r="414" spans="1:22">
      <c r="A414">
        <v>511</v>
      </c>
      <c r="B414">
        <v>89121.234375</v>
      </c>
      <c r="C414" t="s">
        <v>853</v>
      </c>
      <c r="D414">
        <v>3.5712027549743648</v>
      </c>
      <c r="E414" t="s">
        <v>160</v>
      </c>
      <c r="F414" t="s">
        <v>851</v>
      </c>
      <c r="G414" t="s">
        <v>192</v>
      </c>
      <c r="H414" t="s">
        <v>4</v>
      </c>
      <c r="I414">
        <v>1</v>
      </c>
      <c r="J414">
        <v>82751</v>
      </c>
      <c r="K414">
        <v>0</v>
      </c>
      <c r="L414">
        <v>82751</v>
      </c>
      <c r="M414">
        <v>0</v>
      </c>
      <c r="N414" s="4">
        <f t="shared" si="6"/>
        <v>7.6980754009015051E-2</v>
      </c>
      <c r="P414">
        <v>0</v>
      </c>
      <c r="Q414">
        <v>1</v>
      </c>
      <c r="R414">
        <v>0</v>
      </c>
      <c r="U414" t="s">
        <v>192</v>
      </c>
    </row>
    <row r="415" spans="1:22">
      <c r="A415">
        <v>512</v>
      </c>
      <c r="B415">
        <v>42105.3671875</v>
      </c>
      <c r="C415" t="s">
        <v>854</v>
      </c>
      <c r="D415">
        <v>3.165111780166626</v>
      </c>
      <c r="E415" t="s">
        <v>160</v>
      </c>
      <c r="F415" t="s">
        <v>855</v>
      </c>
      <c r="G415" t="s">
        <v>193</v>
      </c>
      <c r="H415" t="s">
        <v>2</v>
      </c>
      <c r="I415">
        <v>1</v>
      </c>
      <c r="J415">
        <v>37274</v>
      </c>
      <c r="K415">
        <v>37274</v>
      </c>
      <c r="L415">
        <v>0</v>
      </c>
      <c r="M415">
        <v>0</v>
      </c>
      <c r="N415" s="4">
        <f t="shared" si="6"/>
        <v>0.12961762052637238</v>
      </c>
      <c r="P415">
        <v>1</v>
      </c>
      <c r="Q415">
        <v>0</v>
      </c>
      <c r="R415">
        <v>0</v>
      </c>
      <c r="T415" t="s">
        <v>193</v>
      </c>
    </row>
    <row r="416" spans="1:22">
      <c r="A416">
        <v>513</v>
      </c>
      <c r="B416">
        <v>42067.5859375</v>
      </c>
      <c r="C416" t="s">
        <v>856</v>
      </c>
      <c r="D416">
        <v>3.1490073204040532</v>
      </c>
      <c r="E416" t="s">
        <v>160</v>
      </c>
      <c r="F416" t="s">
        <v>855</v>
      </c>
      <c r="G416" t="s">
        <v>193</v>
      </c>
      <c r="H416" t="s">
        <v>3</v>
      </c>
      <c r="I416">
        <v>1</v>
      </c>
      <c r="J416">
        <v>37274</v>
      </c>
      <c r="K416">
        <v>0</v>
      </c>
      <c r="L416">
        <v>0</v>
      </c>
      <c r="M416">
        <v>37274</v>
      </c>
      <c r="N416" s="4">
        <f t="shared" si="6"/>
        <v>0.12860401184471759</v>
      </c>
      <c r="P416">
        <v>0</v>
      </c>
      <c r="Q416">
        <v>0</v>
      </c>
      <c r="R416">
        <v>1</v>
      </c>
      <c r="V416" t="s">
        <v>193</v>
      </c>
    </row>
    <row r="417" spans="1:22">
      <c r="A417">
        <v>514</v>
      </c>
      <c r="B417">
        <v>41885.140625</v>
      </c>
      <c r="C417" t="s">
        <v>857</v>
      </c>
      <c r="D417">
        <v>3.145337820053101</v>
      </c>
      <c r="E417" t="s">
        <v>160</v>
      </c>
      <c r="F417" t="s">
        <v>855</v>
      </c>
      <c r="G417" t="s">
        <v>193</v>
      </c>
      <c r="H417" t="s">
        <v>4</v>
      </c>
      <c r="I417">
        <v>1</v>
      </c>
      <c r="J417">
        <v>37274</v>
      </c>
      <c r="K417">
        <v>0</v>
      </c>
      <c r="L417">
        <v>37274</v>
      </c>
      <c r="M417">
        <v>0</v>
      </c>
      <c r="N417" s="4">
        <f t="shared" si="6"/>
        <v>0.1237093047432527</v>
      </c>
      <c r="P417">
        <v>0</v>
      </c>
      <c r="Q417">
        <v>1</v>
      </c>
      <c r="R417">
        <v>0</v>
      </c>
      <c r="U417" t="s">
        <v>193</v>
      </c>
    </row>
    <row r="418" spans="1:22">
      <c r="A418">
        <v>515</v>
      </c>
      <c r="B418">
        <v>41076.1953125</v>
      </c>
      <c r="C418" t="s">
        <v>858</v>
      </c>
      <c r="D418">
        <v>2.991060733795166</v>
      </c>
      <c r="E418" t="s">
        <v>160</v>
      </c>
      <c r="F418" t="s">
        <v>859</v>
      </c>
      <c r="G418" t="s">
        <v>194</v>
      </c>
      <c r="H418" t="s">
        <v>2</v>
      </c>
      <c r="I418">
        <v>1</v>
      </c>
      <c r="J418">
        <v>38684</v>
      </c>
      <c r="K418">
        <v>38684</v>
      </c>
      <c r="L418">
        <v>0</v>
      </c>
      <c r="M418">
        <v>0</v>
      </c>
      <c r="N418" s="4">
        <f t="shared" ref="N418:N481" si="7">IFERROR(B418/J418-1,"")</f>
        <v>6.1839399040947152E-2</v>
      </c>
      <c r="P418">
        <v>1</v>
      </c>
      <c r="Q418">
        <v>0</v>
      </c>
      <c r="R418">
        <v>0</v>
      </c>
      <c r="T418" t="s">
        <v>194</v>
      </c>
    </row>
    <row r="419" spans="1:22">
      <c r="A419">
        <v>516</v>
      </c>
      <c r="B419">
        <v>42966.890625</v>
      </c>
      <c r="C419" t="s">
        <v>860</v>
      </c>
      <c r="D419">
        <v>2.89653468132019</v>
      </c>
      <c r="E419" t="s">
        <v>160</v>
      </c>
      <c r="F419" t="s">
        <v>859</v>
      </c>
      <c r="G419" t="s">
        <v>194</v>
      </c>
      <c r="H419" t="s">
        <v>3</v>
      </c>
      <c r="I419">
        <v>1</v>
      </c>
      <c r="J419">
        <v>38684</v>
      </c>
      <c r="K419">
        <v>0</v>
      </c>
      <c r="L419">
        <v>0</v>
      </c>
      <c r="M419">
        <v>38684</v>
      </c>
      <c r="N419" s="4">
        <f t="shared" si="7"/>
        <v>0.11071478195119422</v>
      </c>
      <c r="P419">
        <v>0</v>
      </c>
      <c r="Q419">
        <v>0</v>
      </c>
      <c r="R419">
        <v>1</v>
      </c>
      <c r="V419" t="s">
        <v>194</v>
      </c>
    </row>
    <row r="420" spans="1:22">
      <c r="A420">
        <v>517</v>
      </c>
      <c r="B420">
        <v>41440.3359375</v>
      </c>
      <c r="C420" t="s">
        <v>861</v>
      </c>
      <c r="D420">
        <v>2.9571576118469238</v>
      </c>
      <c r="E420" t="s">
        <v>160</v>
      </c>
      <c r="F420" t="s">
        <v>859</v>
      </c>
      <c r="G420" t="s">
        <v>194</v>
      </c>
      <c r="H420" t="s">
        <v>4</v>
      </c>
      <c r="I420">
        <v>1</v>
      </c>
      <c r="J420">
        <v>38684</v>
      </c>
      <c r="K420">
        <v>0</v>
      </c>
      <c r="L420">
        <v>38684</v>
      </c>
      <c r="M420">
        <v>0</v>
      </c>
      <c r="N420" s="4">
        <f t="shared" si="7"/>
        <v>7.1252609282907553E-2</v>
      </c>
      <c r="P420">
        <v>0</v>
      </c>
      <c r="Q420">
        <v>1</v>
      </c>
      <c r="R420">
        <v>0</v>
      </c>
      <c r="U420" t="s">
        <v>194</v>
      </c>
    </row>
    <row r="421" spans="1:22">
      <c r="A421">
        <v>518</v>
      </c>
      <c r="B421">
        <v>20031.60546875</v>
      </c>
      <c r="C421" t="s">
        <v>862</v>
      </c>
      <c r="D421">
        <v>3.170646190643311</v>
      </c>
      <c r="E421" t="s">
        <v>160</v>
      </c>
      <c r="F421" t="s">
        <v>863</v>
      </c>
      <c r="G421" t="s">
        <v>195</v>
      </c>
      <c r="H421" t="s">
        <v>2</v>
      </c>
      <c r="I421">
        <v>1</v>
      </c>
      <c r="J421">
        <v>18839</v>
      </c>
      <c r="K421">
        <v>18839</v>
      </c>
      <c r="L421">
        <v>0</v>
      </c>
      <c r="M421">
        <v>0</v>
      </c>
      <c r="N421" s="4">
        <f t="shared" si="7"/>
        <v>6.3305136618185598E-2</v>
      </c>
      <c r="P421">
        <v>1</v>
      </c>
      <c r="Q421">
        <v>0</v>
      </c>
      <c r="R421">
        <v>0</v>
      </c>
      <c r="T421" t="s">
        <v>195</v>
      </c>
    </row>
    <row r="422" spans="1:22">
      <c r="A422">
        <v>519</v>
      </c>
      <c r="B422">
        <v>21939.126953125</v>
      </c>
      <c r="C422" t="s">
        <v>864</v>
      </c>
      <c r="D422">
        <v>2.8485434055328369</v>
      </c>
      <c r="E422" t="s">
        <v>160</v>
      </c>
      <c r="F422" t="s">
        <v>863</v>
      </c>
      <c r="G422" t="s">
        <v>195</v>
      </c>
      <c r="H422" t="s">
        <v>3</v>
      </c>
      <c r="I422">
        <v>1</v>
      </c>
      <c r="J422">
        <v>18839</v>
      </c>
      <c r="K422">
        <v>0</v>
      </c>
      <c r="L422">
        <v>0</v>
      </c>
      <c r="M422">
        <v>18839</v>
      </c>
      <c r="N422" s="4">
        <f t="shared" si="7"/>
        <v>0.16455899745872915</v>
      </c>
      <c r="P422">
        <v>0</v>
      </c>
      <c r="Q422">
        <v>0</v>
      </c>
      <c r="R422">
        <v>1</v>
      </c>
      <c r="V422" t="s">
        <v>195</v>
      </c>
    </row>
    <row r="423" spans="1:22">
      <c r="A423">
        <v>520</v>
      </c>
      <c r="B423">
        <v>20461.70703125</v>
      </c>
      <c r="C423" t="s">
        <v>865</v>
      </c>
      <c r="D423">
        <v>2.981844425201416</v>
      </c>
      <c r="E423" t="s">
        <v>160</v>
      </c>
      <c r="F423" t="s">
        <v>863</v>
      </c>
      <c r="G423" t="s">
        <v>195</v>
      </c>
      <c r="H423" t="s">
        <v>4</v>
      </c>
      <c r="I423">
        <v>1</v>
      </c>
      <c r="J423">
        <v>18839</v>
      </c>
      <c r="K423">
        <v>0</v>
      </c>
      <c r="L423">
        <v>18839</v>
      </c>
      <c r="M423">
        <v>0</v>
      </c>
      <c r="N423" s="4">
        <f t="shared" si="7"/>
        <v>8.6135518405966449E-2</v>
      </c>
      <c r="P423">
        <v>0</v>
      </c>
      <c r="Q423">
        <v>1</v>
      </c>
      <c r="R423">
        <v>0</v>
      </c>
      <c r="U423" t="s">
        <v>195</v>
      </c>
    </row>
    <row r="424" spans="1:22">
      <c r="A424">
        <v>521</v>
      </c>
      <c r="B424">
        <v>28365.24609375</v>
      </c>
      <c r="C424" t="s">
        <v>866</v>
      </c>
      <c r="D424">
        <v>3.068625926971436</v>
      </c>
      <c r="E424" t="s">
        <v>160</v>
      </c>
      <c r="F424" t="s">
        <v>867</v>
      </c>
      <c r="G424" t="s">
        <v>196</v>
      </c>
      <c r="H424" t="s">
        <v>2</v>
      </c>
      <c r="I424">
        <v>1</v>
      </c>
      <c r="J424">
        <v>26558</v>
      </c>
      <c r="K424">
        <v>26558</v>
      </c>
      <c r="L424">
        <v>0</v>
      </c>
      <c r="M424">
        <v>0</v>
      </c>
      <c r="N424" s="4">
        <f t="shared" si="7"/>
        <v>6.8049028305971815E-2</v>
      </c>
      <c r="P424">
        <v>1</v>
      </c>
      <c r="Q424">
        <v>0</v>
      </c>
      <c r="R424">
        <v>0</v>
      </c>
      <c r="T424" t="s">
        <v>196</v>
      </c>
    </row>
    <row r="425" spans="1:22">
      <c r="A425">
        <v>522</v>
      </c>
      <c r="B425">
        <v>30145.294921875</v>
      </c>
      <c r="C425" t="s">
        <v>868</v>
      </c>
      <c r="D425">
        <v>2.7816073894500728</v>
      </c>
      <c r="E425" t="s">
        <v>160</v>
      </c>
      <c r="F425" t="s">
        <v>867</v>
      </c>
      <c r="G425" t="s">
        <v>196</v>
      </c>
      <c r="H425" t="s">
        <v>3</v>
      </c>
      <c r="I425">
        <v>1</v>
      </c>
      <c r="J425">
        <v>26558</v>
      </c>
      <c r="K425">
        <v>0</v>
      </c>
      <c r="L425">
        <v>0</v>
      </c>
      <c r="M425">
        <v>26558</v>
      </c>
      <c r="N425" s="4">
        <f t="shared" si="7"/>
        <v>0.13507398606352128</v>
      </c>
      <c r="P425">
        <v>0</v>
      </c>
      <c r="Q425">
        <v>0</v>
      </c>
      <c r="R425">
        <v>1</v>
      </c>
      <c r="V425" t="s">
        <v>196</v>
      </c>
    </row>
    <row r="426" spans="1:22">
      <c r="A426">
        <v>523</v>
      </c>
      <c r="B426">
        <v>29101.4453125</v>
      </c>
      <c r="C426" t="s">
        <v>869</v>
      </c>
      <c r="D426">
        <v>2.82465672492981</v>
      </c>
      <c r="E426" t="s">
        <v>160</v>
      </c>
      <c r="F426" t="s">
        <v>867</v>
      </c>
      <c r="G426" t="s">
        <v>196</v>
      </c>
      <c r="H426" t="s">
        <v>4</v>
      </c>
      <c r="I426">
        <v>1</v>
      </c>
      <c r="J426">
        <v>26558</v>
      </c>
      <c r="K426">
        <v>0</v>
      </c>
      <c r="L426">
        <v>26558</v>
      </c>
      <c r="M426">
        <v>0</v>
      </c>
      <c r="N426" s="4">
        <f t="shared" si="7"/>
        <v>9.5769459767301779E-2</v>
      </c>
      <c r="P426">
        <v>0</v>
      </c>
      <c r="Q426">
        <v>1</v>
      </c>
      <c r="R426">
        <v>0</v>
      </c>
      <c r="U426" t="s">
        <v>196</v>
      </c>
    </row>
    <row r="427" spans="1:22">
      <c r="A427">
        <v>524</v>
      </c>
      <c r="B427">
        <v>83055.921875</v>
      </c>
      <c r="C427" t="s">
        <v>870</v>
      </c>
      <c r="D427">
        <v>3.1220254898071289</v>
      </c>
      <c r="E427" t="s">
        <v>160</v>
      </c>
      <c r="F427" t="s">
        <v>871</v>
      </c>
      <c r="G427" t="s">
        <v>197</v>
      </c>
      <c r="H427" t="s">
        <v>2</v>
      </c>
      <c r="I427">
        <v>1</v>
      </c>
      <c r="J427">
        <v>75478</v>
      </c>
      <c r="K427">
        <v>75478</v>
      </c>
      <c r="L427">
        <v>0</v>
      </c>
      <c r="M427">
        <v>0</v>
      </c>
      <c r="N427" s="4">
        <f t="shared" si="7"/>
        <v>0.10039908152044297</v>
      </c>
      <c r="P427">
        <v>1</v>
      </c>
      <c r="Q427">
        <v>0</v>
      </c>
      <c r="R427">
        <v>0</v>
      </c>
      <c r="T427" t="s">
        <v>197</v>
      </c>
    </row>
    <row r="428" spans="1:22">
      <c r="A428">
        <v>525</v>
      </c>
      <c r="B428">
        <v>87535.3359375</v>
      </c>
      <c r="C428" t="s">
        <v>872</v>
      </c>
      <c r="D428">
        <v>2.9729173183441162</v>
      </c>
      <c r="E428" t="s">
        <v>160</v>
      </c>
      <c r="F428" t="s">
        <v>871</v>
      </c>
      <c r="G428" t="s">
        <v>197</v>
      </c>
      <c r="H428" t="s">
        <v>3</v>
      </c>
      <c r="I428">
        <v>1</v>
      </c>
      <c r="J428">
        <v>75478</v>
      </c>
      <c r="K428">
        <v>0</v>
      </c>
      <c r="L428">
        <v>0</v>
      </c>
      <c r="M428">
        <v>75478</v>
      </c>
      <c r="N428" s="4">
        <f t="shared" si="7"/>
        <v>0.15974636235061879</v>
      </c>
      <c r="P428">
        <v>0</v>
      </c>
      <c r="Q428">
        <v>0</v>
      </c>
      <c r="R428">
        <v>1</v>
      </c>
      <c r="V428" t="s">
        <v>197</v>
      </c>
    </row>
    <row r="429" spans="1:22">
      <c r="A429">
        <v>526</v>
      </c>
      <c r="B429">
        <v>84795.8125</v>
      </c>
      <c r="C429" t="s">
        <v>873</v>
      </c>
      <c r="D429">
        <v>2.9816410541534419</v>
      </c>
      <c r="E429" t="s">
        <v>160</v>
      </c>
      <c r="F429" t="s">
        <v>871</v>
      </c>
      <c r="G429" t="s">
        <v>197</v>
      </c>
      <c r="H429" t="s">
        <v>4</v>
      </c>
      <c r="I429">
        <v>1</v>
      </c>
      <c r="J429">
        <v>75478</v>
      </c>
      <c r="K429">
        <v>0</v>
      </c>
      <c r="L429">
        <v>75478</v>
      </c>
      <c r="M429">
        <v>0</v>
      </c>
      <c r="N429" s="4">
        <f t="shared" si="7"/>
        <v>0.12345070749092457</v>
      </c>
      <c r="P429">
        <v>0</v>
      </c>
      <c r="Q429">
        <v>1</v>
      </c>
      <c r="R429">
        <v>0</v>
      </c>
      <c r="U429" t="s">
        <v>197</v>
      </c>
    </row>
    <row r="430" spans="1:22">
      <c r="A430">
        <v>527</v>
      </c>
      <c r="B430">
        <v>37899.2421875</v>
      </c>
      <c r="C430" t="s">
        <v>874</v>
      </c>
      <c r="D430">
        <v>3.1610784530639648</v>
      </c>
      <c r="E430" t="s">
        <v>160</v>
      </c>
      <c r="F430" t="s">
        <v>875</v>
      </c>
      <c r="G430" t="s">
        <v>198</v>
      </c>
      <c r="H430" t="s">
        <v>2</v>
      </c>
      <c r="I430">
        <v>1</v>
      </c>
      <c r="J430">
        <v>35291</v>
      </c>
      <c r="K430">
        <v>35291</v>
      </c>
      <c r="L430">
        <v>0</v>
      </c>
      <c r="M430">
        <v>0</v>
      </c>
      <c r="N430" s="4">
        <f t="shared" si="7"/>
        <v>7.3906723739763702E-2</v>
      </c>
      <c r="P430">
        <v>1</v>
      </c>
      <c r="Q430">
        <v>0</v>
      </c>
      <c r="R430">
        <v>0</v>
      </c>
      <c r="T430" t="s">
        <v>198</v>
      </c>
    </row>
    <row r="431" spans="1:22">
      <c r="A431">
        <v>528</v>
      </c>
      <c r="B431">
        <v>43738.53125</v>
      </c>
      <c r="C431" t="s">
        <v>876</v>
      </c>
      <c r="D431">
        <v>2.9550976753234859</v>
      </c>
      <c r="E431" t="s">
        <v>160</v>
      </c>
      <c r="F431" t="s">
        <v>875</v>
      </c>
      <c r="G431" t="s">
        <v>198</v>
      </c>
      <c r="H431" t="s">
        <v>3</v>
      </c>
      <c r="I431">
        <v>1</v>
      </c>
      <c r="J431">
        <v>35291</v>
      </c>
      <c r="K431">
        <v>0</v>
      </c>
      <c r="L431">
        <v>0</v>
      </c>
      <c r="M431">
        <v>35291</v>
      </c>
      <c r="N431" s="4">
        <f t="shared" si="7"/>
        <v>0.23936786291122392</v>
      </c>
      <c r="P431">
        <v>0</v>
      </c>
      <c r="Q431">
        <v>0</v>
      </c>
      <c r="R431">
        <v>1</v>
      </c>
      <c r="V431" t="s">
        <v>198</v>
      </c>
    </row>
    <row r="432" spans="1:22">
      <c r="A432">
        <v>529</v>
      </c>
      <c r="B432">
        <v>39350.7109375</v>
      </c>
      <c r="C432" t="s">
        <v>877</v>
      </c>
      <c r="D432">
        <v>3.0322012901306148</v>
      </c>
      <c r="E432" t="s">
        <v>160</v>
      </c>
      <c r="F432" t="s">
        <v>875</v>
      </c>
      <c r="G432" t="s">
        <v>198</v>
      </c>
      <c r="H432" t="s">
        <v>4</v>
      </c>
      <c r="I432">
        <v>1</v>
      </c>
      <c r="J432">
        <v>35291</v>
      </c>
      <c r="K432">
        <v>0</v>
      </c>
      <c r="L432">
        <v>35291</v>
      </c>
      <c r="M432">
        <v>0</v>
      </c>
      <c r="N432" s="4">
        <f t="shared" si="7"/>
        <v>0.11503530468108014</v>
      </c>
      <c r="P432">
        <v>0</v>
      </c>
      <c r="Q432">
        <v>1</v>
      </c>
      <c r="R432">
        <v>0</v>
      </c>
      <c r="U432" t="s">
        <v>198</v>
      </c>
    </row>
    <row r="433" spans="1:22">
      <c r="A433">
        <v>530</v>
      </c>
      <c r="B433">
        <v>24817.734375</v>
      </c>
      <c r="C433" t="s">
        <v>878</v>
      </c>
      <c r="D433">
        <v>3.4633796215057369</v>
      </c>
      <c r="E433" t="s">
        <v>160</v>
      </c>
      <c r="F433" t="s">
        <v>879</v>
      </c>
      <c r="G433" t="s">
        <v>199</v>
      </c>
      <c r="H433" t="s">
        <v>2</v>
      </c>
      <c r="I433">
        <v>1</v>
      </c>
      <c r="J433">
        <v>21245</v>
      </c>
      <c r="K433">
        <v>21245</v>
      </c>
      <c r="L433">
        <v>0</v>
      </c>
      <c r="M433">
        <v>0</v>
      </c>
      <c r="N433" s="4">
        <f t="shared" si="7"/>
        <v>0.16816824546952214</v>
      </c>
      <c r="P433">
        <v>1</v>
      </c>
      <c r="Q433">
        <v>0</v>
      </c>
      <c r="R433">
        <v>0</v>
      </c>
      <c r="T433" t="s">
        <v>199</v>
      </c>
    </row>
    <row r="434" spans="1:22">
      <c r="A434">
        <v>531</v>
      </c>
      <c r="B434">
        <v>28511.625</v>
      </c>
      <c r="C434" t="s">
        <v>880</v>
      </c>
      <c r="D434">
        <v>2.9259097576141362</v>
      </c>
      <c r="E434" t="s">
        <v>160</v>
      </c>
      <c r="F434" t="s">
        <v>879</v>
      </c>
      <c r="G434" t="s">
        <v>199</v>
      </c>
      <c r="H434" t="s">
        <v>3</v>
      </c>
      <c r="I434">
        <v>1</v>
      </c>
      <c r="J434">
        <v>21245</v>
      </c>
      <c r="K434">
        <v>0</v>
      </c>
      <c r="L434">
        <v>0</v>
      </c>
      <c r="M434">
        <v>21245</v>
      </c>
      <c r="N434" s="4">
        <f t="shared" si="7"/>
        <v>0.34203930336549782</v>
      </c>
      <c r="P434">
        <v>0</v>
      </c>
      <c r="Q434">
        <v>0</v>
      </c>
      <c r="R434">
        <v>1</v>
      </c>
      <c r="V434" t="s">
        <v>199</v>
      </c>
    </row>
    <row r="435" spans="1:22">
      <c r="A435">
        <v>532</v>
      </c>
      <c r="B435">
        <v>25410.171875</v>
      </c>
      <c r="C435" t="s">
        <v>881</v>
      </c>
      <c r="D435">
        <v>3.115998506546021</v>
      </c>
      <c r="E435" t="s">
        <v>160</v>
      </c>
      <c r="F435" t="s">
        <v>879</v>
      </c>
      <c r="G435" t="s">
        <v>199</v>
      </c>
      <c r="H435" t="s">
        <v>4</v>
      </c>
      <c r="I435">
        <v>1</v>
      </c>
      <c r="J435">
        <v>21245</v>
      </c>
      <c r="K435">
        <v>0</v>
      </c>
      <c r="L435">
        <v>21245</v>
      </c>
      <c r="M435">
        <v>0</v>
      </c>
      <c r="N435" s="4">
        <f t="shared" si="7"/>
        <v>0.19605421863967987</v>
      </c>
      <c r="P435">
        <v>0</v>
      </c>
      <c r="Q435">
        <v>1</v>
      </c>
      <c r="R435">
        <v>0</v>
      </c>
      <c r="U435" t="s">
        <v>199</v>
      </c>
    </row>
    <row r="436" spans="1:22">
      <c r="A436">
        <v>533</v>
      </c>
      <c r="B436">
        <v>35943.49609375</v>
      </c>
      <c r="C436" t="s">
        <v>882</v>
      </c>
      <c r="D436">
        <v>3.544022798538208</v>
      </c>
      <c r="E436" t="s">
        <v>160</v>
      </c>
      <c r="F436" t="s">
        <v>883</v>
      </c>
      <c r="G436" t="s">
        <v>200</v>
      </c>
      <c r="H436" t="s">
        <v>2</v>
      </c>
      <c r="I436">
        <v>1</v>
      </c>
      <c r="J436">
        <v>33503</v>
      </c>
      <c r="K436">
        <v>33503</v>
      </c>
      <c r="L436">
        <v>0</v>
      </c>
      <c r="M436">
        <v>0</v>
      </c>
      <c r="N436" s="4">
        <f t="shared" si="7"/>
        <v>7.2844106311375167E-2</v>
      </c>
      <c r="P436">
        <v>1</v>
      </c>
      <c r="Q436">
        <v>0</v>
      </c>
      <c r="R436">
        <v>0</v>
      </c>
      <c r="T436" t="s">
        <v>200</v>
      </c>
    </row>
    <row r="437" spans="1:22">
      <c r="A437">
        <v>534</v>
      </c>
      <c r="B437">
        <v>38746.5703125</v>
      </c>
      <c r="C437" t="s">
        <v>884</v>
      </c>
      <c r="D437">
        <v>2.8752751350402832</v>
      </c>
      <c r="E437" t="s">
        <v>160</v>
      </c>
      <c r="F437" t="s">
        <v>883</v>
      </c>
      <c r="G437" t="s">
        <v>200</v>
      </c>
      <c r="H437" t="s">
        <v>3</v>
      </c>
      <c r="I437">
        <v>1</v>
      </c>
      <c r="J437">
        <v>33503</v>
      </c>
      <c r="K437">
        <v>0</v>
      </c>
      <c r="L437">
        <v>0</v>
      </c>
      <c r="M437">
        <v>33503</v>
      </c>
      <c r="N437" s="4">
        <f t="shared" si="7"/>
        <v>0.15651047107721694</v>
      </c>
      <c r="P437">
        <v>0</v>
      </c>
      <c r="Q437">
        <v>0</v>
      </c>
      <c r="R437">
        <v>1</v>
      </c>
      <c r="V437" t="s">
        <v>200</v>
      </c>
    </row>
    <row r="438" spans="1:22">
      <c r="A438">
        <v>535</v>
      </c>
      <c r="B438">
        <v>37186.25390625</v>
      </c>
      <c r="C438" t="s">
        <v>885</v>
      </c>
      <c r="D438">
        <v>3.1467132568359379</v>
      </c>
      <c r="E438" t="s">
        <v>160</v>
      </c>
      <c r="F438" t="s">
        <v>883</v>
      </c>
      <c r="G438" t="s">
        <v>200</v>
      </c>
      <c r="H438" t="s">
        <v>4</v>
      </c>
      <c r="I438">
        <v>1</v>
      </c>
      <c r="J438">
        <v>33503</v>
      </c>
      <c r="K438">
        <v>0</v>
      </c>
      <c r="L438">
        <v>33503</v>
      </c>
      <c r="M438">
        <v>0</v>
      </c>
      <c r="N438" s="4">
        <f t="shared" si="7"/>
        <v>0.10993803260155799</v>
      </c>
      <c r="P438">
        <v>0</v>
      </c>
      <c r="Q438">
        <v>1</v>
      </c>
      <c r="R438">
        <v>0</v>
      </c>
      <c r="U438" t="s">
        <v>200</v>
      </c>
    </row>
    <row r="439" spans="1:22">
      <c r="A439">
        <v>536</v>
      </c>
      <c r="B439">
        <v>22331.470703125</v>
      </c>
      <c r="C439" t="s">
        <v>886</v>
      </c>
      <c r="D439">
        <v>3.035053968429565</v>
      </c>
      <c r="E439" t="s">
        <v>160</v>
      </c>
      <c r="F439" t="s">
        <v>887</v>
      </c>
      <c r="G439" t="s">
        <v>201</v>
      </c>
      <c r="H439" t="s">
        <v>2</v>
      </c>
      <c r="I439">
        <v>1</v>
      </c>
      <c r="J439">
        <v>20226</v>
      </c>
      <c r="K439">
        <v>20226</v>
      </c>
      <c r="L439">
        <v>0</v>
      </c>
      <c r="M439">
        <v>0</v>
      </c>
      <c r="N439" s="4">
        <f t="shared" si="7"/>
        <v>0.10409723638509849</v>
      </c>
      <c r="P439">
        <v>1</v>
      </c>
      <c r="Q439">
        <v>0</v>
      </c>
      <c r="R439">
        <v>0</v>
      </c>
      <c r="T439" t="s">
        <v>201</v>
      </c>
    </row>
    <row r="440" spans="1:22">
      <c r="A440">
        <v>537</v>
      </c>
      <c r="B440">
        <v>26169.04296875</v>
      </c>
      <c r="C440" t="s">
        <v>888</v>
      </c>
      <c r="D440">
        <v>2.7972958087921138</v>
      </c>
      <c r="E440" t="s">
        <v>160</v>
      </c>
      <c r="F440" t="s">
        <v>887</v>
      </c>
      <c r="G440" t="s">
        <v>201</v>
      </c>
      <c r="H440" t="s">
        <v>3</v>
      </c>
      <c r="I440">
        <v>1</v>
      </c>
      <c r="J440">
        <v>20226</v>
      </c>
      <c r="K440">
        <v>0</v>
      </c>
      <c r="L440">
        <v>0</v>
      </c>
      <c r="M440">
        <v>20226</v>
      </c>
      <c r="N440" s="4">
        <f t="shared" si="7"/>
        <v>0.29383184854889755</v>
      </c>
      <c r="P440">
        <v>0</v>
      </c>
      <c r="Q440">
        <v>0</v>
      </c>
      <c r="R440">
        <v>1</v>
      </c>
      <c r="V440" t="s">
        <v>201</v>
      </c>
    </row>
    <row r="441" spans="1:22">
      <c r="A441">
        <v>538</v>
      </c>
      <c r="B441">
        <v>23241.56640625</v>
      </c>
      <c r="C441" t="s">
        <v>889</v>
      </c>
      <c r="D441">
        <v>3.1941220760345459</v>
      </c>
      <c r="E441" t="s">
        <v>160</v>
      </c>
      <c r="F441" t="s">
        <v>887</v>
      </c>
      <c r="G441" t="s">
        <v>201</v>
      </c>
      <c r="H441" t="s">
        <v>4</v>
      </c>
      <c r="I441">
        <v>1</v>
      </c>
      <c r="J441">
        <v>20226</v>
      </c>
      <c r="K441">
        <v>0</v>
      </c>
      <c r="L441">
        <v>20226</v>
      </c>
      <c r="M441">
        <v>0</v>
      </c>
      <c r="N441" s="4">
        <f t="shared" si="7"/>
        <v>0.14909356305003452</v>
      </c>
      <c r="P441">
        <v>0</v>
      </c>
      <c r="Q441">
        <v>1</v>
      </c>
      <c r="R441">
        <v>0</v>
      </c>
      <c r="U441" t="s">
        <v>201</v>
      </c>
    </row>
    <row r="442" spans="1:22">
      <c r="A442">
        <v>539</v>
      </c>
      <c r="B442">
        <v>104360.71875</v>
      </c>
      <c r="C442" t="s">
        <v>890</v>
      </c>
      <c r="D442">
        <v>3.530210018157959</v>
      </c>
      <c r="E442" t="s">
        <v>160</v>
      </c>
      <c r="F442" t="s">
        <v>891</v>
      </c>
      <c r="G442" t="s">
        <v>202</v>
      </c>
      <c r="H442" t="s">
        <v>2</v>
      </c>
      <c r="I442">
        <v>1</v>
      </c>
      <c r="J442">
        <v>95151</v>
      </c>
      <c r="K442">
        <v>95151</v>
      </c>
      <c r="L442">
        <v>0</v>
      </c>
      <c r="M442">
        <v>0</v>
      </c>
      <c r="N442" s="4">
        <f t="shared" si="7"/>
        <v>9.6790561843806078E-2</v>
      </c>
      <c r="P442">
        <v>1</v>
      </c>
      <c r="Q442">
        <v>0</v>
      </c>
      <c r="R442">
        <v>0</v>
      </c>
      <c r="T442" t="s">
        <v>202</v>
      </c>
    </row>
    <row r="443" spans="1:22">
      <c r="A443">
        <v>540</v>
      </c>
      <c r="B443">
        <v>107523.5703125</v>
      </c>
      <c r="C443" t="s">
        <v>892</v>
      </c>
      <c r="D443">
        <v>2.9854612350463872</v>
      </c>
      <c r="E443" t="s">
        <v>160</v>
      </c>
      <c r="F443" t="s">
        <v>891</v>
      </c>
      <c r="G443" t="s">
        <v>202</v>
      </c>
      <c r="H443" t="s">
        <v>3</v>
      </c>
      <c r="I443">
        <v>1</v>
      </c>
      <c r="J443">
        <v>95151</v>
      </c>
      <c r="K443">
        <v>0</v>
      </c>
      <c r="L443">
        <v>0</v>
      </c>
      <c r="M443">
        <v>95151</v>
      </c>
      <c r="N443" s="4">
        <f t="shared" si="7"/>
        <v>0.13003090154070907</v>
      </c>
      <c r="P443">
        <v>0</v>
      </c>
      <c r="Q443">
        <v>0</v>
      </c>
      <c r="R443">
        <v>1</v>
      </c>
      <c r="V443" t="s">
        <v>202</v>
      </c>
    </row>
    <row r="444" spans="1:22">
      <c r="A444">
        <v>541</v>
      </c>
      <c r="B444">
        <v>105214.8515625</v>
      </c>
      <c r="C444" t="s">
        <v>893</v>
      </c>
      <c r="D444">
        <v>3.1921999454498291</v>
      </c>
      <c r="E444" t="s">
        <v>160</v>
      </c>
      <c r="F444" t="s">
        <v>891</v>
      </c>
      <c r="G444" t="s">
        <v>202</v>
      </c>
      <c r="H444" t="s">
        <v>4</v>
      </c>
      <c r="I444">
        <v>1</v>
      </c>
      <c r="J444">
        <v>95151</v>
      </c>
      <c r="K444">
        <v>0</v>
      </c>
      <c r="L444">
        <v>95151</v>
      </c>
      <c r="M444">
        <v>0</v>
      </c>
      <c r="N444" s="4">
        <f t="shared" si="7"/>
        <v>0.1057671654790806</v>
      </c>
      <c r="P444">
        <v>0</v>
      </c>
      <c r="Q444">
        <v>1</v>
      </c>
      <c r="R444">
        <v>0</v>
      </c>
      <c r="U444" t="s">
        <v>202</v>
      </c>
    </row>
    <row r="445" spans="1:22">
      <c r="A445">
        <v>542</v>
      </c>
      <c r="B445">
        <v>51624.4296875</v>
      </c>
      <c r="C445" t="s">
        <v>894</v>
      </c>
      <c r="D445">
        <v>3.2544069290161128</v>
      </c>
      <c r="E445" t="s">
        <v>160</v>
      </c>
      <c r="F445" t="s">
        <v>895</v>
      </c>
      <c r="G445" t="s">
        <v>203</v>
      </c>
      <c r="H445" t="s">
        <v>2</v>
      </c>
      <c r="I445">
        <v>1</v>
      </c>
      <c r="J445">
        <v>47161</v>
      </c>
      <c r="K445">
        <v>47161</v>
      </c>
      <c r="L445">
        <v>0</v>
      </c>
      <c r="M445">
        <v>0</v>
      </c>
      <c r="N445" s="4">
        <f t="shared" si="7"/>
        <v>9.4642388573185521E-2</v>
      </c>
      <c r="P445">
        <v>1</v>
      </c>
      <c r="Q445">
        <v>0</v>
      </c>
      <c r="R445">
        <v>0</v>
      </c>
      <c r="T445" t="s">
        <v>203</v>
      </c>
    </row>
    <row r="446" spans="1:22">
      <c r="A446">
        <v>543</v>
      </c>
      <c r="B446">
        <v>56734.796875</v>
      </c>
      <c r="C446" t="s">
        <v>896</v>
      </c>
      <c r="D446">
        <v>2.9390461444854741</v>
      </c>
      <c r="E446" t="s">
        <v>160</v>
      </c>
      <c r="F446" t="s">
        <v>895</v>
      </c>
      <c r="G446" t="s">
        <v>203</v>
      </c>
      <c r="H446" t="s">
        <v>3</v>
      </c>
      <c r="I446">
        <v>1</v>
      </c>
      <c r="J446">
        <v>47161</v>
      </c>
      <c r="K446">
        <v>0</v>
      </c>
      <c r="L446">
        <v>0</v>
      </c>
      <c r="M446">
        <v>47161</v>
      </c>
      <c r="N446" s="4">
        <f t="shared" si="7"/>
        <v>0.2030024146010474</v>
      </c>
      <c r="P446">
        <v>0</v>
      </c>
      <c r="Q446">
        <v>0</v>
      </c>
      <c r="R446">
        <v>1</v>
      </c>
      <c r="V446" t="s">
        <v>203</v>
      </c>
    </row>
    <row r="447" spans="1:22">
      <c r="A447">
        <v>544</v>
      </c>
      <c r="B447">
        <v>52740.90625</v>
      </c>
      <c r="C447" t="s">
        <v>897</v>
      </c>
      <c r="D447">
        <v>3.187045574188232</v>
      </c>
      <c r="E447" t="s">
        <v>160</v>
      </c>
      <c r="F447" t="s">
        <v>895</v>
      </c>
      <c r="G447" t="s">
        <v>203</v>
      </c>
      <c r="H447" t="s">
        <v>4</v>
      </c>
      <c r="I447">
        <v>1</v>
      </c>
      <c r="J447">
        <v>47161</v>
      </c>
      <c r="K447">
        <v>0</v>
      </c>
      <c r="L447">
        <v>47161</v>
      </c>
      <c r="M447">
        <v>0</v>
      </c>
      <c r="N447" s="4">
        <f t="shared" si="7"/>
        <v>0.1183161139500859</v>
      </c>
      <c r="P447">
        <v>0</v>
      </c>
      <c r="Q447">
        <v>1</v>
      </c>
      <c r="R447">
        <v>0</v>
      </c>
      <c r="U447" t="s">
        <v>203</v>
      </c>
    </row>
    <row r="448" spans="1:22">
      <c r="A448">
        <v>545</v>
      </c>
      <c r="B448">
        <v>37194.4375</v>
      </c>
      <c r="C448" t="s">
        <v>898</v>
      </c>
      <c r="D448">
        <v>3.1735928058624272</v>
      </c>
      <c r="E448" t="s">
        <v>160</v>
      </c>
      <c r="F448" t="s">
        <v>899</v>
      </c>
      <c r="G448" t="s">
        <v>204</v>
      </c>
      <c r="H448" t="s">
        <v>2</v>
      </c>
      <c r="I448">
        <v>1</v>
      </c>
      <c r="J448">
        <v>34231</v>
      </c>
      <c r="K448">
        <v>34231</v>
      </c>
      <c r="L448">
        <v>0</v>
      </c>
      <c r="M448">
        <v>0</v>
      </c>
      <c r="N448" s="4">
        <f t="shared" si="7"/>
        <v>8.6571747830913592E-2</v>
      </c>
      <c r="P448">
        <v>1</v>
      </c>
      <c r="Q448">
        <v>0</v>
      </c>
      <c r="R448">
        <v>0</v>
      </c>
      <c r="T448" t="s">
        <v>204</v>
      </c>
    </row>
    <row r="449" spans="1:22">
      <c r="A449">
        <v>546</v>
      </c>
      <c r="B449">
        <v>42044.0078125</v>
      </c>
      <c r="C449" t="s">
        <v>900</v>
      </c>
      <c r="D449">
        <v>2.8978326320648189</v>
      </c>
      <c r="E449" t="s">
        <v>160</v>
      </c>
      <c r="F449" t="s">
        <v>899</v>
      </c>
      <c r="G449" t="s">
        <v>204</v>
      </c>
      <c r="H449" t="s">
        <v>3</v>
      </c>
      <c r="I449">
        <v>1</v>
      </c>
      <c r="J449">
        <v>34231</v>
      </c>
      <c r="K449">
        <v>0</v>
      </c>
      <c r="L449">
        <v>0</v>
      </c>
      <c r="M449">
        <v>34231</v>
      </c>
      <c r="N449" s="4">
        <f t="shared" si="7"/>
        <v>0.2282436333294382</v>
      </c>
      <c r="P449">
        <v>0</v>
      </c>
      <c r="Q449">
        <v>0</v>
      </c>
      <c r="R449">
        <v>1</v>
      </c>
      <c r="V449" t="s">
        <v>204</v>
      </c>
    </row>
    <row r="450" spans="1:22">
      <c r="A450">
        <v>547</v>
      </c>
      <c r="B450">
        <v>38513.40625</v>
      </c>
      <c r="C450" t="s">
        <v>901</v>
      </c>
      <c r="D450">
        <v>3.16904616355896</v>
      </c>
      <c r="E450" t="s">
        <v>160</v>
      </c>
      <c r="F450" t="s">
        <v>899</v>
      </c>
      <c r="G450" t="s">
        <v>204</v>
      </c>
      <c r="H450" t="s">
        <v>4</v>
      </c>
      <c r="I450">
        <v>1</v>
      </c>
      <c r="J450">
        <v>34231</v>
      </c>
      <c r="K450">
        <v>0</v>
      </c>
      <c r="L450">
        <v>34231</v>
      </c>
      <c r="M450">
        <v>0</v>
      </c>
      <c r="N450" s="4">
        <f t="shared" si="7"/>
        <v>0.12510315941690275</v>
      </c>
      <c r="P450">
        <v>0</v>
      </c>
      <c r="Q450">
        <v>1</v>
      </c>
      <c r="R450">
        <v>0</v>
      </c>
      <c r="U450" t="s">
        <v>204</v>
      </c>
    </row>
    <row r="451" spans="1:22">
      <c r="A451">
        <v>548</v>
      </c>
      <c r="B451">
        <v>23516.525390625</v>
      </c>
      <c r="C451" t="s">
        <v>902</v>
      </c>
      <c r="D451">
        <v>3.2920172214508061</v>
      </c>
      <c r="E451" t="s">
        <v>160</v>
      </c>
      <c r="F451" t="s">
        <v>903</v>
      </c>
      <c r="G451" t="s">
        <v>205</v>
      </c>
      <c r="H451" t="s">
        <v>2</v>
      </c>
      <c r="I451">
        <v>1</v>
      </c>
      <c r="J451">
        <v>21736</v>
      </c>
      <c r="K451">
        <v>21736</v>
      </c>
      <c r="L451">
        <v>0</v>
      </c>
      <c r="M451">
        <v>0</v>
      </c>
      <c r="N451" s="4">
        <f t="shared" si="7"/>
        <v>8.1915963867546848E-2</v>
      </c>
      <c r="P451">
        <v>1</v>
      </c>
      <c r="Q451">
        <v>0</v>
      </c>
      <c r="R451">
        <v>0</v>
      </c>
      <c r="T451" t="s">
        <v>205</v>
      </c>
    </row>
    <row r="452" spans="1:22">
      <c r="A452">
        <v>549</v>
      </c>
      <c r="B452">
        <v>26694.95703125</v>
      </c>
      <c r="C452" t="s">
        <v>904</v>
      </c>
      <c r="D452">
        <v>2.960188627243042</v>
      </c>
      <c r="E452" t="s">
        <v>160</v>
      </c>
      <c r="F452" t="s">
        <v>903</v>
      </c>
      <c r="G452" t="s">
        <v>205</v>
      </c>
      <c r="H452" t="s">
        <v>3</v>
      </c>
      <c r="I452">
        <v>1</v>
      </c>
      <c r="J452">
        <v>21736</v>
      </c>
      <c r="K452">
        <v>0</v>
      </c>
      <c r="L452">
        <v>0</v>
      </c>
      <c r="M452">
        <v>21736</v>
      </c>
      <c r="N452" s="4">
        <f t="shared" si="7"/>
        <v>0.22814487629968716</v>
      </c>
      <c r="P452">
        <v>0</v>
      </c>
      <c r="Q452">
        <v>0</v>
      </c>
      <c r="R452">
        <v>1</v>
      </c>
      <c r="V452" t="s">
        <v>205</v>
      </c>
    </row>
    <row r="453" spans="1:22">
      <c r="A453">
        <v>550</v>
      </c>
      <c r="B453">
        <v>23849.1875</v>
      </c>
      <c r="C453" t="s">
        <v>905</v>
      </c>
      <c r="D453">
        <v>2.9110054969787602</v>
      </c>
      <c r="E453" t="s">
        <v>160</v>
      </c>
      <c r="F453" t="s">
        <v>903</v>
      </c>
      <c r="G453" t="s">
        <v>205</v>
      </c>
      <c r="H453" t="s">
        <v>4</v>
      </c>
      <c r="I453">
        <v>1</v>
      </c>
      <c r="J453">
        <v>21736</v>
      </c>
      <c r="K453">
        <v>0</v>
      </c>
      <c r="L453">
        <v>21736</v>
      </c>
      <c r="M453">
        <v>0</v>
      </c>
      <c r="N453" s="4">
        <f t="shared" si="7"/>
        <v>9.7220624769966957E-2</v>
      </c>
      <c r="P453">
        <v>0</v>
      </c>
      <c r="Q453">
        <v>1</v>
      </c>
      <c r="R453">
        <v>0</v>
      </c>
      <c r="U453" t="s">
        <v>205</v>
      </c>
    </row>
    <row r="454" spans="1:22">
      <c r="A454">
        <v>551</v>
      </c>
      <c r="B454">
        <v>28215.310546875</v>
      </c>
      <c r="C454" t="s">
        <v>906</v>
      </c>
      <c r="D454">
        <v>3.7242364883422852</v>
      </c>
      <c r="E454" t="s">
        <v>160</v>
      </c>
      <c r="F454" t="s">
        <v>907</v>
      </c>
      <c r="G454" t="s">
        <v>206</v>
      </c>
      <c r="H454" t="s">
        <v>2</v>
      </c>
      <c r="I454">
        <v>1</v>
      </c>
      <c r="J454">
        <v>25859</v>
      </c>
      <c r="K454">
        <v>25859</v>
      </c>
      <c r="L454">
        <v>0</v>
      </c>
      <c r="M454">
        <v>0</v>
      </c>
      <c r="N454" s="4">
        <f t="shared" si="7"/>
        <v>9.1121487562357384E-2</v>
      </c>
      <c r="P454">
        <v>1</v>
      </c>
      <c r="Q454">
        <v>0</v>
      </c>
      <c r="R454">
        <v>0</v>
      </c>
      <c r="T454" t="s">
        <v>206</v>
      </c>
    </row>
    <row r="455" spans="1:22">
      <c r="A455">
        <v>552</v>
      </c>
      <c r="B455">
        <v>30899.583984375</v>
      </c>
      <c r="C455" t="s">
        <v>908</v>
      </c>
      <c r="D455">
        <v>2.8489663600921631</v>
      </c>
      <c r="E455" t="s">
        <v>160</v>
      </c>
      <c r="F455" t="s">
        <v>907</v>
      </c>
      <c r="G455" t="s">
        <v>206</v>
      </c>
      <c r="H455" t="s">
        <v>3</v>
      </c>
      <c r="I455">
        <v>1</v>
      </c>
      <c r="J455">
        <v>25859</v>
      </c>
      <c r="K455">
        <v>0</v>
      </c>
      <c r="L455">
        <v>0</v>
      </c>
      <c r="M455">
        <v>25859</v>
      </c>
      <c r="N455" s="4">
        <f t="shared" si="7"/>
        <v>0.19492571191364716</v>
      </c>
      <c r="P455">
        <v>0</v>
      </c>
      <c r="Q455">
        <v>0</v>
      </c>
      <c r="R455">
        <v>1</v>
      </c>
      <c r="V455" t="s">
        <v>206</v>
      </c>
    </row>
    <row r="456" spans="1:22">
      <c r="A456">
        <v>553</v>
      </c>
      <c r="B456">
        <v>28421.869140625</v>
      </c>
      <c r="C456" t="s">
        <v>909</v>
      </c>
      <c r="D456">
        <v>3.5416502952575679</v>
      </c>
      <c r="E456" t="s">
        <v>160</v>
      </c>
      <c r="F456" t="s">
        <v>907</v>
      </c>
      <c r="G456" t="s">
        <v>206</v>
      </c>
      <c r="H456" t="s">
        <v>4</v>
      </c>
      <c r="I456">
        <v>1</v>
      </c>
      <c r="J456">
        <v>25859</v>
      </c>
      <c r="K456">
        <v>0</v>
      </c>
      <c r="L456">
        <v>25859</v>
      </c>
      <c r="M456">
        <v>0</v>
      </c>
      <c r="N456" s="4">
        <f t="shared" si="7"/>
        <v>9.9109367749139476E-2</v>
      </c>
      <c r="P456">
        <v>0</v>
      </c>
      <c r="Q456">
        <v>1</v>
      </c>
      <c r="R456">
        <v>0</v>
      </c>
      <c r="U456" t="s">
        <v>206</v>
      </c>
    </row>
    <row r="457" spans="1:22">
      <c r="A457">
        <v>554</v>
      </c>
      <c r="B457">
        <v>101518.078125</v>
      </c>
      <c r="C457" t="s">
        <v>910</v>
      </c>
      <c r="D457">
        <v>4.9863784313201904</v>
      </c>
      <c r="E457" t="s">
        <v>160</v>
      </c>
      <c r="F457" t="s">
        <v>911</v>
      </c>
      <c r="G457" t="s">
        <v>207</v>
      </c>
      <c r="H457" t="s">
        <v>2</v>
      </c>
      <c r="I457">
        <v>1</v>
      </c>
      <c r="J457">
        <v>94043</v>
      </c>
      <c r="K457">
        <v>94043</v>
      </c>
      <c r="L457">
        <v>0</v>
      </c>
      <c r="M457">
        <v>0</v>
      </c>
      <c r="N457" s="4">
        <f t="shared" si="7"/>
        <v>7.948574721138213E-2</v>
      </c>
      <c r="P457">
        <v>1</v>
      </c>
      <c r="Q457">
        <v>0</v>
      </c>
      <c r="R457">
        <v>0</v>
      </c>
      <c r="T457" t="s">
        <v>207</v>
      </c>
    </row>
    <row r="458" spans="1:22">
      <c r="A458">
        <v>555</v>
      </c>
      <c r="B458">
        <v>104699.3984375</v>
      </c>
      <c r="C458" t="s">
        <v>912</v>
      </c>
      <c r="D458">
        <v>2.9092707633972168</v>
      </c>
      <c r="E458" t="s">
        <v>160</v>
      </c>
      <c r="F458" t="s">
        <v>911</v>
      </c>
      <c r="G458" t="s">
        <v>207</v>
      </c>
      <c r="H458" t="s">
        <v>3</v>
      </c>
      <c r="I458">
        <v>1</v>
      </c>
      <c r="J458">
        <v>94043</v>
      </c>
      <c r="K458">
        <v>0</v>
      </c>
      <c r="L458">
        <v>0</v>
      </c>
      <c r="M458">
        <v>94043</v>
      </c>
      <c r="N458" s="4">
        <f t="shared" si="7"/>
        <v>0.11331410564847988</v>
      </c>
      <c r="P458">
        <v>0</v>
      </c>
      <c r="Q458">
        <v>0</v>
      </c>
      <c r="R458">
        <v>1</v>
      </c>
      <c r="V458" t="s">
        <v>207</v>
      </c>
    </row>
    <row r="459" spans="1:22">
      <c r="A459">
        <v>556</v>
      </c>
      <c r="B459">
        <v>104765.8828125</v>
      </c>
      <c r="C459" t="s">
        <v>913</v>
      </c>
      <c r="D459">
        <v>3.7412078380584721</v>
      </c>
      <c r="E459" t="s">
        <v>160</v>
      </c>
      <c r="F459" t="s">
        <v>911</v>
      </c>
      <c r="G459" t="s">
        <v>207</v>
      </c>
      <c r="H459" t="s">
        <v>4</v>
      </c>
      <c r="I459">
        <v>1</v>
      </c>
      <c r="J459">
        <v>94043</v>
      </c>
      <c r="K459">
        <v>0</v>
      </c>
      <c r="L459">
        <v>94043</v>
      </c>
      <c r="M459">
        <v>0</v>
      </c>
      <c r="N459" s="4">
        <f t="shared" si="7"/>
        <v>0.11402106283827607</v>
      </c>
      <c r="P459">
        <v>0</v>
      </c>
      <c r="Q459">
        <v>1</v>
      </c>
      <c r="R459">
        <v>0</v>
      </c>
      <c r="U459" t="s">
        <v>207</v>
      </c>
    </row>
    <row r="460" spans="1:22">
      <c r="A460">
        <v>557</v>
      </c>
      <c r="B460">
        <v>83284.9453125</v>
      </c>
      <c r="C460" t="s">
        <v>914</v>
      </c>
      <c r="D460">
        <v>3.2997007369995122</v>
      </c>
      <c r="E460" t="s">
        <v>160</v>
      </c>
      <c r="F460" t="s">
        <v>915</v>
      </c>
      <c r="G460" t="s">
        <v>208</v>
      </c>
      <c r="H460" t="s">
        <v>2</v>
      </c>
      <c r="I460">
        <v>1</v>
      </c>
      <c r="J460">
        <v>78355</v>
      </c>
      <c r="K460">
        <v>78355</v>
      </c>
      <c r="L460">
        <v>0</v>
      </c>
      <c r="M460">
        <v>0</v>
      </c>
      <c r="N460" s="4">
        <f t="shared" si="7"/>
        <v>6.2918069204262572E-2</v>
      </c>
      <c r="P460">
        <v>1</v>
      </c>
      <c r="Q460">
        <v>0</v>
      </c>
      <c r="R460">
        <v>0</v>
      </c>
      <c r="T460" t="s">
        <v>208</v>
      </c>
    </row>
    <row r="461" spans="1:22">
      <c r="A461">
        <v>558</v>
      </c>
      <c r="B461">
        <v>85772.65625</v>
      </c>
      <c r="C461" t="s">
        <v>916</v>
      </c>
      <c r="D461">
        <v>2.8468079566955571</v>
      </c>
      <c r="E461" t="s">
        <v>160</v>
      </c>
      <c r="F461" t="s">
        <v>915</v>
      </c>
      <c r="G461" t="s">
        <v>208</v>
      </c>
      <c r="H461" t="s">
        <v>3</v>
      </c>
      <c r="I461">
        <v>1</v>
      </c>
      <c r="J461">
        <v>78355</v>
      </c>
      <c r="K461">
        <v>0</v>
      </c>
      <c r="L461">
        <v>0</v>
      </c>
      <c r="M461">
        <v>78355</v>
      </c>
      <c r="N461" s="4">
        <f t="shared" si="7"/>
        <v>9.4667299470359234E-2</v>
      </c>
      <c r="P461">
        <v>0</v>
      </c>
      <c r="Q461">
        <v>0</v>
      </c>
      <c r="R461">
        <v>1</v>
      </c>
      <c r="V461" t="s">
        <v>208</v>
      </c>
    </row>
    <row r="462" spans="1:22">
      <c r="A462">
        <v>559</v>
      </c>
      <c r="B462">
        <v>83648.65625</v>
      </c>
      <c r="C462" t="s">
        <v>917</v>
      </c>
      <c r="D462">
        <v>3.1463384628295898</v>
      </c>
      <c r="E462" t="s">
        <v>160</v>
      </c>
      <c r="F462" t="s">
        <v>915</v>
      </c>
      <c r="G462" t="s">
        <v>208</v>
      </c>
      <c r="H462" t="s">
        <v>4</v>
      </c>
      <c r="I462">
        <v>1</v>
      </c>
      <c r="J462">
        <v>78355</v>
      </c>
      <c r="K462">
        <v>0</v>
      </c>
      <c r="L462">
        <v>78355</v>
      </c>
      <c r="M462">
        <v>0</v>
      </c>
      <c r="N462" s="4">
        <f t="shared" si="7"/>
        <v>6.7559903643672925E-2</v>
      </c>
      <c r="P462">
        <v>0</v>
      </c>
      <c r="Q462">
        <v>1</v>
      </c>
      <c r="R462">
        <v>0</v>
      </c>
      <c r="U462" t="s">
        <v>208</v>
      </c>
    </row>
    <row r="463" spans="1:22">
      <c r="A463">
        <v>560</v>
      </c>
      <c r="B463">
        <v>32346.662109375</v>
      </c>
      <c r="C463" t="s">
        <v>918</v>
      </c>
      <c r="D463">
        <v>3.3626606464385991</v>
      </c>
      <c r="E463" t="s">
        <v>160</v>
      </c>
      <c r="F463" t="s">
        <v>919</v>
      </c>
      <c r="G463" t="s">
        <v>209</v>
      </c>
      <c r="H463" t="s">
        <v>2</v>
      </c>
      <c r="I463">
        <v>1</v>
      </c>
      <c r="J463">
        <v>29834</v>
      </c>
      <c r="K463">
        <v>29834</v>
      </c>
      <c r="L463">
        <v>0</v>
      </c>
      <c r="M463">
        <v>0</v>
      </c>
      <c r="N463" s="4">
        <f t="shared" si="7"/>
        <v>8.4221428885667304E-2</v>
      </c>
      <c r="P463">
        <v>1</v>
      </c>
      <c r="Q463">
        <v>0</v>
      </c>
      <c r="R463">
        <v>0</v>
      </c>
      <c r="T463" t="s">
        <v>209</v>
      </c>
    </row>
    <row r="464" spans="1:22">
      <c r="A464">
        <v>561</v>
      </c>
      <c r="B464">
        <v>36935.5390625</v>
      </c>
      <c r="C464" t="s">
        <v>920</v>
      </c>
      <c r="D464">
        <v>2.9279937744140621</v>
      </c>
      <c r="E464" t="s">
        <v>160</v>
      </c>
      <c r="F464" t="s">
        <v>919</v>
      </c>
      <c r="G464" t="s">
        <v>209</v>
      </c>
      <c r="H464" t="s">
        <v>3</v>
      </c>
      <c r="I464">
        <v>1</v>
      </c>
      <c r="J464">
        <v>29834</v>
      </c>
      <c r="K464">
        <v>0</v>
      </c>
      <c r="L464">
        <v>0</v>
      </c>
      <c r="M464">
        <v>29834</v>
      </c>
      <c r="N464" s="4">
        <f t="shared" si="7"/>
        <v>0.23803509628276465</v>
      </c>
      <c r="P464">
        <v>0</v>
      </c>
      <c r="Q464">
        <v>0</v>
      </c>
      <c r="R464">
        <v>1</v>
      </c>
      <c r="V464" t="s">
        <v>209</v>
      </c>
    </row>
    <row r="465" spans="1:22">
      <c r="A465">
        <v>562</v>
      </c>
      <c r="B465">
        <v>33440.9453125</v>
      </c>
      <c r="C465" t="s">
        <v>921</v>
      </c>
      <c r="D465">
        <v>2.9573318958282471</v>
      </c>
      <c r="E465" t="s">
        <v>160</v>
      </c>
      <c r="F465" t="s">
        <v>919</v>
      </c>
      <c r="G465" t="s">
        <v>209</v>
      </c>
      <c r="H465" t="s">
        <v>4</v>
      </c>
      <c r="I465">
        <v>1</v>
      </c>
      <c r="J465">
        <v>29834</v>
      </c>
      <c r="K465">
        <v>0</v>
      </c>
      <c r="L465">
        <v>29834</v>
      </c>
      <c r="M465">
        <v>0</v>
      </c>
      <c r="N465" s="4">
        <f t="shared" si="7"/>
        <v>0.12090049314540452</v>
      </c>
      <c r="P465">
        <v>0</v>
      </c>
      <c r="Q465">
        <v>1</v>
      </c>
      <c r="R465">
        <v>0</v>
      </c>
      <c r="U465" t="s">
        <v>209</v>
      </c>
    </row>
    <row r="466" spans="1:22">
      <c r="A466">
        <v>563</v>
      </c>
      <c r="B466">
        <v>29694.22265625</v>
      </c>
      <c r="C466" t="s">
        <v>922</v>
      </c>
      <c r="D466">
        <v>3.5535051822662349</v>
      </c>
      <c r="E466" t="s">
        <v>160</v>
      </c>
      <c r="F466" t="s">
        <v>923</v>
      </c>
      <c r="G466" t="s">
        <v>210</v>
      </c>
      <c r="H466" t="s">
        <v>2</v>
      </c>
      <c r="I466">
        <v>1</v>
      </c>
      <c r="J466">
        <v>27532</v>
      </c>
      <c r="K466">
        <v>27532</v>
      </c>
      <c r="L466">
        <v>0</v>
      </c>
      <c r="M466">
        <v>0</v>
      </c>
      <c r="N466" s="4">
        <f t="shared" si="7"/>
        <v>7.8534892352535302E-2</v>
      </c>
      <c r="P466">
        <v>1</v>
      </c>
      <c r="Q466">
        <v>0</v>
      </c>
      <c r="R466">
        <v>0</v>
      </c>
      <c r="T466" t="s">
        <v>210</v>
      </c>
    </row>
    <row r="467" spans="1:22">
      <c r="A467">
        <v>564</v>
      </c>
      <c r="B467">
        <v>33019.06640625</v>
      </c>
      <c r="C467" t="s">
        <v>924</v>
      </c>
      <c r="D467">
        <v>2.9901595115661621</v>
      </c>
      <c r="E467" t="s">
        <v>160</v>
      </c>
      <c r="F467" t="s">
        <v>923</v>
      </c>
      <c r="G467" t="s">
        <v>210</v>
      </c>
      <c r="H467" t="s">
        <v>3</v>
      </c>
      <c r="I467">
        <v>1</v>
      </c>
      <c r="J467">
        <v>27532</v>
      </c>
      <c r="K467">
        <v>0</v>
      </c>
      <c r="L467">
        <v>0</v>
      </c>
      <c r="M467">
        <v>27532</v>
      </c>
      <c r="N467" s="4">
        <f t="shared" si="7"/>
        <v>0.19929777735907317</v>
      </c>
      <c r="P467">
        <v>0</v>
      </c>
      <c r="Q467">
        <v>0</v>
      </c>
      <c r="R467">
        <v>1</v>
      </c>
      <c r="V467" t="s">
        <v>210</v>
      </c>
    </row>
    <row r="468" spans="1:22">
      <c r="A468">
        <v>565</v>
      </c>
      <c r="B468">
        <v>30378.6171875</v>
      </c>
      <c r="C468" t="s">
        <v>925</v>
      </c>
      <c r="D468">
        <v>2.998679399490356</v>
      </c>
      <c r="E468" t="s">
        <v>160</v>
      </c>
      <c r="F468" t="s">
        <v>923</v>
      </c>
      <c r="G468" t="s">
        <v>210</v>
      </c>
      <c r="H468" t="s">
        <v>4</v>
      </c>
      <c r="I468">
        <v>1</v>
      </c>
      <c r="J468">
        <v>27532</v>
      </c>
      <c r="K468">
        <v>0</v>
      </c>
      <c r="L468">
        <v>27532</v>
      </c>
      <c r="M468">
        <v>0</v>
      </c>
      <c r="N468" s="4">
        <f t="shared" si="7"/>
        <v>0.10339304037120445</v>
      </c>
      <c r="P468">
        <v>0</v>
      </c>
      <c r="Q468">
        <v>1</v>
      </c>
      <c r="R468">
        <v>0</v>
      </c>
      <c r="U468" t="s">
        <v>210</v>
      </c>
    </row>
    <row r="469" spans="1:22">
      <c r="A469">
        <v>566</v>
      </c>
      <c r="B469">
        <v>33380.515625</v>
      </c>
      <c r="C469" t="s">
        <v>926</v>
      </c>
      <c r="D469">
        <v>3.356906652450562</v>
      </c>
      <c r="E469" t="s">
        <v>160</v>
      </c>
      <c r="F469" t="s">
        <v>927</v>
      </c>
      <c r="G469" t="s">
        <v>211</v>
      </c>
      <c r="H469" t="s">
        <v>2</v>
      </c>
      <c r="I469">
        <v>1</v>
      </c>
      <c r="J469">
        <v>31102</v>
      </c>
      <c r="K469">
        <v>31102</v>
      </c>
      <c r="L469">
        <v>0</v>
      </c>
      <c r="M469">
        <v>0</v>
      </c>
      <c r="N469" s="4">
        <f t="shared" si="7"/>
        <v>7.3259456787344801E-2</v>
      </c>
      <c r="P469">
        <v>1</v>
      </c>
      <c r="Q469">
        <v>0</v>
      </c>
      <c r="R469">
        <v>0</v>
      </c>
      <c r="T469" t="s">
        <v>211</v>
      </c>
    </row>
    <row r="470" spans="1:22">
      <c r="A470">
        <v>567</v>
      </c>
      <c r="B470">
        <v>35118.140625</v>
      </c>
      <c r="C470" t="s">
        <v>928</v>
      </c>
      <c r="D470">
        <v>3.2990000247955318</v>
      </c>
      <c r="E470" t="s">
        <v>160</v>
      </c>
      <c r="F470" t="s">
        <v>927</v>
      </c>
      <c r="G470" t="s">
        <v>211</v>
      </c>
      <c r="H470" t="s">
        <v>3</v>
      </c>
      <c r="I470">
        <v>1</v>
      </c>
      <c r="J470">
        <v>31102</v>
      </c>
      <c r="K470">
        <v>0</v>
      </c>
      <c r="L470">
        <v>0</v>
      </c>
      <c r="M470">
        <v>31102</v>
      </c>
      <c r="N470" s="4">
        <f t="shared" si="7"/>
        <v>0.12912805044691655</v>
      </c>
      <c r="P470">
        <v>0</v>
      </c>
      <c r="Q470">
        <v>0</v>
      </c>
      <c r="R470">
        <v>1</v>
      </c>
      <c r="V470" t="s">
        <v>211</v>
      </c>
    </row>
    <row r="471" spans="1:22">
      <c r="A471">
        <v>568</v>
      </c>
      <c r="B471">
        <v>34456.42578125</v>
      </c>
      <c r="C471" t="s">
        <v>929</v>
      </c>
      <c r="D471">
        <v>3.142554759979248</v>
      </c>
      <c r="E471" t="s">
        <v>160</v>
      </c>
      <c r="F471" t="s">
        <v>927</v>
      </c>
      <c r="G471" t="s">
        <v>211</v>
      </c>
      <c r="H471" t="s">
        <v>4</v>
      </c>
      <c r="I471">
        <v>1</v>
      </c>
      <c r="J471">
        <v>31102</v>
      </c>
      <c r="K471">
        <v>0</v>
      </c>
      <c r="L471">
        <v>31102</v>
      </c>
      <c r="M471">
        <v>0</v>
      </c>
      <c r="N471" s="4">
        <f t="shared" si="7"/>
        <v>0.10785241403285961</v>
      </c>
      <c r="P471">
        <v>0</v>
      </c>
      <c r="Q471">
        <v>1</v>
      </c>
      <c r="R471">
        <v>0</v>
      </c>
      <c r="U471" t="s">
        <v>211</v>
      </c>
    </row>
    <row r="472" spans="1:22">
      <c r="A472">
        <v>569</v>
      </c>
      <c r="B472">
        <v>149223.625</v>
      </c>
      <c r="C472" t="s">
        <v>930</v>
      </c>
      <c r="D472">
        <v>4.7788581848144531</v>
      </c>
      <c r="E472" t="s">
        <v>160</v>
      </c>
      <c r="F472" t="s">
        <v>931</v>
      </c>
      <c r="G472" t="s">
        <v>212</v>
      </c>
      <c r="H472" t="s">
        <v>2</v>
      </c>
      <c r="I472">
        <v>1</v>
      </c>
      <c r="J472">
        <v>139111</v>
      </c>
      <c r="K472">
        <v>139111</v>
      </c>
      <c r="L472">
        <v>0</v>
      </c>
      <c r="M472">
        <v>0</v>
      </c>
      <c r="N472" s="4">
        <f t="shared" si="7"/>
        <v>7.2694646720963929E-2</v>
      </c>
      <c r="P472">
        <v>1</v>
      </c>
      <c r="Q472">
        <v>0</v>
      </c>
      <c r="R472">
        <v>0</v>
      </c>
      <c r="T472" t="s">
        <v>212</v>
      </c>
    </row>
    <row r="473" spans="1:22">
      <c r="A473">
        <v>570</v>
      </c>
      <c r="B473">
        <v>154345.75</v>
      </c>
      <c r="C473" t="s">
        <v>932</v>
      </c>
      <c r="D473">
        <v>3.5522582530975342</v>
      </c>
      <c r="E473" t="s">
        <v>160</v>
      </c>
      <c r="F473" t="s">
        <v>931</v>
      </c>
      <c r="G473" t="s">
        <v>212</v>
      </c>
      <c r="H473" t="s">
        <v>3</v>
      </c>
      <c r="I473">
        <v>1</v>
      </c>
      <c r="J473">
        <v>139111</v>
      </c>
      <c r="K473">
        <v>0</v>
      </c>
      <c r="L473">
        <v>0</v>
      </c>
      <c r="M473">
        <v>139111</v>
      </c>
      <c r="N473" s="4">
        <f t="shared" si="7"/>
        <v>0.10951506351043405</v>
      </c>
      <c r="P473">
        <v>0</v>
      </c>
      <c r="Q473">
        <v>0</v>
      </c>
      <c r="R473">
        <v>1</v>
      </c>
      <c r="V473" t="s">
        <v>212</v>
      </c>
    </row>
    <row r="474" spans="1:22">
      <c r="A474">
        <v>571</v>
      </c>
      <c r="B474">
        <v>150972.96875</v>
      </c>
      <c r="C474" t="s">
        <v>933</v>
      </c>
      <c r="D474">
        <v>5.2889790534973136</v>
      </c>
      <c r="E474" t="s">
        <v>160</v>
      </c>
      <c r="F474" t="s">
        <v>931</v>
      </c>
      <c r="G474" t="s">
        <v>212</v>
      </c>
      <c r="H474" t="s">
        <v>4</v>
      </c>
      <c r="I474">
        <v>1</v>
      </c>
      <c r="J474">
        <v>139111</v>
      </c>
      <c r="K474">
        <v>0</v>
      </c>
      <c r="L474">
        <v>139111</v>
      </c>
      <c r="M474">
        <v>0</v>
      </c>
      <c r="N474" s="4">
        <f t="shared" si="7"/>
        <v>8.5269811517421301E-2</v>
      </c>
      <c r="P474">
        <v>0</v>
      </c>
      <c r="Q474">
        <v>1</v>
      </c>
      <c r="R474">
        <v>0</v>
      </c>
      <c r="U474" t="s">
        <v>212</v>
      </c>
    </row>
    <row r="475" spans="1:22">
      <c r="A475">
        <v>572</v>
      </c>
      <c r="B475">
        <v>45849.3671875</v>
      </c>
      <c r="C475" t="s">
        <v>934</v>
      </c>
      <c r="D475">
        <v>3.4384546279907231</v>
      </c>
      <c r="E475" t="s">
        <v>160</v>
      </c>
      <c r="F475" t="s">
        <v>935</v>
      </c>
      <c r="G475" t="s">
        <v>213</v>
      </c>
      <c r="H475" t="s">
        <v>2</v>
      </c>
      <c r="I475">
        <v>1</v>
      </c>
      <c r="J475">
        <v>42050</v>
      </c>
      <c r="K475">
        <v>42050</v>
      </c>
      <c r="L475">
        <v>0</v>
      </c>
      <c r="M475">
        <v>0</v>
      </c>
      <c r="N475" s="4">
        <f t="shared" si="7"/>
        <v>9.0353559750297352E-2</v>
      </c>
      <c r="P475">
        <v>1</v>
      </c>
      <c r="Q475">
        <v>0</v>
      </c>
      <c r="R475">
        <v>0</v>
      </c>
      <c r="T475" t="s">
        <v>213</v>
      </c>
    </row>
    <row r="476" spans="1:22">
      <c r="A476">
        <v>573</v>
      </c>
      <c r="B476">
        <v>51624.1875</v>
      </c>
      <c r="C476" t="s">
        <v>936</v>
      </c>
      <c r="D476">
        <v>5.1238982677459717</v>
      </c>
      <c r="E476" t="s">
        <v>160</v>
      </c>
      <c r="F476" t="s">
        <v>935</v>
      </c>
      <c r="G476" t="s">
        <v>213</v>
      </c>
      <c r="H476" t="s">
        <v>3</v>
      </c>
      <c r="I476">
        <v>1</v>
      </c>
      <c r="J476">
        <v>42050</v>
      </c>
      <c r="K476">
        <v>0</v>
      </c>
      <c r="L476">
        <v>0</v>
      </c>
      <c r="M476">
        <v>42050</v>
      </c>
      <c r="N476" s="4">
        <f t="shared" si="7"/>
        <v>0.22768579072532691</v>
      </c>
      <c r="P476">
        <v>0</v>
      </c>
      <c r="Q476">
        <v>0</v>
      </c>
      <c r="R476">
        <v>1</v>
      </c>
      <c r="V476" t="s">
        <v>213</v>
      </c>
    </row>
    <row r="477" spans="1:22">
      <c r="A477">
        <v>574</v>
      </c>
      <c r="B477">
        <v>47560.7265625</v>
      </c>
      <c r="C477" t="s">
        <v>937</v>
      </c>
      <c r="D477">
        <v>5.0749950408935547</v>
      </c>
      <c r="E477" t="s">
        <v>160</v>
      </c>
      <c r="F477" t="s">
        <v>935</v>
      </c>
      <c r="G477" t="s">
        <v>213</v>
      </c>
      <c r="H477" t="s">
        <v>4</v>
      </c>
      <c r="I477">
        <v>1</v>
      </c>
      <c r="J477">
        <v>42050</v>
      </c>
      <c r="K477">
        <v>0</v>
      </c>
      <c r="L477">
        <v>42050</v>
      </c>
      <c r="M477">
        <v>0</v>
      </c>
      <c r="N477" s="4">
        <f t="shared" si="7"/>
        <v>0.13105176129607621</v>
      </c>
      <c r="P477">
        <v>0</v>
      </c>
      <c r="Q477">
        <v>1</v>
      </c>
      <c r="R477">
        <v>0</v>
      </c>
      <c r="U477" t="s">
        <v>213</v>
      </c>
    </row>
    <row r="478" spans="1:22">
      <c r="A478">
        <v>575</v>
      </c>
      <c r="B478">
        <v>30207.86328125</v>
      </c>
      <c r="C478" t="s">
        <v>938</v>
      </c>
      <c r="D478">
        <v>3.3651795387268071</v>
      </c>
      <c r="E478" t="s">
        <v>160</v>
      </c>
      <c r="F478" t="s">
        <v>939</v>
      </c>
      <c r="G478" t="s">
        <v>214</v>
      </c>
      <c r="H478" t="s">
        <v>2</v>
      </c>
      <c r="I478">
        <v>1</v>
      </c>
      <c r="J478">
        <v>25896</v>
      </c>
      <c r="K478">
        <v>25896</v>
      </c>
      <c r="L478">
        <v>0</v>
      </c>
      <c r="M478">
        <v>0</v>
      </c>
      <c r="N478" s="4">
        <f t="shared" si="7"/>
        <v>0.166506923125193</v>
      </c>
      <c r="P478">
        <v>1</v>
      </c>
      <c r="Q478">
        <v>0</v>
      </c>
      <c r="R478">
        <v>0</v>
      </c>
      <c r="T478" t="s">
        <v>214</v>
      </c>
    </row>
    <row r="479" spans="1:22">
      <c r="A479">
        <v>576</v>
      </c>
      <c r="B479">
        <v>33095.3125</v>
      </c>
      <c r="C479" t="s">
        <v>940</v>
      </c>
      <c r="D479">
        <v>5.2010955810546884</v>
      </c>
      <c r="E479" t="s">
        <v>160</v>
      </c>
      <c r="F479" t="s">
        <v>939</v>
      </c>
      <c r="G479" t="s">
        <v>214</v>
      </c>
      <c r="H479" t="s">
        <v>3</v>
      </c>
      <c r="I479">
        <v>1</v>
      </c>
      <c r="J479">
        <v>25896</v>
      </c>
      <c r="K479">
        <v>0</v>
      </c>
      <c r="L479">
        <v>0</v>
      </c>
      <c r="M479">
        <v>25896</v>
      </c>
      <c r="N479" s="4">
        <f t="shared" si="7"/>
        <v>0.27800866929255474</v>
      </c>
      <c r="P479">
        <v>0</v>
      </c>
      <c r="Q479">
        <v>0</v>
      </c>
      <c r="R479">
        <v>1</v>
      </c>
      <c r="V479" t="s">
        <v>214</v>
      </c>
    </row>
    <row r="480" spans="1:22">
      <c r="A480">
        <v>577</v>
      </c>
      <c r="B480">
        <v>31237.439453125</v>
      </c>
      <c r="C480" t="s">
        <v>941</v>
      </c>
      <c r="D480">
        <v>4.7737860679626456</v>
      </c>
      <c r="E480" t="s">
        <v>160</v>
      </c>
      <c r="F480" t="s">
        <v>939</v>
      </c>
      <c r="G480" t="s">
        <v>214</v>
      </c>
      <c r="H480" t="s">
        <v>4</v>
      </c>
      <c r="I480">
        <v>1</v>
      </c>
      <c r="J480">
        <v>25896</v>
      </c>
      <c r="K480">
        <v>0</v>
      </c>
      <c r="L480">
        <v>25896</v>
      </c>
      <c r="M480">
        <v>0</v>
      </c>
      <c r="N480" s="4">
        <f t="shared" si="7"/>
        <v>0.20626503912283756</v>
      </c>
      <c r="P480">
        <v>0</v>
      </c>
      <c r="Q480">
        <v>1</v>
      </c>
      <c r="R480">
        <v>0</v>
      </c>
      <c r="U480" t="s">
        <v>214</v>
      </c>
    </row>
    <row r="481" spans="1:22">
      <c r="A481">
        <v>578</v>
      </c>
      <c r="B481">
        <v>55033.7734375</v>
      </c>
      <c r="C481" t="s">
        <v>942</v>
      </c>
      <c r="D481">
        <v>3.403876781463623</v>
      </c>
      <c r="E481" t="s">
        <v>160</v>
      </c>
      <c r="F481" t="s">
        <v>943</v>
      </c>
      <c r="G481" t="s">
        <v>215</v>
      </c>
      <c r="H481" t="s">
        <v>2</v>
      </c>
      <c r="I481">
        <v>1</v>
      </c>
      <c r="J481">
        <v>51505</v>
      </c>
      <c r="K481">
        <v>51505</v>
      </c>
      <c r="L481">
        <v>0</v>
      </c>
      <c r="M481">
        <v>0</v>
      </c>
      <c r="N481" s="4">
        <f t="shared" si="7"/>
        <v>6.8513220803805508E-2</v>
      </c>
      <c r="P481">
        <v>1</v>
      </c>
      <c r="Q481">
        <v>0</v>
      </c>
      <c r="R481">
        <v>0</v>
      </c>
      <c r="T481" t="s">
        <v>215</v>
      </c>
    </row>
    <row r="482" spans="1:22">
      <c r="A482">
        <v>579</v>
      </c>
      <c r="B482">
        <v>61369.0625</v>
      </c>
      <c r="C482" t="s">
        <v>944</v>
      </c>
      <c r="D482">
        <v>5.1545724868774414</v>
      </c>
      <c r="E482" t="s">
        <v>160</v>
      </c>
      <c r="F482" t="s">
        <v>943</v>
      </c>
      <c r="G482" t="s">
        <v>215</v>
      </c>
      <c r="H482" t="s">
        <v>3</v>
      </c>
      <c r="I482">
        <v>1</v>
      </c>
      <c r="J482">
        <v>51505</v>
      </c>
      <c r="K482">
        <v>0</v>
      </c>
      <c r="L482">
        <v>0</v>
      </c>
      <c r="M482">
        <v>51505</v>
      </c>
      <c r="N482" s="4">
        <f t="shared" ref="N482:N545" si="8">IFERROR(B482/J482-1,"")</f>
        <v>0.19151660033006501</v>
      </c>
      <c r="P482">
        <v>0</v>
      </c>
      <c r="Q482">
        <v>0</v>
      </c>
      <c r="R482">
        <v>1</v>
      </c>
      <c r="V482" t="s">
        <v>215</v>
      </c>
    </row>
    <row r="483" spans="1:22">
      <c r="A483">
        <v>580</v>
      </c>
      <c r="B483">
        <v>57753.63671875</v>
      </c>
      <c r="C483" t="s">
        <v>945</v>
      </c>
      <c r="D483">
        <v>4.3286278247833252</v>
      </c>
      <c r="E483" t="s">
        <v>160</v>
      </c>
      <c r="F483" t="s">
        <v>943</v>
      </c>
      <c r="G483" t="s">
        <v>215</v>
      </c>
      <c r="H483" t="s">
        <v>4</v>
      </c>
      <c r="I483">
        <v>1</v>
      </c>
      <c r="J483">
        <v>51505</v>
      </c>
      <c r="K483">
        <v>0</v>
      </c>
      <c r="L483">
        <v>51505</v>
      </c>
      <c r="M483">
        <v>0</v>
      </c>
      <c r="N483" s="4">
        <f t="shared" si="8"/>
        <v>0.12132097308513745</v>
      </c>
      <c r="P483">
        <v>0</v>
      </c>
      <c r="Q483">
        <v>1</v>
      </c>
      <c r="R483">
        <v>0</v>
      </c>
      <c r="U483" t="s">
        <v>215</v>
      </c>
    </row>
    <row r="484" spans="1:22">
      <c r="A484">
        <v>581</v>
      </c>
      <c r="B484">
        <v>25672.53125</v>
      </c>
      <c r="C484" t="s">
        <v>946</v>
      </c>
      <c r="D484">
        <v>3.711106538772583</v>
      </c>
      <c r="E484" t="s">
        <v>160</v>
      </c>
      <c r="F484" t="s">
        <v>947</v>
      </c>
      <c r="G484" t="s">
        <v>216</v>
      </c>
      <c r="H484" t="s">
        <v>2</v>
      </c>
      <c r="I484">
        <v>1</v>
      </c>
      <c r="J484">
        <v>22814</v>
      </c>
      <c r="K484">
        <v>22814</v>
      </c>
      <c r="L484">
        <v>0</v>
      </c>
      <c r="M484">
        <v>0</v>
      </c>
      <c r="N484" s="4">
        <f t="shared" si="8"/>
        <v>0.12529724072937665</v>
      </c>
      <c r="P484">
        <v>1</v>
      </c>
      <c r="Q484">
        <v>0</v>
      </c>
      <c r="R484">
        <v>0</v>
      </c>
      <c r="T484" t="s">
        <v>216</v>
      </c>
    </row>
    <row r="485" spans="1:22">
      <c r="A485">
        <v>582</v>
      </c>
      <c r="B485">
        <v>27831.3203125</v>
      </c>
      <c r="C485" t="s">
        <v>948</v>
      </c>
      <c r="D485">
        <v>4.7530105113983154</v>
      </c>
      <c r="E485" t="s">
        <v>160</v>
      </c>
      <c r="F485" t="s">
        <v>947</v>
      </c>
      <c r="G485" t="s">
        <v>216</v>
      </c>
      <c r="H485" t="s">
        <v>3</v>
      </c>
      <c r="I485">
        <v>1</v>
      </c>
      <c r="J485">
        <v>22814</v>
      </c>
      <c r="K485">
        <v>0</v>
      </c>
      <c r="L485">
        <v>0</v>
      </c>
      <c r="M485">
        <v>22814</v>
      </c>
      <c r="N485" s="4">
        <f t="shared" si="8"/>
        <v>0.21992286808538619</v>
      </c>
      <c r="P485">
        <v>0</v>
      </c>
      <c r="Q485">
        <v>0</v>
      </c>
      <c r="R485">
        <v>1</v>
      </c>
      <c r="V485" t="s">
        <v>216</v>
      </c>
    </row>
    <row r="486" spans="1:22">
      <c r="A486">
        <v>583</v>
      </c>
      <c r="B486">
        <v>26097.681640625</v>
      </c>
      <c r="C486" t="s">
        <v>949</v>
      </c>
      <c r="D486">
        <v>4.6759321689605713</v>
      </c>
      <c r="E486" t="s">
        <v>160</v>
      </c>
      <c r="F486" t="s">
        <v>947</v>
      </c>
      <c r="G486" t="s">
        <v>216</v>
      </c>
      <c r="H486" t="s">
        <v>4</v>
      </c>
      <c r="I486">
        <v>1</v>
      </c>
      <c r="J486">
        <v>22814</v>
      </c>
      <c r="K486">
        <v>0</v>
      </c>
      <c r="L486">
        <v>22814</v>
      </c>
      <c r="M486">
        <v>0</v>
      </c>
      <c r="N486" s="4">
        <f t="shared" si="8"/>
        <v>0.14393274483321639</v>
      </c>
      <c r="P486">
        <v>0</v>
      </c>
      <c r="Q486">
        <v>1</v>
      </c>
      <c r="R486">
        <v>0</v>
      </c>
      <c r="U486" t="s">
        <v>216</v>
      </c>
    </row>
    <row r="487" spans="1:22">
      <c r="A487">
        <v>584</v>
      </c>
      <c r="B487">
        <v>157551.625</v>
      </c>
      <c r="C487" t="s">
        <v>950</v>
      </c>
      <c r="D487">
        <v>4.721959114074707</v>
      </c>
      <c r="E487" t="s">
        <v>160</v>
      </c>
      <c r="F487" t="s">
        <v>951</v>
      </c>
      <c r="G487" t="s">
        <v>217</v>
      </c>
      <c r="H487" t="s">
        <v>2</v>
      </c>
      <c r="I487">
        <v>1</v>
      </c>
      <c r="J487">
        <v>147713</v>
      </c>
      <c r="K487">
        <v>147713</v>
      </c>
      <c r="L487">
        <v>0</v>
      </c>
      <c r="M487">
        <v>0</v>
      </c>
      <c r="N487" s="4">
        <f t="shared" si="8"/>
        <v>6.6606358275845823E-2</v>
      </c>
      <c r="P487">
        <v>1</v>
      </c>
      <c r="Q487">
        <v>0</v>
      </c>
      <c r="R487">
        <v>0</v>
      </c>
      <c r="T487" t="s">
        <v>217</v>
      </c>
    </row>
    <row r="488" spans="1:22">
      <c r="A488">
        <v>585</v>
      </c>
      <c r="B488">
        <v>163600.625</v>
      </c>
      <c r="C488" t="s">
        <v>952</v>
      </c>
      <c r="D488">
        <v>3.9167449474334721</v>
      </c>
      <c r="E488" t="s">
        <v>160</v>
      </c>
      <c r="F488" t="s">
        <v>951</v>
      </c>
      <c r="G488" t="s">
        <v>217</v>
      </c>
      <c r="H488" t="s">
        <v>3</v>
      </c>
      <c r="I488">
        <v>1</v>
      </c>
      <c r="J488">
        <v>147713</v>
      </c>
      <c r="K488">
        <v>0</v>
      </c>
      <c r="L488">
        <v>0</v>
      </c>
      <c r="M488">
        <v>147713</v>
      </c>
      <c r="N488" s="4">
        <f t="shared" si="8"/>
        <v>0.1075573916987671</v>
      </c>
      <c r="P488">
        <v>0</v>
      </c>
      <c r="Q488">
        <v>0</v>
      </c>
      <c r="R488">
        <v>1</v>
      </c>
      <c r="V488" t="s">
        <v>217</v>
      </c>
    </row>
    <row r="489" spans="1:22">
      <c r="A489">
        <v>586</v>
      </c>
      <c r="B489">
        <v>159190.125</v>
      </c>
      <c r="C489" t="s">
        <v>953</v>
      </c>
      <c r="D489">
        <v>4.8023219108581543</v>
      </c>
      <c r="E489" t="s">
        <v>160</v>
      </c>
      <c r="F489" t="s">
        <v>951</v>
      </c>
      <c r="G489" t="s">
        <v>217</v>
      </c>
      <c r="H489" t="s">
        <v>4</v>
      </c>
      <c r="I489">
        <v>1</v>
      </c>
      <c r="J489">
        <v>147713</v>
      </c>
      <c r="K489">
        <v>0</v>
      </c>
      <c r="L489">
        <v>147713</v>
      </c>
      <c r="M489">
        <v>0</v>
      </c>
      <c r="N489" s="4">
        <f t="shared" si="8"/>
        <v>7.7698814593163856E-2</v>
      </c>
      <c r="P489">
        <v>0</v>
      </c>
      <c r="Q489">
        <v>1</v>
      </c>
      <c r="R489">
        <v>0</v>
      </c>
      <c r="U489" t="s">
        <v>217</v>
      </c>
    </row>
    <row r="490" spans="1:22">
      <c r="A490">
        <v>587</v>
      </c>
      <c r="B490">
        <v>72258.34375</v>
      </c>
      <c r="C490" t="s">
        <v>954</v>
      </c>
      <c r="D490">
        <v>3.636609792709351</v>
      </c>
      <c r="E490" t="s">
        <v>160</v>
      </c>
      <c r="F490" t="s">
        <v>955</v>
      </c>
      <c r="G490" t="s">
        <v>218</v>
      </c>
      <c r="H490" t="s">
        <v>2</v>
      </c>
      <c r="I490">
        <v>1</v>
      </c>
      <c r="J490">
        <v>65940</v>
      </c>
      <c r="K490">
        <v>65940</v>
      </c>
      <c r="L490">
        <v>0</v>
      </c>
      <c r="M490">
        <v>0</v>
      </c>
      <c r="N490" s="4">
        <f t="shared" si="8"/>
        <v>9.5819589778586511E-2</v>
      </c>
      <c r="P490">
        <v>1</v>
      </c>
      <c r="Q490">
        <v>0</v>
      </c>
      <c r="R490">
        <v>0</v>
      </c>
      <c r="T490" t="s">
        <v>218</v>
      </c>
    </row>
    <row r="491" spans="1:22">
      <c r="A491">
        <v>588</v>
      </c>
      <c r="B491">
        <v>78169.28125</v>
      </c>
      <c r="C491" t="s">
        <v>956</v>
      </c>
      <c r="D491">
        <v>3.244296550750732</v>
      </c>
      <c r="E491" t="s">
        <v>160</v>
      </c>
      <c r="F491" t="s">
        <v>955</v>
      </c>
      <c r="G491" t="s">
        <v>218</v>
      </c>
      <c r="H491" t="s">
        <v>3</v>
      </c>
      <c r="I491">
        <v>1</v>
      </c>
      <c r="J491">
        <v>65940</v>
      </c>
      <c r="K491">
        <v>0</v>
      </c>
      <c r="L491">
        <v>0</v>
      </c>
      <c r="M491">
        <v>65940</v>
      </c>
      <c r="N491" s="4">
        <f t="shared" si="8"/>
        <v>0.18546074082499242</v>
      </c>
      <c r="P491">
        <v>0</v>
      </c>
      <c r="Q491">
        <v>0</v>
      </c>
      <c r="R491">
        <v>1</v>
      </c>
      <c r="V491" t="s">
        <v>218</v>
      </c>
    </row>
    <row r="492" spans="1:22">
      <c r="A492">
        <v>589</v>
      </c>
      <c r="B492">
        <v>75032.6796875</v>
      </c>
      <c r="C492" t="s">
        <v>957</v>
      </c>
      <c r="D492">
        <v>3.8030004501342769</v>
      </c>
      <c r="E492" t="s">
        <v>160</v>
      </c>
      <c r="F492" t="s">
        <v>955</v>
      </c>
      <c r="G492" t="s">
        <v>218</v>
      </c>
      <c r="H492" t="s">
        <v>4</v>
      </c>
      <c r="I492">
        <v>1</v>
      </c>
      <c r="J492">
        <v>65940</v>
      </c>
      <c r="K492">
        <v>0</v>
      </c>
      <c r="L492">
        <v>65940</v>
      </c>
      <c r="M492">
        <v>0</v>
      </c>
      <c r="N492" s="4">
        <f t="shared" si="8"/>
        <v>0.13789323153624511</v>
      </c>
      <c r="P492">
        <v>0</v>
      </c>
      <c r="Q492">
        <v>1</v>
      </c>
      <c r="R492">
        <v>0</v>
      </c>
      <c r="U492" t="s">
        <v>218</v>
      </c>
    </row>
    <row r="493" spans="1:22">
      <c r="A493">
        <v>590</v>
      </c>
      <c r="B493">
        <v>42496.9375</v>
      </c>
      <c r="C493" t="s">
        <v>958</v>
      </c>
      <c r="D493">
        <v>3.5860128402709961</v>
      </c>
      <c r="E493" t="s">
        <v>160</v>
      </c>
      <c r="F493" t="s">
        <v>959</v>
      </c>
      <c r="G493" t="s">
        <v>219</v>
      </c>
      <c r="H493" t="s">
        <v>2</v>
      </c>
      <c r="I493">
        <v>1</v>
      </c>
      <c r="J493">
        <v>38260</v>
      </c>
      <c r="K493">
        <v>38260</v>
      </c>
      <c r="L493">
        <v>0</v>
      </c>
      <c r="M493">
        <v>0</v>
      </c>
      <c r="N493" s="4">
        <f t="shared" si="8"/>
        <v>0.11074065603763716</v>
      </c>
      <c r="P493">
        <v>1</v>
      </c>
      <c r="Q493">
        <v>0</v>
      </c>
      <c r="R493">
        <v>0</v>
      </c>
      <c r="T493" t="s">
        <v>219</v>
      </c>
    </row>
    <row r="494" spans="1:22">
      <c r="A494">
        <v>591</v>
      </c>
      <c r="B494">
        <v>49726.09375</v>
      </c>
      <c r="C494" t="s">
        <v>960</v>
      </c>
      <c r="D494">
        <v>3.8975546360015869</v>
      </c>
      <c r="E494" t="s">
        <v>160</v>
      </c>
      <c r="F494" t="s">
        <v>959</v>
      </c>
      <c r="G494" t="s">
        <v>219</v>
      </c>
      <c r="H494" t="s">
        <v>3</v>
      </c>
      <c r="I494">
        <v>1</v>
      </c>
      <c r="J494">
        <v>38260</v>
      </c>
      <c r="K494">
        <v>0</v>
      </c>
      <c r="L494">
        <v>0</v>
      </c>
      <c r="M494">
        <v>38260</v>
      </c>
      <c r="N494" s="4">
        <f t="shared" si="8"/>
        <v>0.2996888068478829</v>
      </c>
      <c r="P494">
        <v>0</v>
      </c>
      <c r="Q494">
        <v>0</v>
      </c>
      <c r="R494">
        <v>1</v>
      </c>
      <c r="V494" t="s">
        <v>219</v>
      </c>
    </row>
    <row r="495" spans="1:22">
      <c r="A495">
        <v>592</v>
      </c>
      <c r="B495">
        <v>43665.0859375</v>
      </c>
      <c r="C495" t="s">
        <v>961</v>
      </c>
      <c r="D495">
        <v>3.8439440727233891</v>
      </c>
      <c r="E495" t="s">
        <v>160</v>
      </c>
      <c r="F495" t="s">
        <v>959</v>
      </c>
      <c r="G495" t="s">
        <v>219</v>
      </c>
      <c r="H495" t="s">
        <v>4</v>
      </c>
      <c r="I495">
        <v>1</v>
      </c>
      <c r="J495">
        <v>38260</v>
      </c>
      <c r="K495">
        <v>0</v>
      </c>
      <c r="L495">
        <v>38260</v>
      </c>
      <c r="M495">
        <v>0</v>
      </c>
      <c r="N495" s="4">
        <f t="shared" si="8"/>
        <v>0.14127250228698385</v>
      </c>
      <c r="P495">
        <v>0</v>
      </c>
      <c r="Q495">
        <v>1</v>
      </c>
      <c r="R495">
        <v>0</v>
      </c>
      <c r="U495" t="s">
        <v>219</v>
      </c>
    </row>
    <row r="496" spans="1:22">
      <c r="A496">
        <v>593</v>
      </c>
      <c r="B496">
        <v>70477</v>
      </c>
      <c r="C496" t="s">
        <v>962</v>
      </c>
      <c r="D496">
        <v>4.1848447322845459</v>
      </c>
      <c r="E496" t="s">
        <v>160</v>
      </c>
      <c r="F496" t="s">
        <v>963</v>
      </c>
      <c r="G496" t="s">
        <v>220</v>
      </c>
      <c r="H496" t="s">
        <v>2</v>
      </c>
      <c r="I496">
        <v>1</v>
      </c>
      <c r="J496">
        <v>66154</v>
      </c>
      <c r="K496">
        <v>66154</v>
      </c>
      <c r="L496">
        <v>0</v>
      </c>
      <c r="M496">
        <v>0</v>
      </c>
      <c r="N496" s="4">
        <f t="shared" si="8"/>
        <v>6.5347522447622319E-2</v>
      </c>
      <c r="P496">
        <v>1</v>
      </c>
      <c r="Q496">
        <v>0</v>
      </c>
      <c r="R496">
        <v>0</v>
      </c>
      <c r="T496" t="s">
        <v>220</v>
      </c>
    </row>
    <row r="497" spans="1:22">
      <c r="A497">
        <v>594</v>
      </c>
      <c r="B497">
        <v>75893.1484375</v>
      </c>
      <c r="C497" t="s">
        <v>964</v>
      </c>
      <c r="D497">
        <v>5.4272348880767822</v>
      </c>
      <c r="E497" t="s">
        <v>160</v>
      </c>
      <c r="F497" t="s">
        <v>963</v>
      </c>
      <c r="G497" t="s">
        <v>220</v>
      </c>
      <c r="H497" t="s">
        <v>3</v>
      </c>
      <c r="I497">
        <v>1</v>
      </c>
      <c r="J497">
        <v>66154</v>
      </c>
      <c r="K497">
        <v>0</v>
      </c>
      <c r="L497">
        <v>0</v>
      </c>
      <c r="M497">
        <v>66154</v>
      </c>
      <c r="N497" s="4">
        <f t="shared" si="8"/>
        <v>0.14721934331257369</v>
      </c>
      <c r="P497">
        <v>0</v>
      </c>
      <c r="Q497">
        <v>0</v>
      </c>
      <c r="R497">
        <v>1</v>
      </c>
      <c r="V497" t="s">
        <v>220</v>
      </c>
    </row>
    <row r="498" spans="1:22">
      <c r="A498">
        <v>595</v>
      </c>
      <c r="B498">
        <v>73690.0546875</v>
      </c>
      <c r="C498" t="s">
        <v>965</v>
      </c>
      <c r="D498">
        <v>3.633622407913208</v>
      </c>
      <c r="E498" t="s">
        <v>160</v>
      </c>
      <c r="F498" t="s">
        <v>963</v>
      </c>
      <c r="G498" t="s">
        <v>220</v>
      </c>
      <c r="H498" t="s">
        <v>4</v>
      </c>
      <c r="I498">
        <v>1</v>
      </c>
      <c r="J498">
        <v>66154</v>
      </c>
      <c r="K498">
        <v>0</v>
      </c>
      <c r="L498">
        <v>66154</v>
      </c>
      <c r="M498">
        <v>0</v>
      </c>
      <c r="N498" s="4">
        <f t="shared" si="8"/>
        <v>0.11391684081839348</v>
      </c>
      <c r="P498">
        <v>0</v>
      </c>
      <c r="Q498">
        <v>1</v>
      </c>
      <c r="R498">
        <v>0</v>
      </c>
      <c r="U498" t="s">
        <v>220</v>
      </c>
    </row>
    <row r="499" spans="1:22">
      <c r="A499">
        <v>596</v>
      </c>
      <c r="B499">
        <v>23779.455078125</v>
      </c>
      <c r="C499" t="s">
        <v>966</v>
      </c>
      <c r="D499">
        <v>4.0051286220550537</v>
      </c>
      <c r="E499" t="s">
        <v>160</v>
      </c>
      <c r="F499" t="s">
        <v>967</v>
      </c>
      <c r="G499" t="s">
        <v>221</v>
      </c>
      <c r="H499" t="s">
        <v>2</v>
      </c>
      <c r="I499">
        <v>1</v>
      </c>
      <c r="J499">
        <v>19712</v>
      </c>
      <c r="K499">
        <v>19712</v>
      </c>
      <c r="L499">
        <v>0</v>
      </c>
      <c r="M499">
        <v>0</v>
      </c>
      <c r="N499" s="4">
        <f t="shared" si="8"/>
        <v>0.20634410907695822</v>
      </c>
      <c r="P499">
        <v>1</v>
      </c>
      <c r="Q499">
        <v>0</v>
      </c>
      <c r="R499">
        <v>0</v>
      </c>
      <c r="T499" t="s">
        <v>221</v>
      </c>
    </row>
    <row r="500" spans="1:22">
      <c r="A500">
        <v>597</v>
      </c>
      <c r="B500">
        <v>28295.958984375</v>
      </c>
      <c r="C500" t="s">
        <v>968</v>
      </c>
      <c r="D500">
        <v>5.3311271667480469</v>
      </c>
      <c r="E500" t="s">
        <v>160</v>
      </c>
      <c r="F500" t="s">
        <v>967</v>
      </c>
      <c r="G500" t="s">
        <v>221</v>
      </c>
      <c r="H500" t="s">
        <v>3</v>
      </c>
      <c r="I500">
        <v>1</v>
      </c>
      <c r="J500">
        <v>19712</v>
      </c>
      <c r="K500">
        <v>0</v>
      </c>
      <c r="L500">
        <v>0</v>
      </c>
      <c r="M500">
        <v>19712</v>
      </c>
      <c r="N500" s="4">
        <f t="shared" si="8"/>
        <v>0.43546869847681613</v>
      </c>
      <c r="P500">
        <v>0</v>
      </c>
      <c r="Q500">
        <v>0</v>
      </c>
      <c r="R500">
        <v>1</v>
      </c>
      <c r="V500" t="s">
        <v>221</v>
      </c>
    </row>
    <row r="501" spans="1:22">
      <c r="A501">
        <v>598</v>
      </c>
      <c r="B501">
        <v>23892.7109375</v>
      </c>
      <c r="C501" t="s">
        <v>969</v>
      </c>
      <c r="D501">
        <v>3.5223054885864258</v>
      </c>
      <c r="E501" t="s">
        <v>160</v>
      </c>
      <c r="F501" t="s">
        <v>967</v>
      </c>
      <c r="G501" t="s">
        <v>221</v>
      </c>
      <c r="H501" t="s">
        <v>4</v>
      </c>
      <c r="I501">
        <v>1</v>
      </c>
      <c r="J501">
        <v>19712</v>
      </c>
      <c r="K501">
        <v>0</v>
      </c>
      <c r="L501">
        <v>19712</v>
      </c>
      <c r="M501">
        <v>0</v>
      </c>
      <c r="N501" s="4">
        <f t="shared" si="8"/>
        <v>0.21208963765726452</v>
      </c>
      <c r="P501">
        <v>0</v>
      </c>
      <c r="Q501">
        <v>1</v>
      </c>
      <c r="R501">
        <v>0</v>
      </c>
      <c r="U501" t="s">
        <v>221</v>
      </c>
    </row>
    <row r="502" spans="1:22">
      <c r="A502">
        <v>599</v>
      </c>
      <c r="B502">
        <v>118772.0390625</v>
      </c>
      <c r="C502" t="s">
        <v>970</v>
      </c>
      <c r="D502">
        <v>6.9164538383483887</v>
      </c>
      <c r="E502" t="s">
        <v>160</v>
      </c>
      <c r="F502" t="s">
        <v>971</v>
      </c>
      <c r="G502" t="s">
        <v>222</v>
      </c>
      <c r="H502" t="s">
        <v>2</v>
      </c>
      <c r="I502">
        <v>1</v>
      </c>
      <c r="J502">
        <v>107798</v>
      </c>
      <c r="K502">
        <v>107798</v>
      </c>
      <c r="L502">
        <v>0</v>
      </c>
      <c r="M502">
        <v>0</v>
      </c>
      <c r="N502" s="4">
        <f t="shared" si="8"/>
        <v>0.10180188002096524</v>
      </c>
      <c r="P502">
        <v>1</v>
      </c>
      <c r="Q502">
        <v>0</v>
      </c>
      <c r="R502">
        <v>0</v>
      </c>
      <c r="T502" t="s">
        <v>222</v>
      </c>
    </row>
    <row r="503" spans="1:22">
      <c r="A503">
        <v>600</v>
      </c>
      <c r="B503">
        <v>122759.1796875</v>
      </c>
      <c r="C503" t="s">
        <v>972</v>
      </c>
      <c r="D503">
        <v>5.4181432723999023</v>
      </c>
      <c r="E503" t="s">
        <v>160</v>
      </c>
      <c r="F503" t="s">
        <v>971</v>
      </c>
      <c r="G503" t="s">
        <v>222</v>
      </c>
      <c r="H503" t="s">
        <v>3</v>
      </c>
      <c r="I503">
        <v>1</v>
      </c>
      <c r="J503">
        <v>107798</v>
      </c>
      <c r="K503">
        <v>0</v>
      </c>
      <c r="L503">
        <v>0</v>
      </c>
      <c r="M503">
        <v>107798</v>
      </c>
      <c r="N503" s="4">
        <f t="shared" si="8"/>
        <v>0.13878902843744778</v>
      </c>
      <c r="P503">
        <v>0</v>
      </c>
      <c r="Q503">
        <v>0</v>
      </c>
      <c r="R503">
        <v>1</v>
      </c>
      <c r="V503" t="s">
        <v>222</v>
      </c>
    </row>
    <row r="504" spans="1:22">
      <c r="A504">
        <v>601</v>
      </c>
      <c r="B504">
        <v>122473.6875</v>
      </c>
      <c r="C504" t="s">
        <v>973</v>
      </c>
      <c r="D504">
        <v>6.1437051296234131</v>
      </c>
      <c r="E504" t="s">
        <v>160</v>
      </c>
      <c r="F504" t="s">
        <v>971</v>
      </c>
      <c r="G504" t="s">
        <v>222</v>
      </c>
      <c r="H504" t="s">
        <v>4</v>
      </c>
      <c r="I504">
        <v>1</v>
      </c>
      <c r="J504">
        <v>107798</v>
      </c>
      <c r="K504">
        <v>0</v>
      </c>
      <c r="L504">
        <v>107798</v>
      </c>
      <c r="M504">
        <v>0</v>
      </c>
      <c r="N504" s="4">
        <f t="shared" si="8"/>
        <v>0.13614062876862287</v>
      </c>
      <c r="P504">
        <v>0</v>
      </c>
      <c r="Q504">
        <v>1</v>
      </c>
      <c r="R504">
        <v>0</v>
      </c>
      <c r="U504" t="s">
        <v>222</v>
      </c>
    </row>
    <row r="505" spans="1:22">
      <c r="A505">
        <v>602</v>
      </c>
      <c r="B505">
        <v>72237.96875</v>
      </c>
      <c r="C505" t="s">
        <v>974</v>
      </c>
      <c r="D505">
        <v>3.9746265411376949</v>
      </c>
      <c r="E505" t="s">
        <v>160</v>
      </c>
      <c r="F505" t="s">
        <v>975</v>
      </c>
      <c r="G505" t="s">
        <v>223</v>
      </c>
      <c r="H505" t="s">
        <v>2</v>
      </c>
      <c r="I505">
        <v>1</v>
      </c>
      <c r="J505">
        <v>65449</v>
      </c>
      <c r="K505">
        <v>65449</v>
      </c>
      <c r="L505">
        <v>0</v>
      </c>
      <c r="M505">
        <v>0</v>
      </c>
      <c r="N505" s="4">
        <f t="shared" si="8"/>
        <v>0.10372914406637235</v>
      </c>
      <c r="P505">
        <v>1</v>
      </c>
      <c r="Q505">
        <v>0</v>
      </c>
      <c r="R505">
        <v>0</v>
      </c>
      <c r="T505" t="s">
        <v>223</v>
      </c>
    </row>
    <row r="506" spans="1:22">
      <c r="A506">
        <v>603</v>
      </c>
      <c r="B506">
        <v>80320.140625</v>
      </c>
      <c r="C506" t="s">
        <v>976</v>
      </c>
      <c r="D506">
        <v>4.7731571197509766</v>
      </c>
      <c r="E506" t="s">
        <v>160</v>
      </c>
      <c r="F506" t="s">
        <v>975</v>
      </c>
      <c r="G506" t="s">
        <v>223</v>
      </c>
      <c r="H506" t="s">
        <v>3</v>
      </c>
      <c r="I506">
        <v>1</v>
      </c>
      <c r="J506">
        <v>65449</v>
      </c>
      <c r="K506">
        <v>0</v>
      </c>
      <c r="L506">
        <v>0</v>
      </c>
      <c r="M506">
        <v>65449</v>
      </c>
      <c r="N506" s="4">
        <f t="shared" si="8"/>
        <v>0.22721723211966571</v>
      </c>
      <c r="P506">
        <v>0</v>
      </c>
      <c r="Q506">
        <v>0</v>
      </c>
      <c r="R506">
        <v>1</v>
      </c>
      <c r="V506" t="s">
        <v>223</v>
      </c>
    </row>
    <row r="507" spans="1:22">
      <c r="A507">
        <v>604</v>
      </c>
      <c r="B507">
        <v>75016.515625</v>
      </c>
      <c r="C507" t="s">
        <v>977</v>
      </c>
      <c r="D507">
        <v>5.8587589263916016</v>
      </c>
      <c r="E507" t="s">
        <v>160</v>
      </c>
      <c r="F507" t="s">
        <v>975</v>
      </c>
      <c r="G507" t="s">
        <v>223</v>
      </c>
      <c r="H507" t="s">
        <v>4</v>
      </c>
      <c r="I507">
        <v>1</v>
      </c>
      <c r="J507">
        <v>65449</v>
      </c>
      <c r="K507">
        <v>0</v>
      </c>
      <c r="L507">
        <v>65449</v>
      </c>
      <c r="M507">
        <v>0</v>
      </c>
      <c r="N507" s="4">
        <f t="shared" si="8"/>
        <v>0.14618276253265905</v>
      </c>
      <c r="P507">
        <v>0</v>
      </c>
      <c r="Q507">
        <v>1</v>
      </c>
      <c r="R507">
        <v>0</v>
      </c>
      <c r="U507" t="s">
        <v>223</v>
      </c>
    </row>
    <row r="508" spans="1:22">
      <c r="A508">
        <v>605</v>
      </c>
      <c r="B508">
        <v>39717.484375</v>
      </c>
      <c r="C508" t="s">
        <v>978</v>
      </c>
      <c r="D508">
        <v>3.8277051448822021</v>
      </c>
      <c r="E508" t="s">
        <v>160</v>
      </c>
      <c r="F508" t="s">
        <v>979</v>
      </c>
      <c r="G508" t="s">
        <v>224</v>
      </c>
      <c r="H508" t="s">
        <v>2</v>
      </c>
      <c r="I508">
        <v>1</v>
      </c>
      <c r="J508">
        <v>36391</v>
      </c>
      <c r="K508">
        <v>36391</v>
      </c>
      <c r="L508">
        <v>0</v>
      </c>
      <c r="M508">
        <v>0</v>
      </c>
      <c r="N508" s="4">
        <f t="shared" si="8"/>
        <v>9.1409534637685086E-2</v>
      </c>
      <c r="P508">
        <v>1</v>
      </c>
      <c r="Q508">
        <v>0</v>
      </c>
      <c r="R508">
        <v>0</v>
      </c>
      <c r="T508" t="s">
        <v>224</v>
      </c>
    </row>
    <row r="509" spans="1:22">
      <c r="A509">
        <v>606</v>
      </c>
      <c r="B509">
        <v>46802.17578125</v>
      </c>
      <c r="C509" t="s">
        <v>980</v>
      </c>
      <c r="D509">
        <v>3.4116122722625728</v>
      </c>
      <c r="E509" t="s">
        <v>160</v>
      </c>
      <c r="F509" t="s">
        <v>979</v>
      </c>
      <c r="G509" t="s">
        <v>224</v>
      </c>
      <c r="H509" t="s">
        <v>3</v>
      </c>
      <c r="I509">
        <v>1</v>
      </c>
      <c r="J509">
        <v>36391</v>
      </c>
      <c r="K509">
        <v>0</v>
      </c>
      <c r="L509">
        <v>0</v>
      </c>
      <c r="M509">
        <v>36391</v>
      </c>
      <c r="N509" s="4">
        <f t="shared" si="8"/>
        <v>0.286092049716963</v>
      </c>
      <c r="P509">
        <v>0</v>
      </c>
      <c r="Q509">
        <v>0</v>
      </c>
      <c r="R509">
        <v>1</v>
      </c>
      <c r="V509" t="s">
        <v>224</v>
      </c>
    </row>
    <row r="510" spans="1:22">
      <c r="A510">
        <v>607</v>
      </c>
      <c r="B510">
        <v>41416.5390625</v>
      </c>
      <c r="C510" t="s">
        <v>981</v>
      </c>
      <c r="D510">
        <v>5.8447144031524658</v>
      </c>
      <c r="E510" t="s">
        <v>160</v>
      </c>
      <c r="F510" t="s">
        <v>979</v>
      </c>
      <c r="G510" t="s">
        <v>224</v>
      </c>
      <c r="H510" t="s">
        <v>4</v>
      </c>
      <c r="I510">
        <v>1</v>
      </c>
      <c r="J510">
        <v>36391</v>
      </c>
      <c r="K510">
        <v>0</v>
      </c>
      <c r="L510">
        <v>36391</v>
      </c>
      <c r="M510">
        <v>0</v>
      </c>
      <c r="N510" s="4">
        <f t="shared" si="8"/>
        <v>0.13809840516886052</v>
      </c>
      <c r="P510">
        <v>0</v>
      </c>
      <c r="Q510">
        <v>1</v>
      </c>
      <c r="R510">
        <v>0</v>
      </c>
      <c r="U510" t="s">
        <v>224</v>
      </c>
    </row>
    <row r="511" spans="1:22">
      <c r="A511">
        <v>608</v>
      </c>
      <c r="B511">
        <v>59758.9296875</v>
      </c>
      <c r="C511" t="s">
        <v>982</v>
      </c>
      <c r="D511">
        <v>3.991818904876709</v>
      </c>
      <c r="E511" t="s">
        <v>160</v>
      </c>
      <c r="F511" t="s">
        <v>983</v>
      </c>
      <c r="G511" t="s">
        <v>225</v>
      </c>
      <c r="H511" t="s">
        <v>2</v>
      </c>
      <c r="I511">
        <v>1</v>
      </c>
      <c r="J511">
        <v>55233</v>
      </c>
      <c r="K511">
        <v>55233</v>
      </c>
      <c r="L511">
        <v>0</v>
      </c>
      <c r="M511">
        <v>0</v>
      </c>
      <c r="N511" s="4">
        <f t="shared" si="8"/>
        <v>8.1942492486375862E-2</v>
      </c>
      <c r="P511">
        <v>1</v>
      </c>
      <c r="Q511">
        <v>0</v>
      </c>
      <c r="R511">
        <v>0</v>
      </c>
      <c r="T511" t="s">
        <v>225</v>
      </c>
    </row>
    <row r="512" spans="1:22">
      <c r="A512">
        <v>609</v>
      </c>
      <c r="B512">
        <v>66660.34375</v>
      </c>
      <c r="C512" t="s">
        <v>984</v>
      </c>
      <c r="D512">
        <v>3.4112014770507808</v>
      </c>
      <c r="E512" t="s">
        <v>160</v>
      </c>
      <c r="F512" t="s">
        <v>983</v>
      </c>
      <c r="G512" t="s">
        <v>225</v>
      </c>
      <c r="H512" t="s">
        <v>3</v>
      </c>
      <c r="I512">
        <v>1</v>
      </c>
      <c r="J512">
        <v>55233</v>
      </c>
      <c r="K512">
        <v>0</v>
      </c>
      <c r="L512">
        <v>0</v>
      </c>
      <c r="M512">
        <v>55233</v>
      </c>
      <c r="N512" s="4">
        <f t="shared" si="8"/>
        <v>0.20689341064218847</v>
      </c>
      <c r="P512">
        <v>0</v>
      </c>
      <c r="Q512">
        <v>0</v>
      </c>
      <c r="R512">
        <v>1</v>
      </c>
      <c r="V512" t="s">
        <v>225</v>
      </c>
    </row>
    <row r="513" spans="1:22">
      <c r="A513">
        <v>610</v>
      </c>
      <c r="B513">
        <v>62375.015625</v>
      </c>
      <c r="C513" t="s">
        <v>985</v>
      </c>
      <c r="D513">
        <v>5.5391876697540283</v>
      </c>
      <c r="E513" t="s">
        <v>160</v>
      </c>
      <c r="F513" t="s">
        <v>983</v>
      </c>
      <c r="G513" t="s">
        <v>225</v>
      </c>
      <c r="H513" t="s">
        <v>4</v>
      </c>
      <c r="I513">
        <v>1</v>
      </c>
      <c r="J513">
        <v>55233</v>
      </c>
      <c r="K513">
        <v>0</v>
      </c>
      <c r="L513">
        <v>55233</v>
      </c>
      <c r="M513">
        <v>0</v>
      </c>
      <c r="N513" s="4">
        <f t="shared" si="8"/>
        <v>0.12930703791211773</v>
      </c>
      <c r="P513">
        <v>0</v>
      </c>
      <c r="Q513">
        <v>1</v>
      </c>
      <c r="R513">
        <v>0</v>
      </c>
      <c r="U513" t="s">
        <v>225</v>
      </c>
    </row>
    <row r="514" spans="1:22">
      <c r="A514">
        <v>611</v>
      </c>
      <c r="B514">
        <v>29844.875</v>
      </c>
      <c r="C514" t="s">
        <v>986</v>
      </c>
      <c r="D514">
        <v>5.5244719982147217</v>
      </c>
      <c r="E514" t="s">
        <v>160</v>
      </c>
      <c r="F514" t="s">
        <v>987</v>
      </c>
      <c r="G514" t="s">
        <v>226</v>
      </c>
      <c r="H514" t="s">
        <v>2</v>
      </c>
      <c r="I514">
        <v>1</v>
      </c>
      <c r="J514">
        <v>24139</v>
      </c>
      <c r="K514">
        <v>24139</v>
      </c>
      <c r="L514">
        <v>0</v>
      </c>
      <c r="M514">
        <v>0</v>
      </c>
      <c r="N514" s="4">
        <f t="shared" si="8"/>
        <v>0.23637578192965747</v>
      </c>
      <c r="P514">
        <v>1</v>
      </c>
      <c r="Q514">
        <v>0</v>
      </c>
      <c r="R514">
        <v>0</v>
      </c>
      <c r="T514" t="s">
        <v>226</v>
      </c>
    </row>
    <row r="515" spans="1:22">
      <c r="A515">
        <v>612</v>
      </c>
      <c r="B515">
        <v>34827.76953125</v>
      </c>
      <c r="C515" t="s">
        <v>988</v>
      </c>
      <c r="D515">
        <v>3.350753545761108</v>
      </c>
      <c r="E515" t="s">
        <v>160</v>
      </c>
      <c r="F515" t="s">
        <v>987</v>
      </c>
      <c r="G515" t="s">
        <v>226</v>
      </c>
      <c r="H515" t="s">
        <v>3</v>
      </c>
      <c r="I515">
        <v>1</v>
      </c>
      <c r="J515">
        <v>24139</v>
      </c>
      <c r="K515">
        <v>0</v>
      </c>
      <c r="L515">
        <v>0</v>
      </c>
      <c r="M515">
        <v>24139</v>
      </c>
      <c r="N515" s="4">
        <f t="shared" si="8"/>
        <v>0.44280084225734284</v>
      </c>
      <c r="P515">
        <v>0</v>
      </c>
      <c r="Q515">
        <v>0</v>
      </c>
      <c r="R515">
        <v>1</v>
      </c>
      <c r="V515" t="s">
        <v>226</v>
      </c>
    </row>
    <row r="516" spans="1:22">
      <c r="A516">
        <v>613</v>
      </c>
      <c r="B516">
        <v>29669.69921875</v>
      </c>
      <c r="C516" t="s">
        <v>989</v>
      </c>
      <c r="D516">
        <v>5.0240893363952637</v>
      </c>
      <c r="E516" t="s">
        <v>160</v>
      </c>
      <c r="F516" t="s">
        <v>987</v>
      </c>
      <c r="G516" t="s">
        <v>226</v>
      </c>
      <c r="H516" t="s">
        <v>4</v>
      </c>
      <c r="I516">
        <v>1</v>
      </c>
      <c r="J516">
        <v>24139</v>
      </c>
      <c r="K516">
        <v>0</v>
      </c>
      <c r="L516">
        <v>24139</v>
      </c>
      <c r="M516">
        <v>0</v>
      </c>
      <c r="N516" s="4">
        <f t="shared" si="8"/>
        <v>0.22911882094328684</v>
      </c>
      <c r="P516">
        <v>0</v>
      </c>
      <c r="Q516">
        <v>1</v>
      </c>
      <c r="R516">
        <v>0</v>
      </c>
      <c r="U516" t="s">
        <v>226</v>
      </c>
    </row>
    <row r="517" spans="1:22">
      <c r="A517">
        <v>614</v>
      </c>
      <c r="B517">
        <v>247725.375</v>
      </c>
      <c r="C517" t="s">
        <v>990</v>
      </c>
      <c r="D517">
        <v>7.1975193023681641</v>
      </c>
      <c r="E517" t="s">
        <v>160</v>
      </c>
      <c r="F517" t="s">
        <v>991</v>
      </c>
      <c r="G517" t="s">
        <v>227</v>
      </c>
      <c r="H517" t="s">
        <v>2</v>
      </c>
      <c r="I517">
        <v>1</v>
      </c>
      <c r="J517">
        <v>221824</v>
      </c>
      <c r="K517">
        <v>221824</v>
      </c>
      <c r="L517">
        <v>0</v>
      </c>
      <c r="M517">
        <v>0</v>
      </c>
      <c r="N517" s="4">
        <f t="shared" si="8"/>
        <v>0.11676543115262561</v>
      </c>
      <c r="P517">
        <v>1</v>
      </c>
      <c r="Q517">
        <v>0</v>
      </c>
      <c r="R517">
        <v>0</v>
      </c>
      <c r="T517" t="s">
        <v>227</v>
      </c>
    </row>
    <row r="518" spans="1:22">
      <c r="A518">
        <v>615</v>
      </c>
      <c r="B518">
        <v>252336.609375</v>
      </c>
      <c r="C518" t="s">
        <v>992</v>
      </c>
      <c r="D518">
        <v>4.9844684600830078</v>
      </c>
      <c r="E518" t="s">
        <v>160</v>
      </c>
      <c r="F518" t="s">
        <v>991</v>
      </c>
      <c r="G518" t="s">
        <v>227</v>
      </c>
      <c r="H518" t="s">
        <v>3</v>
      </c>
      <c r="I518">
        <v>1</v>
      </c>
      <c r="J518">
        <v>221824</v>
      </c>
      <c r="K518">
        <v>0</v>
      </c>
      <c r="L518">
        <v>0</v>
      </c>
      <c r="M518">
        <v>221824</v>
      </c>
      <c r="N518" s="4">
        <f t="shared" si="8"/>
        <v>0.13755323758925986</v>
      </c>
      <c r="P518">
        <v>0</v>
      </c>
      <c r="Q518">
        <v>0</v>
      </c>
      <c r="R518">
        <v>1</v>
      </c>
      <c r="V518" t="s">
        <v>227</v>
      </c>
    </row>
    <row r="519" spans="1:22">
      <c r="A519">
        <v>616</v>
      </c>
      <c r="B519">
        <v>246642.609375</v>
      </c>
      <c r="C519" t="s">
        <v>993</v>
      </c>
      <c r="D519">
        <v>7.0359036922454834</v>
      </c>
      <c r="E519" t="s">
        <v>160</v>
      </c>
      <c r="F519" t="s">
        <v>991</v>
      </c>
      <c r="G519" t="s">
        <v>227</v>
      </c>
      <c r="H519" t="s">
        <v>4</v>
      </c>
      <c r="I519">
        <v>1</v>
      </c>
      <c r="J519">
        <v>221824</v>
      </c>
      <c r="K519">
        <v>0</v>
      </c>
      <c r="L519">
        <v>221824</v>
      </c>
      <c r="M519">
        <v>0</v>
      </c>
      <c r="N519" s="4">
        <f t="shared" si="8"/>
        <v>0.11188423874332809</v>
      </c>
      <c r="P519">
        <v>0</v>
      </c>
      <c r="Q519">
        <v>1</v>
      </c>
      <c r="R519">
        <v>0</v>
      </c>
      <c r="U519" t="s">
        <v>227</v>
      </c>
    </row>
    <row r="520" spans="1:22">
      <c r="A520">
        <v>617</v>
      </c>
      <c r="B520">
        <v>97433.546875</v>
      </c>
      <c r="C520" t="s">
        <v>994</v>
      </c>
      <c r="D520">
        <v>6.3564865589141846</v>
      </c>
      <c r="E520" t="s">
        <v>160</v>
      </c>
      <c r="F520" t="s">
        <v>995</v>
      </c>
      <c r="G520" t="s">
        <v>228</v>
      </c>
      <c r="H520" t="s">
        <v>2</v>
      </c>
      <c r="I520">
        <v>1</v>
      </c>
      <c r="J520">
        <v>89449</v>
      </c>
      <c r="K520">
        <v>89449</v>
      </c>
      <c r="L520">
        <v>0</v>
      </c>
      <c r="M520">
        <v>0</v>
      </c>
      <c r="N520" s="4">
        <f t="shared" si="8"/>
        <v>8.9263679582779032E-2</v>
      </c>
      <c r="P520">
        <v>1</v>
      </c>
      <c r="Q520">
        <v>0</v>
      </c>
      <c r="R520">
        <v>0</v>
      </c>
      <c r="T520" t="s">
        <v>228</v>
      </c>
    </row>
    <row r="521" spans="1:22">
      <c r="A521">
        <v>618</v>
      </c>
      <c r="B521">
        <v>104501.6953125</v>
      </c>
      <c r="C521" t="s">
        <v>996</v>
      </c>
      <c r="D521">
        <v>3.6729617118835449</v>
      </c>
      <c r="E521" t="s">
        <v>160</v>
      </c>
      <c r="F521" t="s">
        <v>995</v>
      </c>
      <c r="G521" t="s">
        <v>228</v>
      </c>
      <c r="H521" t="s">
        <v>3</v>
      </c>
      <c r="I521">
        <v>1</v>
      </c>
      <c r="J521">
        <v>89449</v>
      </c>
      <c r="K521">
        <v>0</v>
      </c>
      <c r="L521">
        <v>0</v>
      </c>
      <c r="M521">
        <v>89449</v>
      </c>
      <c r="N521" s="4">
        <f t="shared" si="8"/>
        <v>0.16828243258728448</v>
      </c>
      <c r="P521">
        <v>0</v>
      </c>
      <c r="Q521">
        <v>0</v>
      </c>
      <c r="R521">
        <v>1</v>
      </c>
      <c r="V521" t="s">
        <v>228</v>
      </c>
    </row>
    <row r="522" spans="1:22">
      <c r="A522">
        <v>619</v>
      </c>
      <c r="B522">
        <v>100432.6953125</v>
      </c>
      <c r="C522" t="s">
        <v>997</v>
      </c>
      <c r="D522">
        <v>5.2639756202697754</v>
      </c>
      <c r="E522" t="s">
        <v>160</v>
      </c>
      <c r="F522" t="s">
        <v>995</v>
      </c>
      <c r="G522" t="s">
        <v>228</v>
      </c>
      <c r="H522" t="s">
        <v>4</v>
      </c>
      <c r="I522">
        <v>1</v>
      </c>
      <c r="J522">
        <v>89449</v>
      </c>
      <c r="K522">
        <v>0</v>
      </c>
      <c r="L522">
        <v>89449</v>
      </c>
      <c r="M522">
        <v>0</v>
      </c>
      <c r="N522" s="4">
        <f t="shared" si="8"/>
        <v>0.122792823983499</v>
      </c>
      <c r="P522">
        <v>0</v>
      </c>
      <c r="Q522">
        <v>1</v>
      </c>
      <c r="R522">
        <v>0</v>
      </c>
      <c r="U522" t="s">
        <v>228</v>
      </c>
    </row>
    <row r="523" spans="1:22">
      <c r="A523">
        <v>620</v>
      </c>
      <c r="B523">
        <v>72947.921875</v>
      </c>
      <c r="C523" t="s">
        <v>998</v>
      </c>
      <c r="D523">
        <v>3.977703332901001</v>
      </c>
      <c r="E523" t="s">
        <v>160</v>
      </c>
      <c r="F523" t="s">
        <v>999</v>
      </c>
      <c r="G523" t="s">
        <v>229</v>
      </c>
      <c r="H523" t="s">
        <v>2</v>
      </c>
      <c r="I523">
        <v>1</v>
      </c>
      <c r="J523">
        <v>66483</v>
      </c>
      <c r="K523">
        <v>66483</v>
      </c>
      <c r="L523">
        <v>0</v>
      </c>
      <c r="M523">
        <v>0</v>
      </c>
      <c r="N523" s="4">
        <f t="shared" si="8"/>
        <v>9.7241729088639151E-2</v>
      </c>
      <c r="P523">
        <v>1</v>
      </c>
      <c r="Q523">
        <v>0</v>
      </c>
      <c r="R523">
        <v>0</v>
      </c>
      <c r="T523" t="s">
        <v>229</v>
      </c>
    </row>
    <row r="524" spans="1:22">
      <c r="A524">
        <v>621</v>
      </c>
      <c r="B524">
        <v>87579.390625</v>
      </c>
      <c r="C524" t="s">
        <v>1000</v>
      </c>
      <c r="D524">
        <v>3.8529212474822998</v>
      </c>
      <c r="E524" t="s">
        <v>160</v>
      </c>
      <c r="F524" t="s">
        <v>999</v>
      </c>
      <c r="G524" t="s">
        <v>229</v>
      </c>
      <c r="H524" t="s">
        <v>3</v>
      </c>
      <c r="I524">
        <v>1</v>
      </c>
      <c r="J524">
        <v>66483</v>
      </c>
      <c r="K524">
        <v>0</v>
      </c>
      <c r="L524">
        <v>0</v>
      </c>
      <c r="M524">
        <v>66483</v>
      </c>
      <c r="N524" s="4">
        <f t="shared" si="8"/>
        <v>0.31732007618488933</v>
      </c>
      <c r="P524">
        <v>0</v>
      </c>
      <c r="Q524">
        <v>0</v>
      </c>
      <c r="R524">
        <v>1</v>
      </c>
      <c r="V524" t="s">
        <v>229</v>
      </c>
    </row>
    <row r="525" spans="1:22">
      <c r="A525">
        <v>622</v>
      </c>
      <c r="B525">
        <v>76910.671875</v>
      </c>
      <c r="C525" t="s">
        <v>1001</v>
      </c>
      <c r="D525">
        <v>4.764615535736084</v>
      </c>
      <c r="E525" t="s">
        <v>160</v>
      </c>
      <c r="F525" t="s">
        <v>999</v>
      </c>
      <c r="G525" t="s">
        <v>229</v>
      </c>
      <c r="H525" t="s">
        <v>4</v>
      </c>
      <c r="I525">
        <v>1</v>
      </c>
      <c r="J525">
        <v>66483</v>
      </c>
      <c r="K525">
        <v>0</v>
      </c>
      <c r="L525">
        <v>66483</v>
      </c>
      <c r="M525">
        <v>0</v>
      </c>
      <c r="N525" s="4">
        <f t="shared" si="8"/>
        <v>0.15684719213934395</v>
      </c>
      <c r="P525">
        <v>0</v>
      </c>
      <c r="Q525">
        <v>1</v>
      </c>
      <c r="R525">
        <v>0</v>
      </c>
      <c r="U525" t="s">
        <v>229</v>
      </c>
    </row>
    <row r="526" spans="1:22">
      <c r="A526">
        <v>623</v>
      </c>
      <c r="B526">
        <v>72928.9375</v>
      </c>
      <c r="C526" t="s">
        <v>1002</v>
      </c>
      <c r="D526">
        <v>4.2209887504577637</v>
      </c>
      <c r="E526" t="s">
        <v>160</v>
      </c>
      <c r="F526" t="s">
        <v>1003</v>
      </c>
      <c r="G526" t="s">
        <v>230</v>
      </c>
      <c r="H526" t="s">
        <v>2</v>
      </c>
      <c r="I526">
        <v>1</v>
      </c>
      <c r="J526">
        <v>69226</v>
      </c>
      <c r="K526">
        <v>69226</v>
      </c>
      <c r="L526">
        <v>0</v>
      </c>
      <c r="M526">
        <v>0</v>
      </c>
      <c r="N526" s="4">
        <f t="shared" si="8"/>
        <v>5.3490559905237989E-2</v>
      </c>
      <c r="P526">
        <v>1</v>
      </c>
      <c r="Q526">
        <v>0</v>
      </c>
      <c r="R526">
        <v>0</v>
      </c>
      <c r="T526" t="s">
        <v>230</v>
      </c>
    </row>
    <row r="527" spans="1:22">
      <c r="A527">
        <v>624</v>
      </c>
      <c r="B527">
        <v>77125.0625</v>
      </c>
      <c r="C527" t="s">
        <v>1004</v>
      </c>
      <c r="D527">
        <v>4.0426056385040283</v>
      </c>
      <c r="E527" t="s">
        <v>160</v>
      </c>
      <c r="F527" t="s">
        <v>1003</v>
      </c>
      <c r="G527" t="s">
        <v>230</v>
      </c>
      <c r="H527" t="s">
        <v>3</v>
      </c>
      <c r="I527">
        <v>1</v>
      </c>
      <c r="J527">
        <v>69226</v>
      </c>
      <c r="K527">
        <v>0</v>
      </c>
      <c r="L527">
        <v>0</v>
      </c>
      <c r="M527">
        <v>69226</v>
      </c>
      <c r="N527" s="4">
        <f t="shared" si="8"/>
        <v>0.11410543004073603</v>
      </c>
      <c r="P527">
        <v>0</v>
      </c>
      <c r="Q527">
        <v>0</v>
      </c>
      <c r="R527">
        <v>1</v>
      </c>
      <c r="V527" t="s">
        <v>230</v>
      </c>
    </row>
    <row r="528" spans="1:22">
      <c r="A528">
        <v>625</v>
      </c>
      <c r="B528">
        <v>95005.890625</v>
      </c>
      <c r="C528" t="s">
        <v>1005</v>
      </c>
      <c r="D528">
        <v>4.6217935085296631</v>
      </c>
      <c r="E528" t="s">
        <v>160</v>
      </c>
      <c r="F528" t="s">
        <v>1003</v>
      </c>
      <c r="G528" t="s">
        <v>230</v>
      </c>
      <c r="H528" t="s">
        <v>4</v>
      </c>
      <c r="I528">
        <v>1</v>
      </c>
      <c r="J528">
        <v>69226</v>
      </c>
      <c r="K528">
        <v>0</v>
      </c>
      <c r="L528">
        <v>69226</v>
      </c>
      <c r="M528">
        <v>0</v>
      </c>
      <c r="N528" s="4">
        <f t="shared" si="8"/>
        <v>0.37240185226648936</v>
      </c>
      <c r="P528">
        <v>0</v>
      </c>
      <c r="Q528">
        <v>1</v>
      </c>
      <c r="R528">
        <v>0</v>
      </c>
      <c r="U528" t="s">
        <v>230</v>
      </c>
    </row>
    <row r="529" spans="1:22">
      <c r="A529">
        <v>626</v>
      </c>
      <c r="B529">
        <v>27211.748046875</v>
      </c>
      <c r="C529" t="s">
        <v>1006</v>
      </c>
      <c r="D529">
        <v>4.2172939777374268</v>
      </c>
      <c r="E529" t="s">
        <v>160</v>
      </c>
      <c r="F529" t="s">
        <v>1007</v>
      </c>
      <c r="G529" t="s">
        <v>231</v>
      </c>
      <c r="H529" t="s">
        <v>2</v>
      </c>
      <c r="I529">
        <v>1</v>
      </c>
      <c r="J529">
        <v>24201</v>
      </c>
      <c r="K529">
        <v>24201</v>
      </c>
      <c r="L529">
        <v>0</v>
      </c>
      <c r="M529">
        <v>0</v>
      </c>
      <c r="N529" s="4">
        <f t="shared" si="8"/>
        <v>0.12440593557600921</v>
      </c>
      <c r="P529">
        <v>1</v>
      </c>
      <c r="Q529">
        <v>0</v>
      </c>
      <c r="R529">
        <v>0</v>
      </c>
      <c r="T529" t="s">
        <v>231</v>
      </c>
    </row>
    <row r="530" spans="1:22">
      <c r="A530">
        <v>627</v>
      </c>
      <c r="B530">
        <v>32034.46875</v>
      </c>
      <c r="C530" t="s">
        <v>1008</v>
      </c>
      <c r="D530">
        <v>3.5331659317016602</v>
      </c>
      <c r="E530" t="s">
        <v>160</v>
      </c>
      <c r="F530" t="s">
        <v>1007</v>
      </c>
      <c r="G530" t="s">
        <v>231</v>
      </c>
      <c r="H530" t="s">
        <v>3</v>
      </c>
      <c r="I530">
        <v>1</v>
      </c>
      <c r="J530">
        <v>24201</v>
      </c>
      <c r="K530">
        <v>0</v>
      </c>
      <c r="L530">
        <v>0</v>
      </c>
      <c r="M530">
        <v>24201</v>
      </c>
      <c r="N530" s="4">
        <f t="shared" si="8"/>
        <v>0.3236836804264287</v>
      </c>
      <c r="P530">
        <v>0</v>
      </c>
      <c r="Q530">
        <v>0</v>
      </c>
      <c r="R530">
        <v>1</v>
      </c>
      <c r="V530" t="s">
        <v>231</v>
      </c>
    </row>
    <row r="531" spans="1:22">
      <c r="A531">
        <v>628</v>
      </c>
      <c r="B531">
        <v>29118.7578125</v>
      </c>
      <c r="C531" t="s">
        <v>1009</v>
      </c>
      <c r="D531">
        <v>4.6102609634399414</v>
      </c>
      <c r="E531" t="s">
        <v>160</v>
      </c>
      <c r="F531" t="s">
        <v>1007</v>
      </c>
      <c r="G531" t="s">
        <v>231</v>
      </c>
      <c r="H531" t="s">
        <v>4</v>
      </c>
      <c r="I531">
        <v>1</v>
      </c>
      <c r="J531">
        <v>24201</v>
      </c>
      <c r="K531">
        <v>0</v>
      </c>
      <c r="L531">
        <v>24201</v>
      </c>
      <c r="M531">
        <v>0</v>
      </c>
      <c r="N531" s="4">
        <f t="shared" si="8"/>
        <v>0.20320473585802246</v>
      </c>
      <c r="P531">
        <v>0</v>
      </c>
      <c r="Q531">
        <v>1</v>
      </c>
      <c r="R531">
        <v>0</v>
      </c>
      <c r="U531" t="s">
        <v>231</v>
      </c>
    </row>
    <row r="532" spans="1:22">
      <c r="A532">
        <v>629</v>
      </c>
      <c r="B532">
        <v>170679.96875</v>
      </c>
      <c r="C532" t="s">
        <v>1010</v>
      </c>
      <c r="D532">
        <v>7.6924009323120117</v>
      </c>
      <c r="E532" t="s">
        <v>160</v>
      </c>
      <c r="F532" t="s">
        <v>1011</v>
      </c>
      <c r="G532" t="s">
        <v>232</v>
      </c>
      <c r="H532" t="s">
        <v>2</v>
      </c>
      <c r="I532">
        <v>1</v>
      </c>
      <c r="J532">
        <v>154593</v>
      </c>
      <c r="K532">
        <v>154593</v>
      </c>
      <c r="L532">
        <v>0</v>
      </c>
      <c r="M532">
        <v>0</v>
      </c>
      <c r="N532" s="4">
        <f t="shared" si="8"/>
        <v>0.10406013694022365</v>
      </c>
      <c r="P532">
        <v>1</v>
      </c>
      <c r="Q532">
        <v>0</v>
      </c>
      <c r="R532">
        <v>0</v>
      </c>
      <c r="T532" t="s">
        <v>232</v>
      </c>
    </row>
    <row r="533" spans="1:22">
      <c r="A533">
        <v>630</v>
      </c>
      <c r="B533">
        <v>182711</v>
      </c>
      <c r="C533" t="s">
        <v>1012</v>
      </c>
      <c r="D533">
        <v>5.4267203807830811</v>
      </c>
      <c r="E533" t="s">
        <v>160</v>
      </c>
      <c r="F533" t="s">
        <v>1011</v>
      </c>
      <c r="G533" t="s">
        <v>232</v>
      </c>
      <c r="H533" t="s">
        <v>3</v>
      </c>
      <c r="I533">
        <v>1</v>
      </c>
      <c r="J533">
        <v>154593</v>
      </c>
      <c r="K533">
        <v>0</v>
      </c>
      <c r="L533">
        <v>0</v>
      </c>
      <c r="M533">
        <v>154593</v>
      </c>
      <c r="N533" s="4">
        <f t="shared" si="8"/>
        <v>0.18188404390884449</v>
      </c>
      <c r="P533">
        <v>0</v>
      </c>
      <c r="Q533">
        <v>0</v>
      </c>
      <c r="R533">
        <v>1</v>
      </c>
      <c r="V533" t="s">
        <v>232</v>
      </c>
    </row>
    <row r="534" spans="1:22">
      <c r="A534">
        <v>631</v>
      </c>
      <c r="B534">
        <v>174985.671875</v>
      </c>
      <c r="C534" t="s">
        <v>1013</v>
      </c>
      <c r="D534">
        <v>6.5050003528594971</v>
      </c>
      <c r="E534" t="s">
        <v>160</v>
      </c>
      <c r="F534" t="s">
        <v>1011</v>
      </c>
      <c r="G534" t="s">
        <v>232</v>
      </c>
      <c r="H534" t="s">
        <v>4</v>
      </c>
      <c r="I534">
        <v>1</v>
      </c>
      <c r="J534">
        <v>154593</v>
      </c>
      <c r="K534">
        <v>0</v>
      </c>
      <c r="L534">
        <v>154593</v>
      </c>
      <c r="M534">
        <v>0</v>
      </c>
      <c r="N534" s="4">
        <f t="shared" si="8"/>
        <v>0.13191200038164719</v>
      </c>
      <c r="P534">
        <v>0</v>
      </c>
      <c r="Q534">
        <v>1</v>
      </c>
      <c r="R534">
        <v>0</v>
      </c>
      <c r="U534" t="s">
        <v>232</v>
      </c>
    </row>
    <row r="535" spans="1:22">
      <c r="A535">
        <v>632</v>
      </c>
      <c r="B535">
        <v>105274.21875</v>
      </c>
      <c r="C535" t="s">
        <v>1014</v>
      </c>
      <c r="D535">
        <v>5.9977829456329346</v>
      </c>
      <c r="E535" t="s">
        <v>160</v>
      </c>
      <c r="F535" t="s">
        <v>1015</v>
      </c>
      <c r="G535" t="s">
        <v>233</v>
      </c>
      <c r="H535" t="s">
        <v>2</v>
      </c>
      <c r="I535">
        <v>1</v>
      </c>
      <c r="J535">
        <v>94846</v>
      </c>
      <c r="K535">
        <v>94846</v>
      </c>
      <c r="L535">
        <v>0</v>
      </c>
      <c r="M535">
        <v>0</v>
      </c>
      <c r="N535" s="4">
        <f t="shared" si="8"/>
        <v>0.10994895672985683</v>
      </c>
      <c r="P535">
        <v>1</v>
      </c>
      <c r="Q535">
        <v>0</v>
      </c>
      <c r="R535">
        <v>0</v>
      </c>
      <c r="T535" t="s">
        <v>233</v>
      </c>
    </row>
    <row r="536" spans="1:22">
      <c r="A536">
        <v>633</v>
      </c>
      <c r="B536">
        <v>113827.921875</v>
      </c>
      <c r="C536" t="s">
        <v>1016</v>
      </c>
      <c r="D536">
        <v>3.6674187183380131</v>
      </c>
      <c r="E536" t="s">
        <v>160</v>
      </c>
      <c r="F536" t="s">
        <v>1015</v>
      </c>
      <c r="G536" t="s">
        <v>233</v>
      </c>
      <c r="H536" t="s">
        <v>3</v>
      </c>
      <c r="I536">
        <v>1</v>
      </c>
      <c r="J536">
        <v>94846</v>
      </c>
      <c r="K536">
        <v>0</v>
      </c>
      <c r="L536">
        <v>0</v>
      </c>
      <c r="M536">
        <v>94846</v>
      </c>
      <c r="N536" s="4">
        <f t="shared" si="8"/>
        <v>0.20013413190856766</v>
      </c>
      <c r="P536">
        <v>0</v>
      </c>
      <c r="Q536">
        <v>0</v>
      </c>
      <c r="R536">
        <v>1</v>
      </c>
      <c r="V536" t="s">
        <v>233</v>
      </c>
    </row>
    <row r="537" spans="1:22">
      <c r="A537">
        <v>634</v>
      </c>
      <c r="B537">
        <v>110396.421875</v>
      </c>
      <c r="C537" t="s">
        <v>1017</v>
      </c>
      <c r="D537">
        <v>4.9912252426147461</v>
      </c>
      <c r="E537" t="s">
        <v>160</v>
      </c>
      <c r="F537" t="s">
        <v>1015</v>
      </c>
      <c r="G537" t="s">
        <v>233</v>
      </c>
      <c r="H537" t="s">
        <v>4</v>
      </c>
      <c r="I537">
        <v>1</v>
      </c>
      <c r="J537">
        <v>94846</v>
      </c>
      <c r="K537">
        <v>0</v>
      </c>
      <c r="L537">
        <v>94846</v>
      </c>
      <c r="M537">
        <v>0</v>
      </c>
      <c r="N537" s="4">
        <f t="shared" si="8"/>
        <v>0.16395443007612331</v>
      </c>
      <c r="P537">
        <v>0</v>
      </c>
      <c r="Q537">
        <v>1</v>
      </c>
      <c r="R537">
        <v>0</v>
      </c>
      <c r="U537" t="s">
        <v>233</v>
      </c>
    </row>
    <row r="538" spans="1:22">
      <c r="A538">
        <v>635</v>
      </c>
      <c r="B538">
        <v>102623.03125</v>
      </c>
      <c r="C538" t="s">
        <v>1018</v>
      </c>
      <c r="D538">
        <v>4.3046698570251456</v>
      </c>
      <c r="E538" t="s">
        <v>160</v>
      </c>
      <c r="F538" t="s">
        <v>1019</v>
      </c>
      <c r="G538" t="s">
        <v>234</v>
      </c>
      <c r="H538" t="s">
        <v>2</v>
      </c>
      <c r="I538">
        <v>1</v>
      </c>
      <c r="J538">
        <v>86700</v>
      </c>
      <c r="K538">
        <v>86700</v>
      </c>
      <c r="L538">
        <v>0</v>
      </c>
      <c r="M538">
        <v>0</v>
      </c>
      <c r="N538" s="4">
        <f t="shared" si="8"/>
        <v>0.18365664648212232</v>
      </c>
      <c r="P538">
        <v>1</v>
      </c>
      <c r="Q538">
        <v>0</v>
      </c>
      <c r="R538">
        <v>0</v>
      </c>
      <c r="T538" t="s">
        <v>234</v>
      </c>
    </row>
    <row r="539" spans="1:22">
      <c r="A539">
        <v>636</v>
      </c>
      <c r="B539">
        <v>113619.7265625</v>
      </c>
      <c r="C539" t="s">
        <v>1020</v>
      </c>
      <c r="D539">
        <v>3.571320772171021</v>
      </c>
      <c r="E539" t="s">
        <v>160</v>
      </c>
      <c r="F539" t="s">
        <v>1019</v>
      </c>
      <c r="G539" t="s">
        <v>234</v>
      </c>
      <c r="H539" t="s">
        <v>3</v>
      </c>
      <c r="I539">
        <v>1</v>
      </c>
      <c r="J539">
        <v>86700</v>
      </c>
      <c r="K539">
        <v>0</v>
      </c>
      <c r="L539">
        <v>0</v>
      </c>
      <c r="M539">
        <v>86700</v>
      </c>
      <c r="N539" s="4">
        <f t="shared" si="8"/>
        <v>0.31049280925605527</v>
      </c>
      <c r="P539">
        <v>0</v>
      </c>
      <c r="Q539">
        <v>0</v>
      </c>
      <c r="R539">
        <v>1</v>
      </c>
      <c r="V539" t="s">
        <v>234</v>
      </c>
    </row>
    <row r="540" spans="1:22">
      <c r="A540">
        <v>637</v>
      </c>
      <c r="B540">
        <v>106136.3515625</v>
      </c>
      <c r="C540" t="s">
        <v>1021</v>
      </c>
      <c r="D540">
        <v>4.2081582546234131</v>
      </c>
      <c r="E540" t="s">
        <v>160</v>
      </c>
      <c r="F540" t="s">
        <v>1019</v>
      </c>
      <c r="G540" t="s">
        <v>234</v>
      </c>
      <c r="H540" t="s">
        <v>4</v>
      </c>
      <c r="I540">
        <v>1</v>
      </c>
      <c r="J540">
        <v>86700</v>
      </c>
      <c r="K540">
        <v>0</v>
      </c>
      <c r="L540">
        <v>86700</v>
      </c>
      <c r="M540">
        <v>0</v>
      </c>
      <c r="N540" s="4">
        <f t="shared" si="8"/>
        <v>0.22417937211649375</v>
      </c>
      <c r="P540">
        <v>0</v>
      </c>
      <c r="Q540">
        <v>1</v>
      </c>
      <c r="R540">
        <v>0</v>
      </c>
      <c r="U540" t="s">
        <v>234</v>
      </c>
    </row>
    <row r="541" spans="1:22">
      <c r="A541">
        <v>638</v>
      </c>
      <c r="B541">
        <v>47877.41796875</v>
      </c>
      <c r="C541" t="s">
        <v>1022</v>
      </c>
      <c r="D541">
        <v>4.28562331199646</v>
      </c>
      <c r="E541" t="s">
        <v>160</v>
      </c>
      <c r="F541" t="s">
        <v>1023</v>
      </c>
      <c r="G541" t="s">
        <v>235</v>
      </c>
      <c r="H541" t="s">
        <v>2</v>
      </c>
      <c r="I541">
        <v>1</v>
      </c>
      <c r="J541">
        <v>42717</v>
      </c>
      <c r="K541">
        <v>42717</v>
      </c>
      <c r="L541">
        <v>0</v>
      </c>
      <c r="M541">
        <v>0</v>
      </c>
      <c r="N541" s="4">
        <f t="shared" si="8"/>
        <v>0.1208047842486597</v>
      </c>
      <c r="P541">
        <v>1</v>
      </c>
      <c r="Q541">
        <v>0</v>
      </c>
      <c r="R541">
        <v>0</v>
      </c>
      <c r="T541" t="s">
        <v>235</v>
      </c>
    </row>
    <row r="542" spans="1:22">
      <c r="A542">
        <v>639</v>
      </c>
      <c r="B542">
        <v>57902.23046875</v>
      </c>
      <c r="C542" t="s">
        <v>1024</v>
      </c>
      <c r="D542">
        <v>3.8534615039825439</v>
      </c>
      <c r="E542" t="s">
        <v>160</v>
      </c>
      <c r="F542" t="s">
        <v>1023</v>
      </c>
      <c r="G542" t="s">
        <v>235</v>
      </c>
      <c r="H542" t="s">
        <v>3</v>
      </c>
      <c r="I542">
        <v>1</v>
      </c>
      <c r="J542">
        <v>42717</v>
      </c>
      <c r="K542">
        <v>0</v>
      </c>
      <c r="L542">
        <v>0</v>
      </c>
      <c r="M542">
        <v>42717</v>
      </c>
      <c r="N542" s="4">
        <f t="shared" si="8"/>
        <v>0.35548447851557929</v>
      </c>
      <c r="P542">
        <v>0</v>
      </c>
      <c r="Q542">
        <v>0</v>
      </c>
      <c r="R542">
        <v>1</v>
      </c>
      <c r="V542" t="s">
        <v>235</v>
      </c>
    </row>
    <row r="543" spans="1:22">
      <c r="A543">
        <v>640</v>
      </c>
      <c r="B543">
        <v>49624.953125</v>
      </c>
      <c r="C543" t="s">
        <v>1025</v>
      </c>
      <c r="D543">
        <v>4.3587892055511466</v>
      </c>
      <c r="E543" t="s">
        <v>160</v>
      </c>
      <c r="F543" t="s">
        <v>1023</v>
      </c>
      <c r="G543" t="s">
        <v>235</v>
      </c>
      <c r="H543" t="s">
        <v>4</v>
      </c>
      <c r="I543">
        <v>1</v>
      </c>
      <c r="J543">
        <v>42717</v>
      </c>
      <c r="K543">
        <v>0</v>
      </c>
      <c r="L543">
        <v>42717</v>
      </c>
      <c r="M543">
        <v>0</v>
      </c>
      <c r="N543" s="4">
        <f t="shared" si="8"/>
        <v>0.16171437893578666</v>
      </c>
      <c r="P543">
        <v>0</v>
      </c>
      <c r="Q543">
        <v>1</v>
      </c>
      <c r="R543">
        <v>0</v>
      </c>
      <c r="U543" t="s">
        <v>235</v>
      </c>
    </row>
    <row r="544" spans="1:22">
      <c r="A544">
        <v>641</v>
      </c>
      <c r="B544">
        <v>68682.390625</v>
      </c>
      <c r="C544" t="s">
        <v>1026</v>
      </c>
      <c r="D544">
        <v>5.7367475032806396</v>
      </c>
      <c r="E544" t="s">
        <v>160</v>
      </c>
      <c r="F544" t="s">
        <v>1027</v>
      </c>
      <c r="G544" t="s">
        <v>236</v>
      </c>
      <c r="H544" t="s">
        <v>2</v>
      </c>
      <c r="I544">
        <v>1</v>
      </c>
      <c r="J544">
        <v>50673</v>
      </c>
      <c r="K544">
        <v>50673</v>
      </c>
      <c r="L544">
        <v>0</v>
      </c>
      <c r="M544">
        <v>0</v>
      </c>
      <c r="N544" s="4">
        <f t="shared" si="8"/>
        <v>0.35540407366842297</v>
      </c>
      <c r="P544">
        <v>1</v>
      </c>
      <c r="Q544">
        <v>0</v>
      </c>
      <c r="R544">
        <v>0</v>
      </c>
      <c r="T544" t="s">
        <v>236</v>
      </c>
    </row>
    <row r="545" spans="1:22">
      <c r="A545">
        <v>642</v>
      </c>
      <c r="B545">
        <v>63176.37890625</v>
      </c>
      <c r="C545" t="s">
        <v>1028</v>
      </c>
      <c r="D545">
        <v>3.96668529510498</v>
      </c>
      <c r="E545" t="s">
        <v>160</v>
      </c>
      <c r="F545" t="s">
        <v>1027</v>
      </c>
      <c r="G545" t="s">
        <v>236</v>
      </c>
      <c r="H545" t="s">
        <v>3</v>
      </c>
      <c r="I545">
        <v>1</v>
      </c>
      <c r="J545">
        <v>50673</v>
      </c>
      <c r="K545">
        <v>0</v>
      </c>
      <c r="L545">
        <v>0</v>
      </c>
      <c r="M545">
        <v>50673</v>
      </c>
      <c r="N545" s="4">
        <f t="shared" si="8"/>
        <v>0.24674637195843951</v>
      </c>
      <c r="P545">
        <v>0</v>
      </c>
      <c r="Q545">
        <v>0</v>
      </c>
      <c r="R545">
        <v>1</v>
      </c>
      <c r="V545" t="s">
        <v>236</v>
      </c>
    </row>
    <row r="546" spans="1:22">
      <c r="A546">
        <v>643</v>
      </c>
      <c r="B546">
        <v>58097.26171875</v>
      </c>
      <c r="C546" t="s">
        <v>1029</v>
      </c>
      <c r="D546">
        <v>4.7475693225860596</v>
      </c>
      <c r="E546" t="s">
        <v>160</v>
      </c>
      <c r="F546" t="s">
        <v>1027</v>
      </c>
      <c r="G546" t="s">
        <v>236</v>
      </c>
      <c r="H546" t="s">
        <v>4</v>
      </c>
      <c r="I546">
        <v>1</v>
      </c>
      <c r="J546">
        <v>50673</v>
      </c>
      <c r="K546">
        <v>0</v>
      </c>
      <c r="L546">
        <v>50673</v>
      </c>
      <c r="M546">
        <v>0</v>
      </c>
      <c r="N546" s="4">
        <f t="shared" ref="N546:N609" si="9">IFERROR(B546/J546-1,"")</f>
        <v>0.14651316714522533</v>
      </c>
      <c r="P546">
        <v>0</v>
      </c>
      <c r="Q546">
        <v>1</v>
      </c>
      <c r="R546">
        <v>0</v>
      </c>
      <c r="U546" t="s">
        <v>236</v>
      </c>
    </row>
    <row r="547" spans="1:22">
      <c r="A547">
        <v>644</v>
      </c>
      <c r="B547">
        <v>213602</v>
      </c>
      <c r="C547" t="s">
        <v>1030</v>
      </c>
      <c r="D547">
        <v>7.2887382507324219</v>
      </c>
      <c r="E547" t="s">
        <v>160</v>
      </c>
      <c r="F547" t="s">
        <v>1031</v>
      </c>
      <c r="G547" t="s">
        <v>237</v>
      </c>
      <c r="H547" t="s">
        <v>2</v>
      </c>
      <c r="I547">
        <v>1</v>
      </c>
      <c r="J547">
        <v>190316</v>
      </c>
      <c r="K547">
        <v>190316</v>
      </c>
      <c r="L547">
        <v>0</v>
      </c>
      <c r="M547">
        <v>0</v>
      </c>
      <c r="N547" s="4">
        <f t="shared" si="9"/>
        <v>0.1223544000504424</v>
      </c>
      <c r="P547">
        <v>1</v>
      </c>
      <c r="Q547">
        <v>0</v>
      </c>
      <c r="R547">
        <v>0</v>
      </c>
      <c r="T547" t="s">
        <v>237</v>
      </c>
    </row>
    <row r="548" spans="1:22">
      <c r="A548">
        <v>645</v>
      </c>
      <c r="B548">
        <v>224741.390625</v>
      </c>
      <c r="C548" t="s">
        <v>1032</v>
      </c>
      <c r="D548">
        <v>5.731266975402832</v>
      </c>
      <c r="E548" t="s">
        <v>160</v>
      </c>
      <c r="F548" t="s">
        <v>1031</v>
      </c>
      <c r="G548" t="s">
        <v>237</v>
      </c>
      <c r="H548" t="s">
        <v>3</v>
      </c>
      <c r="I548">
        <v>1</v>
      </c>
      <c r="J548">
        <v>190316</v>
      </c>
      <c r="K548">
        <v>0</v>
      </c>
      <c r="L548">
        <v>0</v>
      </c>
      <c r="M548">
        <v>190316</v>
      </c>
      <c r="N548" s="4">
        <f t="shared" si="9"/>
        <v>0.18088542542403152</v>
      </c>
      <c r="P548">
        <v>0</v>
      </c>
      <c r="Q548">
        <v>0</v>
      </c>
      <c r="R548">
        <v>1</v>
      </c>
      <c r="V548" t="s">
        <v>237</v>
      </c>
    </row>
    <row r="549" spans="1:22">
      <c r="A549">
        <v>646</v>
      </c>
      <c r="B549">
        <v>218975.234375</v>
      </c>
      <c r="C549" t="s">
        <v>1033</v>
      </c>
      <c r="D549">
        <v>6.2301850318908691</v>
      </c>
      <c r="E549" t="s">
        <v>160</v>
      </c>
      <c r="F549" t="s">
        <v>1031</v>
      </c>
      <c r="G549" t="s">
        <v>237</v>
      </c>
      <c r="H549" t="s">
        <v>4</v>
      </c>
      <c r="I549">
        <v>1</v>
      </c>
      <c r="J549">
        <v>190316</v>
      </c>
      <c r="K549">
        <v>0</v>
      </c>
      <c r="L549">
        <v>190316</v>
      </c>
      <c r="M549">
        <v>0</v>
      </c>
      <c r="N549" s="4">
        <f t="shared" si="9"/>
        <v>0.15058762466108999</v>
      </c>
      <c r="P549">
        <v>0</v>
      </c>
      <c r="Q549">
        <v>1</v>
      </c>
      <c r="R549">
        <v>0</v>
      </c>
      <c r="U549" t="s">
        <v>237</v>
      </c>
    </row>
    <row r="550" spans="1:22">
      <c r="A550">
        <v>647</v>
      </c>
      <c r="B550">
        <v>123547.71875</v>
      </c>
      <c r="C550" t="s">
        <v>1034</v>
      </c>
      <c r="D550">
        <v>5.5793147087097168</v>
      </c>
      <c r="E550" t="s">
        <v>160</v>
      </c>
      <c r="F550" t="s">
        <v>1035</v>
      </c>
      <c r="G550" t="s">
        <v>238</v>
      </c>
      <c r="H550" t="s">
        <v>2</v>
      </c>
      <c r="I550">
        <v>1</v>
      </c>
      <c r="J550">
        <v>108451</v>
      </c>
      <c r="K550">
        <v>108451</v>
      </c>
      <c r="L550">
        <v>0</v>
      </c>
      <c r="M550">
        <v>0</v>
      </c>
      <c r="N550" s="4">
        <f t="shared" si="9"/>
        <v>0.13920313090704561</v>
      </c>
      <c r="P550">
        <v>1</v>
      </c>
      <c r="Q550">
        <v>0</v>
      </c>
      <c r="R550">
        <v>0</v>
      </c>
      <c r="T550" t="s">
        <v>238</v>
      </c>
    </row>
    <row r="551" spans="1:22">
      <c r="A551">
        <v>648</v>
      </c>
      <c r="B551">
        <v>136538.25</v>
      </c>
      <c r="C551" t="s">
        <v>1036</v>
      </c>
      <c r="D551">
        <v>3.9650578498840332</v>
      </c>
      <c r="E551" t="s">
        <v>160</v>
      </c>
      <c r="F551" t="s">
        <v>1035</v>
      </c>
      <c r="G551" t="s">
        <v>238</v>
      </c>
      <c r="H551" t="s">
        <v>3</v>
      </c>
      <c r="I551">
        <v>1</v>
      </c>
      <c r="J551">
        <v>108451</v>
      </c>
      <c r="K551">
        <v>0</v>
      </c>
      <c r="L551">
        <v>0</v>
      </c>
      <c r="M551">
        <v>108451</v>
      </c>
      <c r="N551" s="4">
        <f t="shared" si="9"/>
        <v>0.2589856248443998</v>
      </c>
      <c r="P551">
        <v>0</v>
      </c>
      <c r="Q551">
        <v>0</v>
      </c>
      <c r="R551">
        <v>1</v>
      </c>
      <c r="V551" t="s">
        <v>238</v>
      </c>
    </row>
    <row r="552" spans="1:22">
      <c r="A552">
        <v>649</v>
      </c>
      <c r="B552">
        <v>126050.3359375</v>
      </c>
      <c r="C552" t="s">
        <v>1037</v>
      </c>
      <c r="D552">
        <v>4.8113713264465332</v>
      </c>
      <c r="E552" t="s">
        <v>160</v>
      </c>
      <c r="F552" t="s">
        <v>1035</v>
      </c>
      <c r="G552" t="s">
        <v>238</v>
      </c>
      <c r="H552" t="s">
        <v>4</v>
      </c>
      <c r="I552">
        <v>1</v>
      </c>
      <c r="J552">
        <v>108451</v>
      </c>
      <c r="K552">
        <v>0</v>
      </c>
      <c r="L552">
        <v>108451</v>
      </c>
      <c r="M552">
        <v>0</v>
      </c>
      <c r="N552" s="4">
        <f t="shared" si="9"/>
        <v>0.16227914853251701</v>
      </c>
      <c r="P552">
        <v>0</v>
      </c>
      <c r="Q552">
        <v>1</v>
      </c>
      <c r="R552">
        <v>0</v>
      </c>
      <c r="U552" t="s">
        <v>238</v>
      </c>
    </row>
    <row r="553" spans="1:22">
      <c r="A553">
        <v>650</v>
      </c>
      <c r="B553">
        <v>67107.2109375</v>
      </c>
      <c r="C553" t="s">
        <v>1038</v>
      </c>
      <c r="D553">
        <v>4.2039332389831543</v>
      </c>
      <c r="E553" t="s">
        <v>160</v>
      </c>
      <c r="F553" t="s">
        <v>1039</v>
      </c>
      <c r="G553" t="s">
        <v>239</v>
      </c>
      <c r="H553" t="s">
        <v>2</v>
      </c>
      <c r="I553">
        <v>1</v>
      </c>
      <c r="J553">
        <v>59535</v>
      </c>
      <c r="K553">
        <v>59535</v>
      </c>
      <c r="L553">
        <v>0</v>
      </c>
      <c r="M553">
        <v>0</v>
      </c>
      <c r="N553" s="4">
        <f t="shared" si="9"/>
        <v>0.1271892321743513</v>
      </c>
      <c r="P553">
        <v>1</v>
      </c>
      <c r="Q553">
        <v>0</v>
      </c>
      <c r="R553">
        <v>0</v>
      </c>
      <c r="T553" t="s">
        <v>239</v>
      </c>
    </row>
    <row r="554" spans="1:22">
      <c r="A554">
        <v>651</v>
      </c>
      <c r="B554">
        <v>79989.5078125</v>
      </c>
      <c r="C554" t="s">
        <v>1040</v>
      </c>
      <c r="D554">
        <v>4.3246946334838867</v>
      </c>
      <c r="E554" t="s">
        <v>160</v>
      </c>
      <c r="F554" t="s">
        <v>1039</v>
      </c>
      <c r="G554" t="s">
        <v>239</v>
      </c>
      <c r="H554" t="s">
        <v>3</v>
      </c>
      <c r="I554">
        <v>1</v>
      </c>
      <c r="J554">
        <v>59535</v>
      </c>
      <c r="K554">
        <v>0</v>
      </c>
      <c r="L554">
        <v>0</v>
      </c>
      <c r="M554">
        <v>59535</v>
      </c>
      <c r="N554" s="4">
        <f t="shared" si="9"/>
        <v>0.34357113987570331</v>
      </c>
      <c r="P554">
        <v>0</v>
      </c>
      <c r="Q554">
        <v>0</v>
      </c>
      <c r="R554">
        <v>1</v>
      </c>
      <c r="V554" t="s">
        <v>239</v>
      </c>
    </row>
    <row r="555" spans="1:22">
      <c r="A555">
        <v>652</v>
      </c>
      <c r="B555">
        <v>69963.046875</v>
      </c>
      <c r="C555" t="s">
        <v>1041</v>
      </c>
      <c r="D555">
        <v>4.5533185005187988</v>
      </c>
      <c r="E555" t="s">
        <v>160</v>
      </c>
      <c r="F555" t="s">
        <v>1039</v>
      </c>
      <c r="G555" t="s">
        <v>239</v>
      </c>
      <c r="H555" t="s">
        <v>4</v>
      </c>
      <c r="I555">
        <v>1</v>
      </c>
      <c r="J555">
        <v>59535</v>
      </c>
      <c r="K555">
        <v>0</v>
      </c>
      <c r="L555">
        <v>59535</v>
      </c>
      <c r="M555">
        <v>0</v>
      </c>
      <c r="N555" s="4">
        <f t="shared" si="9"/>
        <v>0.17515825774754346</v>
      </c>
      <c r="P555">
        <v>0</v>
      </c>
      <c r="Q555">
        <v>1</v>
      </c>
      <c r="R555">
        <v>0</v>
      </c>
      <c r="U555" t="s">
        <v>239</v>
      </c>
    </row>
    <row r="556" spans="1:22">
      <c r="A556">
        <v>653</v>
      </c>
      <c r="B556">
        <v>82065.59375</v>
      </c>
      <c r="C556" t="s">
        <v>1042</v>
      </c>
      <c r="D556">
        <v>4.1948461532592773</v>
      </c>
      <c r="E556" t="s">
        <v>160</v>
      </c>
      <c r="F556" t="s">
        <v>1043</v>
      </c>
      <c r="G556" t="s">
        <v>240</v>
      </c>
      <c r="H556" t="s">
        <v>2</v>
      </c>
      <c r="I556">
        <v>1</v>
      </c>
      <c r="J556">
        <v>62164</v>
      </c>
      <c r="K556">
        <v>62164</v>
      </c>
      <c r="L556">
        <v>0</v>
      </c>
      <c r="M556">
        <v>0</v>
      </c>
      <c r="N556" s="4">
        <f t="shared" si="9"/>
        <v>0.32014660816549778</v>
      </c>
      <c r="P556">
        <v>1</v>
      </c>
      <c r="Q556">
        <v>0</v>
      </c>
      <c r="R556">
        <v>0</v>
      </c>
      <c r="T556" t="s">
        <v>240</v>
      </c>
    </row>
    <row r="557" spans="1:22">
      <c r="A557">
        <v>654</v>
      </c>
      <c r="B557">
        <v>84868.59375</v>
      </c>
      <c r="C557" t="s">
        <v>1044</v>
      </c>
      <c r="D557">
        <v>4.2048954963684082</v>
      </c>
      <c r="E557" t="s">
        <v>160</v>
      </c>
      <c r="F557" t="s">
        <v>1043</v>
      </c>
      <c r="G557" t="s">
        <v>240</v>
      </c>
      <c r="H557" t="s">
        <v>3</v>
      </c>
      <c r="I557">
        <v>1</v>
      </c>
      <c r="J557">
        <v>62164</v>
      </c>
      <c r="K557">
        <v>0</v>
      </c>
      <c r="L557">
        <v>0</v>
      </c>
      <c r="M557">
        <v>62164</v>
      </c>
      <c r="N557" s="4">
        <f t="shared" si="9"/>
        <v>0.36523701418827614</v>
      </c>
      <c r="P557">
        <v>0</v>
      </c>
      <c r="Q557">
        <v>0</v>
      </c>
      <c r="R557">
        <v>1</v>
      </c>
      <c r="V557" t="s">
        <v>240</v>
      </c>
    </row>
    <row r="558" spans="1:22">
      <c r="A558">
        <v>655</v>
      </c>
      <c r="B558">
        <v>73704.65625</v>
      </c>
      <c r="C558" t="s">
        <v>1045</v>
      </c>
      <c r="D558">
        <v>4.1347610950469971</v>
      </c>
      <c r="E558" t="s">
        <v>160</v>
      </c>
      <c r="F558" t="s">
        <v>1043</v>
      </c>
      <c r="G558" t="s">
        <v>240</v>
      </c>
      <c r="H558" t="s">
        <v>4</v>
      </c>
      <c r="I558">
        <v>1</v>
      </c>
      <c r="J558">
        <v>62164</v>
      </c>
      <c r="K558">
        <v>0</v>
      </c>
      <c r="L558">
        <v>62164</v>
      </c>
      <c r="M558">
        <v>0</v>
      </c>
      <c r="N558" s="4">
        <f t="shared" si="9"/>
        <v>0.1856485465864488</v>
      </c>
      <c r="P558">
        <v>0</v>
      </c>
      <c r="Q558">
        <v>1</v>
      </c>
      <c r="R558">
        <v>0</v>
      </c>
      <c r="U558" t="s">
        <v>240</v>
      </c>
    </row>
    <row r="559" spans="1:22">
      <c r="A559">
        <v>656</v>
      </c>
      <c r="B559">
        <v>69823.4609375</v>
      </c>
      <c r="C559" t="s">
        <v>1046</v>
      </c>
      <c r="D559">
        <v>4.3515102863311768</v>
      </c>
      <c r="E559" t="s">
        <v>160</v>
      </c>
      <c r="F559" t="s">
        <v>1047</v>
      </c>
      <c r="G559" t="s">
        <v>241</v>
      </c>
      <c r="H559" t="s">
        <v>2</v>
      </c>
      <c r="I559">
        <v>1</v>
      </c>
      <c r="J559">
        <v>63684</v>
      </c>
      <c r="K559">
        <v>63684</v>
      </c>
      <c r="L559">
        <v>0</v>
      </c>
      <c r="M559">
        <v>0</v>
      </c>
      <c r="N559" s="4">
        <f t="shared" si="9"/>
        <v>9.6405077217197377E-2</v>
      </c>
      <c r="P559">
        <v>1</v>
      </c>
      <c r="Q559">
        <v>0</v>
      </c>
      <c r="R559">
        <v>0</v>
      </c>
      <c r="T559" t="s">
        <v>241</v>
      </c>
    </row>
    <row r="560" spans="1:22">
      <c r="A560">
        <v>657</v>
      </c>
      <c r="B560">
        <v>76997.34375</v>
      </c>
      <c r="C560" t="s">
        <v>1048</v>
      </c>
      <c r="D560">
        <v>4.160207986831665</v>
      </c>
      <c r="E560" t="s">
        <v>160</v>
      </c>
      <c r="F560" t="s">
        <v>1047</v>
      </c>
      <c r="G560" t="s">
        <v>241</v>
      </c>
      <c r="H560" t="s">
        <v>3</v>
      </c>
      <c r="I560">
        <v>1</v>
      </c>
      <c r="J560">
        <v>63684</v>
      </c>
      <c r="K560">
        <v>0</v>
      </c>
      <c r="L560">
        <v>0</v>
      </c>
      <c r="M560">
        <v>63684</v>
      </c>
      <c r="N560" s="4">
        <f t="shared" si="9"/>
        <v>0.20905319625023555</v>
      </c>
      <c r="P560">
        <v>0</v>
      </c>
      <c r="Q560">
        <v>0</v>
      </c>
      <c r="R560">
        <v>1</v>
      </c>
      <c r="V560" t="s">
        <v>241</v>
      </c>
    </row>
    <row r="561" spans="1:22">
      <c r="A561">
        <v>658</v>
      </c>
      <c r="B561">
        <v>73010.9453125</v>
      </c>
      <c r="C561" t="s">
        <v>1049</v>
      </c>
      <c r="D561">
        <v>4.5685088634490967</v>
      </c>
      <c r="E561" t="s">
        <v>160</v>
      </c>
      <c r="F561" t="s">
        <v>1047</v>
      </c>
      <c r="G561" t="s">
        <v>241</v>
      </c>
      <c r="H561" t="s">
        <v>4</v>
      </c>
      <c r="I561">
        <v>1</v>
      </c>
      <c r="J561">
        <v>63684</v>
      </c>
      <c r="K561">
        <v>0</v>
      </c>
      <c r="L561">
        <v>63684</v>
      </c>
      <c r="M561">
        <v>0</v>
      </c>
      <c r="N561" s="4">
        <f t="shared" si="9"/>
        <v>0.14645665021826515</v>
      </c>
      <c r="P561">
        <v>0</v>
      </c>
      <c r="Q561">
        <v>1</v>
      </c>
      <c r="R561">
        <v>0</v>
      </c>
      <c r="U561" t="s">
        <v>241</v>
      </c>
    </row>
    <row r="562" spans="1:22">
      <c r="A562">
        <v>659</v>
      </c>
      <c r="B562">
        <v>122541.78125</v>
      </c>
      <c r="C562" t="s">
        <v>1050</v>
      </c>
      <c r="D562">
        <v>7.6648499965667716</v>
      </c>
      <c r="E562" t="s">
        <v>160</v>
      </c>
      <c r="F562" t="s">
        <v>1051</v>
      </c>
      <c r="G562" t="s">
        <v>242</v>
      </c>
      <c r="H562" t="s">
        <v>2</v>
      </c>
      <c r="I562">
        <v>1</v>
      </c>
      <c r="J562">
        <v>106780</v>
      </c>
      <c r="K562">
        <v>106780</v>
      </c>
      <c r="L562">
        <v>0</v>
      </c>
      <c r="M562">
        <v>0</v>
      </c>
      <c r="N562" s="4">
        <f t="shared" si="9"/>
        <v>0.14760986373852791</v>
      </c>
      <c r="P562">
        <v>1</v>
      </c>
      <c r="Q562">
        <v>0</v>
      </c>
      <c r="R562">
        <v>0</v>
      </c>
      <c r="T562" t="s">
        <v>242</v>
      </c>
    </row>
    <row r="563" spans="1:22">
      <c r="A563">
        <v>660</v>
      </c>
      <c r="B563">
        <v>125736.328125</v>
      </c>
      <c r="C563" t="s">
        <v>1052</v>
      </c>
      <c r="D563">
        <v>5.7171149253845206</v>
      </c>
      <c r="E563" t="s">
        <v>160</v>
      </c>
      <c r="F563" t="s">
        <v>1051</v>
      </c>
      <c r="G563" t="s">
        <v>242</v>
      </c>
      <c r="H563" t="s">
        <v>3</v>
      </c>
      <c r="I563">
        <v>1</v>
      </c>
      <c r="J563">
        <v>106780</v>
      </c>
      <c r="K563">
        <v>0</v>
      </c>
      <c r="L563">
        <v>0</v>
      </c>
      <c r="M563">
        <v>106780</v>
      </c>
      <c r="N563" s="4">
        <f t="shared" si="9"/>
        <v>0.17752695378348005</v>
      </c>
      <c r="P563">
        <v>0</v>
      </c>
      <c r="Q563">
        <v>0</v>
      </c>
      <c r="R563">
        <v>1</v>
      </c>
      <c r="V563" t="s">
        <v>242</v>
      </c>
    </row>
    <row r="564" spans="1:22">
      <c r="A564">
        <v>661</v>
      </c>
      <c r="B564">
        <v>122206.9375</v>
      </c>
      <c r="C564" t="s">
        <v>1053</v>
      </c>
      <c r="D564">
        <v>9.5028665065765381</v>
      </c>
      <c r="E564" t="s">
        <v>160</v>
      </c>
      <c r="F564" t="s">
        <v>1051</v>
      </c>
      <c r="G564" t="s">
        <v>242</v>
      </c>
      <c r="H564" t="s">
        <v>4</v>
      </c>
      <c r="I564">
        <v>1</v>
      </c>
      <c r="J564">
        <v>106780</v>
      </c>
      <c r="K564">
        <v>0</v>
      </c>
      <c r="L564">
        <v>106780</v>
      </c>
      <c r="M564">
        <v>0</v>
      </c>
      <c r="N564" s="4">
        <f t="shared" si="9"/>
        <v>0.14447403539988768</v>
      </c>
      <c r="P564">
        <v>0</v>
      </c>
      <c r="Q564">
        <v>1</v>
      </c>
      <c r="R564">
        <v>0</v>
      </c>
      <c r="U564" t="s">
        <v>242</v>
      </c>
    </row>
    <row r="565" spans="1:22">
      <c r="A565">
        <v>662</v>
      </c>
      <c r="B565">
        <v>167861.15625</v>
      </c>
      <c r="C565" t="s">
        <v>1054</v>
      </c>
      <c r="D565">
        <v>8.5458202362060547</v>
      </c>
      <c r="E565" t="s">
        <v>160</v>
      </c>
      <c r="F565" t="s">
        <v>1055</v>
      </c>
      <c r="G565" t="s">
        <v>243</v>
      </c>
      <c r="H565" t="s">
        <v>2</v>
      </c>
      <c r="I565">
        <v>1</v>
      </c>
      <c r="J565">
        <v>146332</v>
      </c>
      <c r="K565">
        <v>146332</v>
      </c>
      <c r="L565">
        <v>0</v>
      </c>
      <c r="M565">
        <v>0</v>
      </c>
      <c r="N565" s="4">
        <f t="shared" si="9"/>
        <v>0.14712541515184641</v>
      </c>
      <c r="P565">
        <v>1</v>
      </c>
      <c r="Q565">
        <v>0</v>
      </c>
      <c r="R565">
        <v>0</v>
      </c>
      <c r="T565" t="s">
        <v>243</v>
      </c>
    </row>
    <row r="566" spans="1:22">
      <c r="A566">
        <v>663</v>
      </c>
      <c r="B566">
        <v>174549.59375</v>
      </c>
      <c r="C566" t="s">
        <v>1056</v>
      </c>
      <c r="D566">
        <v>7.2184548377990723</v>
      </c>
      <c r="E566" t="s">
        <v>160</v>
      </c>
      <c r="F566" t="s">
        <v>1055</v>
      </c>
      <c r="G566" t="s">
        <v>243</v>
      </c>
      <c r="H566" t="s">
        <v>3</v>
      </c>
      <c r="I566">
        <v>1</v>
      </c>
      <c r="J566">
        <v>146332</v>
      </c>
      <c r="K566">
        <v>0</v>
      </c>
      <c r="L566">
        <v>0</v>
      </c>
      <c r="M566">
        <v>146332</v>
      </c>
      <c r="N566" s="4">
        <f t="shared" si="9"/>
        <v>0.19283269380586621</v>
      </c>
      <c r="P566">
        <v>0</v>
      </c>
      <c r="Q566">
        <v>0</v>
      </c>
      <c r="R566">
        <v>1</v>
      </c>
      <c r="V566" t="s">
        <v>243</v>
      </c>
    </row>
    <row r="567" spans="1:22">
      <c r="A567">
        <v>664</v>
      </c>
      <c r="B567">
        <v>166497.0625</v>
      </c>
      <c r="C567" t="s">
        <v>1057</v>
      </c>
      <c r="D567">
        <v>8.2351593971252441</v>
      </c>
      <c r="E567" t="s">
        <v>160</v>
      </c>
      <c r="F567" t="s">
        <v>1055</v>
      </c>
      <c r="G567" t="s">
        <v>243</v>
      </c>
      <c r="H567" t="s">
        <v>4</v>
      </c>
      <c r="I567">
        <v>1</v>
      </c>
      <c r="J567">
        <v>146332</v>
      </c>
      <c r="K567">
        <v>0</v>
      </c>
      <c r="L567">
        <v>146332</v>
      </c>
      <c r="M567">
        <v>0</v>
      </c>
      <c r="N567" s="4">
        <f t="shared" si="9"/>
        <v>0.13780350504332617</v>
      </c>
      <c r="P567">
        <v>0</v>
      </c>
      <c r="Q567">
        <v>1</v>
      </c>
      <c r="R567">
        <v>0</v>
      </c>
      <c r="U567" t="s">
        <v>243</v>
      </c>
    </row>
    <row r="568" spans="1:22">
      <c r="A568">
        <v>665</v>
      </c>
      <c r="B568">
        <v>77175.171875</v>
      </c>
      <c r="C568" t="s">
        <v>1058</v>
      </c>
      <c r="D568">
        <v>6.5493643283843994</v>
      </c>
      <c r="E568" t="s">
        <v>160</v>
      </c>
      <c r="F568" t="s">
        <v>1059</v>
      </c>
      <c r="G568" t="s">
        <v>244</v>
      </c>
      <c r="H568" t="s">
        <v>2</v>
      </c>
      <c r="I568">
        <v>1</v>
      </c>
      <c r="J568">
        <v>68205</v>
      </c>
      <c r="K568">
        <v>68205</v>
      </c>
      <c r="L568">
        <v>0</v>
      </c>
      <c r="M568">
        <v>0</v>
      </c>
      <c r="N568" s="4">
        <f t="shared" si="9"/>
        <v>0.13151780477970831</v>
      </c>
      <c r="P568">
        <v>1</v>
      </c>
      <c r="Q568">
        <v>0</v>
      </c>
      <c r="R568">
        <v>0</v>
      </c>
      <c r="T568" t="s">
        <v>244</v>
      </c>
    </row>
    <row r="569" spans="1:22">
      <c r="A569">
        <v>666</v>
      </c>
      <c r="B569">
        <v>91893.75</v>
      </c>
      <c r="C569" t="s">
        <v>1060</v>
      </c>
      <c r="D569">
        <v>4.8065297603607178</v>
      </c>
      <c r="E569" t="s">
        <v>160</v>
      </c>
      <c r="F569" t="s">
        <v>1059</v>
      </c>
      <c r="G569" t="s">
        <v>244</v>
      </c>
      <c r="H569" t="s">
        <v>3</v>
      </c>
      <c r="I569">
        <v>1</v>
      </c>
      <c r="J569">
        <v>68205</v>
      </c>
      <c r="K569">
        <v>0</v>
      </c>
      <c r="L569">
        <v>0</v>
      </c>
      <c r="M569">
        <v>68205</v>
      </c>
      <c r="N569" s="4">
        <f t="shared" si="9"/>
        <v>0.34731691224983496</v>
      </c>
      <c r="P569">
        <v>0</v>
      </c>
      <c r="Q569">
        <v>0</v>
      </c>
      <c r="R569">
        <v>1</v>
      </c>
      <c r="V569" t="s">
        <v>244</v>
      </c>
    </row>
    <row r="570" spans="1:22">
      <c r="A570">
        <v>667</v>
      </c>
      <c r="B570">
        <v>80525.421875</v>
      </c>
      <c r="C570" t="s">
        <v>1061</v>
      </c>
      <c r="D570">
        <v>4.2850077152252197</v>
      </c>
      <c r="E570" t="s">
        <v>160</v>
      </c>
      <c r="F570" t="s">
        <v>1059</v>
      </c>
      <c r="G570" t="s">
        <v>244</v>
      </c>
      <c r="H570" t="s">
        <v>4</v>
      </c>
      <c r="I570">
        <v>1</v>
      </c>
      <c r="J570">
        <v>68205</v>
      </c>
      <c r="K570">
        <v>0</v>
      </c>
      <c r="L570">
        <v>68205</v>
      </c>
      <c r="M570">
        <v>0</v>
      </c>
      <c r="N570" s="4">
        <f t="shared" si="9"/>
        <v>0.18063810387801471</v>
      </c>
      <c r="P570">
        <v>0</v>
      </c>
      <c r="Q570">
        <v>1</v>
      </c>
      <c r="R570">
        <v>0</v>
      </c>
      <c r="U570" t="s">
        <v>244</v>
      </c>
    </row>
    <row r="571" spans="1:22">
      <c r="A571">
        <v>668</v>
      </c>
      <c r="B571">
        <v>87955.8515625</v>
      </c>
      <c r="C571" t="s">
        <v>1062</v>
      </c>
      <c r="D571">
        <v>4.6699559688568124</v>
      </c>
      <c r="E571" t="s">
        <v>160</v>
      </c>
      <c r="F571" t="s">
        <v>1063</v>
      </c>
      <c r="G571" t="s">
        <v>245</v>
      </c>
      <c r="H571" t="s">
        <v>2</v>
      </c>
      <c r="I571">
        <v>1</v>
      </c>
      <c r="J571">
        <v>81923</v>
      </c>
      <c r="K571">
        <v>81923</v>
      </c>
      <c r="L571">
        <v>0</v>
      </c>
      <c r="M571">
        <v>0</v>
      </c>
      <c r="N571" s="4">
        <f t="shared" si="9"/>
        <v>7.3640510754000799E-2</v>
      </c>
      <c r="P571">
        <v>1</v>
      </c>
      <c r="Q571">
        <v>0</v>
      </c>
      <c r="R571">
        <v>0</v>
      </c>
      <c r="T571" t="s">
        <v>245</v>
      </c>
    </row>
    <row r="572" spans="1:22">
      <c r="A572">
        <v>669</v>
      </c>
      <c r="B572">
        <v>101383.9765625</v>
      </c>
      <c r="C572" t="s">
        <v>1064</v>
      </c>
      <c r="D572">
        <v>5.8252782821655273</v>
      </c>
      <c r="E572" t="s">
        <v>160</v>
      </c>
      <c r="F572" t="s">
        <v>1063</v>
      </c>
      <c r="G572" t="s">
        <v>245</v>
      </c>
      <c r="H572" t="s">
        <v>3</v>
      </c>
      <c r="I572">
        <v>1</v>
      </c>
      <c r="J572">
        <v>81923</v>
      </c>
      <c r="K572">
        <v>0</v>
      </c>
      <c r="L572">
        <v>0</v>
      </c>
      <c r="M572">
        <v>81923</v>
      </c>
      <c r="N572" s="4">
        <f t="shared" si="9"/>
        <v>0.23755204963807475</v>
      </c>
      <c r="P572">
        <v>0</v>
      </c>
      <c r="Q572">
        <v>0</v>
      </c>
      <c r="R572">
        <v>1</v>
      </c>
      <c r="V572" t="s">
        <v>245</v>
      </c>
    </row>
    <row r="573" spans="1:22">
      <c r="A573">
        <v>670</v>
      </c>
      <c r="B573">
        <v>92721.015625</v>
      </c>
      <c r="C573" t="s">
        <v>1065</v>
      </c>
      <c r="D573">
        <v>4.2293722629547119</v>
      </c>
      <c r="E573" t="s">
        <v>160</v>
      </c>
      <c r="F573" t="s">
        <v>1063</v>
      </c>
      <c r="G573" t="s">
        <v>245</v>
      </c>
      <c r="H573" t="s">
        <v>4</v>
      </c>
      <c r="I573">
        <v>1</v>
      </c>
      <c r="J573">
        <v>81923</v>
      </c>
      <c r="K573">
        <v>0</v>
      </c>
      <c r="L573">
        <v>81923</v>
      </c>
      <c r="M573">
        <v>0</v>
      </c>
      <c r="N573" s="4">
        <f t="shared" si="9"/>
        <v>0.13180688725998801</v>
      </c>
      <c r="P573">
        <v>0</v>
      </c>
      <c r="Q573">
        <v>1</v>
      </c>
      <c r="R573">
        <v>0</v>
      </c>
      <c r="U573" t="s">
        <v>245</v>
      </c>
    </row>
    <row r="574" spans="1:22">
      <c r="A574">
        <v>671</v>
      </c>
      <c r="B574">
        <v>51040.10546875</v>
      </c>
      <c r="C574" t="s">
        <v>1066</v>
      </c>
      <c r="D574">
        <v>5.4424245357513428</v>
      </c>
      <c r="E574" t="s">
        <v>160</v>
      </c>
      <c r="F574" t="s">
        <v>1067</v>
      </c>
      <c r="G574" t="s">
        <v>246</v>
      </c>
      <c r="H574" t="s">
        <v>2</v>
      </c>
      <c r="I574">
        <v>1</v>
      </c>
      <c r="J574">
        <v>43373</v>
      </c>
      <c r="K574">
        <v>43373</v>
      </c>
      <c r="L574">
        <v>0</v>
      </c>
      <c r="M574">
        <v>0</v>
      </c>
      <c r="N574" s="4">
        <f t="shared" si="9"/>
        <v>0.17677138931478109</v>
      </c>
      <c r="P574">
        <v>1</v>
      </c>
      <c r="Q574">
        <v>0</v>
      </c>
      <c r="R574">
        <v>0</v>
      </c>
      <c r="T574" t="s">
        <v>246</v>
      </c>
    </row>
    <row r="575" spans="1:22">
      <c r="A575">
        <v>672</v>
      </c>
      <c r="B575">
        <v>64478.703125</v>
      </c>
      <c r="C575" t="s">
        <v>1068</v>
      </c>
      <c r="D575">
        <v>6.3651740550994873</v>
      </c>
      <c r="E575" t="s">
        <v>160</v>
      </c>
      <c r="F575" t="s">
        <v>1067</v>
      </c>
      <c r="G575" t="s">
        <v>246</v>
      </c>
      <c r="H575" t="s">
        <v>3</v>
      </c>
      <c r="I575">
        <v>1</v>
      </c>
      <c r="J575">
        <v>43373</v>
      </c>
      <c r="K575">
        <v>0</v>
      </c>
      <c r="L575">
        <v>0</v>
      </c>
      <c r="M575">
        <v>43373</v>
      </c>
      <c r="N575" s="4">
        <f t="shared" si="9"/>
        <v>0.48660925287621337</v>
      </c>
      <c r="P575">
        <v>0</v>
      </c>
      <c r="Q575">
        <v>0</v>
      </c>
      <c r="R575">
        <v>1</v>
      </c>
      <c r="V575" t="s">
        <v>246</v>
      </c>
    </row>
    <row r="576" spans="1:22">
      <c r="A576">
        <v>673</v>
      </c>
      <c r="B576">
        <v>52413.375</v>
      </c>
      <c r="C576" t="s">
        <v>1069</v>
      </c>
      <c r="D576">
        <v>4.3605067729949951</v>
      </c>
      <c r="E576" t="s">
        <v>160</v>
      </c>
      <c r="F576" t="s">
        <v>1067</v>
      </c>
      <c r="G576" t="s">
        <v>246</v>
      </c>
      <c r="H576" t="s">
        <v>4</v>
      </c>
      <c r="I576">
        <v>1</v>
      </c>
      <c r="J576">
        <v>43373</v>
      </c>
      <c r="K576">
        <v>0</v>
      </c>
      <c r="L576">
        <v>43373</v>
      </c>
      <c r="M576">
        <v>0</v>
      </c>
      <c r="N576" s="4">
        <f t="shared" si="9"/>
        <v>0.20843324187858814</v>
      </c>
      <c r="P576">
        <v>0</v>
      </c>
      <c r="Q576">
        <v>1</v>
      </c>
      <c r="R576">
        <v>0</v>
      </c>
      <c r="U576" t="s">
        <v>246</v>
      </c>
    </row>
    <row r="577" spans="1:22">
      <c r="A577">
        <v>674</v>
      </c>
      <c r="B577">
        <v>152807.328125</v>
      </c>
      <c r="C577" t="s">
        <v>1070</v>
      </c>
      <c r="D577">
        <v>10.535243988037109</v>
      </c>
      <c r="E577" t="s">
        <v>160</v>
      </c>
      <c r="F577" t="s">
        <v>1071</v>
      </c>
      <c r="G577" t="s">
        <v>247</v>
      </c>
      <c r="H577" t="s">
        <v>2</v>
      </c>
      <c r="I577">
        <v>1</v>
      </c>
      <c r="J577">
        <v>136187</v>
      </c>
      <c r="K577">
        <v>136187</v>
      </c>
      <c r="L577">
        <v>0</v>
      </c>
      <c r="M577">
        <v>0</v>
      </c>
      <c r="N577" s="4">
        <f t="shared" si="9"/>
        <v>0.12204048936388934</v>
      </c>
      <c r="P577">
        <v>1</v>
      </c>
      <c r="Q577">
        <v>0</v>
      </c>
      <c r="R577">
        <v>0</v>
      </c>
      <c r="T577" t="s">
        <v>247</v>
      </c>
    </row>
    <row r="578" spans="1:22">
      <c r="A578">
        <v>675</v>
      </c>
      <c r="B578">
        <v>166332.828125</v>
      </c>
      <c r="C578" t="s">
        <v>1072</v>
      </c>
      <c r="D578">
        <v>6.2758150100708008</v>
      </c>
      <c r="E578" t="s">
        <v>160</v>
      </c>
      <c r="F578" t="s">
        <v>1071</v>
      </c>
      <c r="G578" t="s">
        <v>247</v>
      </c>
      <c r="H578" t="s">
        <v>3</v>
      </c>
      <c r="I578">
        <v>1</v>
      </c>
      <c r="J578">
        <v>136187</v>
      </c>
      <c r="K578">
        <v>0</v>
      </c>
      <c r="L578">
        <v>0</v>
      </c>
      <c r="M578">
        <v>136187</v>
      </c>
      <c r="N578" s="4">
        <f t="shared" si="9"/>
        <v>0.22135613623179884</v>
      </c>
      <c r="P578">
        <v>0</v>
      </c>
      <c r="Q578">
        <v>0</v>
      </c>
      <c r="R578">
        <v>1</v>
      </c>
      <c r="V578" t="s">
        <v>247</v>
      </c>
    </row>
    <row r="579" spans="1:22">
      <c r="A579">
        <v>676</v>
      </c>
      <c r="B579">
        <v>155282.34375</v>
      </c>
      <c r="C579" t="s">
        <v>1073</v>
      </c>
      <c r="D579">
        <v>6.3029379844665527</v>
      </c>
      <c r="E579" t="s">
        <v>160</v>
      </c>
      <c r="F579" t="s">
        <v>1071</v>
      </c>
      <c r="G579" t="s">
        <v>247</v>
      </c>
      <c r="H579" t="s">
        <v>4</v>
      </c>
      <c r="I579">
        <v>1</v>
      </c>
      <c r="J579">
        <v>136187</v>
      </c>
      <c r="K579">
        <v>0</v>
      </c>
      <c r="L579">
        <v>136187</v>
      </c>
      <c r="M579">
        <v>0</v>
      </c>
      <c r="N579" s="4">
        <f t="shared" si="9"/>
        <v>0.14021414488901285</v>
      </c>
      <c r="P579">
        <v>0</v>
      </c>
      <c r="Q579">
        <v>1</v>
      </c>
      <c r="R579">
        <v>0</v>
      </c>
      <c r="U579" t="s">
        <v>247</v>
      </c>
    </row>
    <row r="580" spans="1:22">
      <c r="A580">
        <v>677</v>
      </c>
      <c r="B580">
        <v>89364.078125</v>
      </c>
      <c r="C580" t="s">
        <v>1074</v>
      </c>
      <c r="D580">
        <v>7.0556538105010986</v>
      </c>
      <c r="E580" t="s">
        <v>160</v>
      </c>
      <c r="F580" t="s">
        <v>1075</v>
      </c>
      <c r="G580" t="s">
        <v>248</v>
      </c>
      <c r="H580" t="s">
        <v>2</v>
      </c>
      <c r="I580">
        <v>1</v>
      </c>
      <c r="J580">
        <v>77269</v>
      </c>
      <c r="K580">
        <v>77269</v>
      </c>
      <c r="L580">
        <v>0</v>
      </c>
      <c r="M580">
        <v>0</v>
      </c>
      <c r="N580" s="4">
        <f t="shared" si="9"/>
        <v>0.15653209081261577</v>
      </c>
      <c r="P580">
        <v>1</v>
      </c>
      <c r="Q580">
        <v>0</v>
      </c>
      <c r="R580">
        <v>0</v>
      </c>
      <c r="T580" t="s">
        <v>248</v>
      </c>
    </row>
    <row r="581" spans="1:22">
      <c r="A581">
        <v>678</v>
      </c>
      <c r="B581">
        <v>110831.7734375</v>
      </c>
      <c r="C581" t="s">
        <v>1076</v>
      </c>
      <c r="D581">
        <v>5.6654336452484131</v>
      </c>
      <c r="E581" t="s">
        <v>160</v>
      </c>
      <c r="F581" t="s">
        <v>1075</v>
      </c>
      <c r="G581" t="s">
        <v>248</v>
      </c>
      <c r="H581" t="s">
        <v>3</v>
      </c>
      <c r="I581">
        <v>1</v>
      </c>
      <c r="J581">
        <v>77269</v>
      </c>
      <c r="K581">
        <v>0</v>
      </c>
      <c r="L581">
        <v>0</v>
      </c>
      <c r="M581">
        <v>77269</v>
      </c>
      <c r="N581" s="4">
        <f t="shared" si="9"/>
        <v>0.43436272551087751</v>
      </c>
      <c r="P581">
        <v>0</v>
      </c>
      <c r="Q581">
        <v>0</v>
      </c>
      <c r="R581">
        <v>1</v>
      </c>
      <c r="V581" t="s">
        <v>248</v>
      </c>
    </row>
    <row r="582" spans="1:22">
      <c r="A582">
        <v>679</v>
      </c>
      <c r="B582">
        <v>92147.734375</v>
      </c>
      <c r="C582" t="s">
        <v>1077</v>
      </c>
      <c r="D582">
        <v>4.7581663131713867</v>
      </c>
      <c r="E582" t="s">
        <v>160</v>
      </c>
      <c r="F582" t="s">
        <v>1075</v>
      </c>
      <c r="G582" t="s">
        <v>248</v>
      </c>
      <c r="H582" t="s">
        <v>4</v>
      </c>
      <c r="I582">
        <v>1</v>
      </c>
      <c r="J582">
        <v>77269</v>
      </c>
      <c r="K582">
        <v>0</v>
      </c>
      <c r="L582">
        <v>77269</v>
      </c>
      <c r="M582">
        <v>0</v>
      </c>
      <c r="N582" s="4">
        <f t="shared" si="9"/>
        <v>0.19255761527908999</v>
      </c>
      <c r="P582">
        <v>0</v>
      </c>
      <c r="Q582">
        <v>1</v>
      </c>
      <c r="R582">
        <v>0</v>
      </c>
      <c r="U582" t="s">
        <v>248</v>
      </c>
    </row>
    <row r="583" spans="1:22">
      <c r="A583">
        <v>680</v>
      </c>
      <c r="B583">
        <v>128891.96875</v>
      </c>
      <c r="C583" t="s">
        <v>1078</v>
      </c>
      <c r="D583">
        <v>9.8971655368804932</v>
      </c>
      <c r="E583" t="s">
        <v>160</v>
      </c>
      <c r="F583" t="s">
        <v>1079</v>
      </c>
      <c r="G583" t="s">
        <v>249</v>
      </c>
      <c r="H583" t="s">
        <v>2</v>
      </c>
      <c r="I583">
        <v>1</v>
      </c>
      <c r="J583">
        <v>114417</v>
      </c>
      <c r="K583">
        <v>114417</v>
      </c>
      <c r="L583">
        <v>0</v>
      </c>
      <c r="M583">
        <v>0</v>
      </c>
      <c r="N583" s="4">
        <f t="shared" si="9"/>
        <v>0.12651064745623475</v>
      </c>
      <c r="P583">
        <v>1</v>
      </c>
      <c r="Q583">
        <v>0</v>
      </c>
      <c r="R583">
        <v>0</v>
      </c>
      <c r="T583" t="s">
        <v>249</v>
      </c>
    </row>
    <row r="584" spans="1:22">
      <c r="A584">
        <v>681</v>
      </c>
      <c r="B584">
        <v>138442.625</v>
      </c>
      <c r="C584" t="s">
        <v>1080</v>
      </c>
      <c r="D584">
        <v>6.6166858673095703</v>
      </c>
      <c r="E584" t="s">
        <v>160</v>
      </c>
      <c r="F584" t="s">
        <v>1079</v>
      </c>
      <c r="G584" t="s">
        <v>249</v>
      </c>
      <c r="H584" t="s">
        <v>3</v>
      </c>
      <c r="I584">
        <v>1</v>
      </c>
      <c r="J584">
        <v>114417</v>
      </c>
      <c r="K584">
        <v>0</v>
      </c>
      <c r="L584">
        <v>0</v>
      </c>
      <c r="M584">
        <v>114417</v>
      </c>
      <c r="N584" s="4">
        <f t="shared" si="9"/>
        <v>0.20998300077785648</v>
      </c>
      <c r="P584">
        <v>0</v>
      </c>
      <c r="Q584">
        <v>0</v>
      </c>
      <c r="R584">
        <v>1</v>
      </c>
      <c r="V584" t="s">
        <v>249</v>
      </c>
    </row>
    <row r="585" spans="1:22">
      <c r="A585">
        <v>682</v>
      </c>
      <c r="B585">
        <v>130126.0546875</v>
      </c>
      <c r="C585" t="s">
        <v>1081</v>
      </c>
      <c r="D585">
        <v>7.397197961807251</v>
      </c>
      <c r="E585" t="s">
        <v>160</v>
      </c>
      <c r="F585" t="s">
        <v>1079</v>
      </c>
      <c r="G585" t="s">
        <v>249</v>
      </c>
      <c r="H585" t="s">
        <v>4</v>
      </c>
      <c r="I585">
        <v>1</v>
      </c>
      <c r="J585">
        <v>114417</v>
      </c>
      <c r="K585">
        <v>0</v>
      </c>
      <c r="L585">
        <v>114417</v>
      </c>
      <c r="M585">
        <v>0</v>
      </c>
      <c r="N585" s="4">
        <f t="shared" si="9"/>
        <v>0.1372965091507381</v>
      </c>
      <c r="P585">
        <v>0</v>
      </c>
      <c r="Q585">
        <v>1</v>
      </c>
      <c r="R585">
        <v>0</v>
      </c>
      <c r="U585" t="s">
        <v>249</v>
      </c>
    </row>
    <row r="586" spans="1:22">
      <c r="A586">
        <v>683</v>
      </c>
      <c r="B586">
        <v>81297.921875</v>
      </c>
      <c r="C586" t="s">
        <v>1082</v>
      </c>
      <c r="D586">
        <v>7.9261257648468018</v>
      </c>
      <c r="E586" t="s">
        <v>160</v>
      </c>
      <c r="F586" t="s">
        <v>1083</v>
      </c>
      <c r="G586" t="s">
        <v>250</v>
      </c>
      <c r="H586" t="s">
        <v>2</v>
      </c>
      <c r="I586">
        <v>1</v>
      </c>
      <c r="J586">
        <v>72386</v>
      </c>
      <c r="K586">
        <v>72386</v>
      </c>
      <c r="L586">
        <v>0</v>
      </c>
      <c r="M586">
        <v>0</v>
      </c>
      <c r="N586" s="4">
        <f t="shared" si="9"/>
        <v>0.12311665066449318</v>
      </c>
      <c r="P586">
        <v>1</v>
      </c>
      <c r="Q586">
        <v>0</v>
      </c>
      <c r="R586">
        <v>0</v>
      </c>
      <c r="T586" t="s">
        <v>250</v>
      </c>
    </row>
    <row r="587" spans="1:22">
      <c r="A587">
        <v>684</v>
      </c>
      <c r="B587">
        <v>95664.21875</v>
      </c>
      <c r="C587" t="s">
        <v>1084</v>
      </c>
      <c r="D587">
        <v>4.7636833190917969</v>
      </c>
      <c r="E587" t="s">
        <v>160</v>
      </c>
      <c r="F587" t="s">
        <v>1083</v>
      </c>
      <c r="G587" t="s">
        <v>250</v>
      </c>
      <c r="H587" t="s">
        <v>3</v>
      </c>
      <c r="I587">
        <v>1</v>
      </c>
      <c r="J587">
        <v>72386</v>
      </c>
      <c r="K587">
        <v>0</v>
      </c>
      <c r="L587">
        <v>0</v>
      </c>
      <c r="M587">
        <v>72386</v>
      </c>
      <c r="N587" s="4">
        <f t="shared" si="9"/>
        <v>0.32158454328185004</v>
      </c>
      <c r="P587">
        <v>0</v>
      </c>
      <c r="Q587">
        <v>0</v>
      </c>
      <c r="R587">
        <v>1</v>
      </c>
      <c r="V587" t="s">
        <v>250</v>
      </c>
    </row>
    <row r="588" spans="1:22">
      <c r="A588">
        <v>685</v>
      </c>
      <c r="B588">
        <v>84881.34375</v>
      </c>
      <c r="C588" t="s">
        <v>1085</v>
      </c>
      <c r="D588">
        <v>4.9241642951965332</v>
      </c>
      <c r="E588" t="s">
        <v>160</v>
      </c>
      <c r="F588" t="s">
        <v>1083</v>
      </c>
      <c r="G588" t="s">
        <v>250</v>
      </c>
      <c r="H588" t="s">
        <v>4</v>
      </c>
      <c r="I588">
        <v>1</v>
      </c>
      <c r="J588">
        <v>72386</v>
      </c>
      <c r="K588">
        <v>0</v>
      </c>
      <c r="L588">
        <v>72386</v>
      </c>
      <c r="M588">
        <v>0</v>
      </c>
      <c r="N588" s="4">
        <f t="shared" si="9"/>
        <v>0.17262100060785235</v>
      </c>
      <c r="P588">
        <v>0</v>
      </c>
      <c r="Q588">
        <v>1</v>
      </c>
      <c r="R588">
        <v>0</v>
      </c>
      <c r="U588" t="s">
        <v>250</v>
      </c>
    </row>
    <row r="589" spans="1:22">
      <c r="A589">
        <v>686</v>
      </c>
      <c r="B589">
        <v>85022.828125</v>
      </c>
      <c r="C589" t="s">
        <v>1086</v>
      </c>
      <c r="D589">
        <v>4.862715482711792</v>
      </c>
      <c r="E589" t="s">
        <v>160</v>
      </c>
      <c r="F589" t="s">
        <v>1087</v>
      </c>
      <c r="G589" t="s">
        <v>251</v>
      </c>
      <c r="H589" t="s">
        <v>2</v>
      </c>
      <c r="I589">
        <v>1</v>
      </c>
      <c r="J589">
        <v>73311</v>
      </c>
      <c r="K589">
        <v>73311</v>
      </c>
      <c r="L589">
        <v>0</v>
      </c>
      <c r="M589">
        <v>0</v>
      </c>
      <c r="N589" s="4">
        <f t="shared" si="9"/>
        <v>0.15975539993998167</v>
      </c>
      <c r="P589">
        <v>1</v>
      </c>
      <c r="Q589">
        <v>0</v>
      </c>
      <c r="R589">
        <v>0</v>
      </c>
      <c r="T589" t="s">
        <v>251</v>
      </c>
    </row>
    <row r="590" spans="1:22">
      <c r="A590">
        <v>687</v>
      </c>
      <c r="B590">
        <v>94772.015625</v>
      </c>
      <c r="C590" t="s">
        <v>1088</v>
      </c>
      <c r="D590">
        <v>4.0989890098571777</v>
      </c>
      <c r="E590" t="s">
        <v>160</v>
      </c>
      <c r="F590" t="s">
        <v>1087</v>
      </c>
      <c r="G590" t="s">
        <v>251</v>
      </c>
      <c r="H590" t="s">
        <v>3</v>
      </c>
      <c r="I590">
        <v>1</v>
      </c>
      <c r="J590">
        <v>73311</v>
      </c>
      <c r="K590">
        <v>0</v>
      </c>
      <c r="L590">
        <v>0</v>
      </c>
      <c r="M590">
        <v>73311</v>
      </c>
      <c r="N590" s="4">
        <f t="shared" si="9"/>
        <v>0.29273936551131485</v>
      </c>
      <c r="P590">
        <v>0</v>
      </c>
      <c r="Q590">
        <v>0</v>
      </c>
      <c r="R590">
        <v>1</v>
      </c>
      <c r="V590" t="s">
        <v>251</v>
      </c>
    </row>
    <row r="591" spans="1:22">
      <c r="A591">
        <v>688</v>
      </c>
      <c r="B591">
        <v>88187.5390625</v>
      </c>
      <c r="C591" t="s">
        <v>1089</v>
      </c>
      <c r="D591">
        <v>4.7897729873657227</v>
      </c>
      <c r="E591" t="s">
        <v>160</v>
      </c>
      <c r="F591" t="s">
        <v>1087</v>
      </c>
      <c r="G591" t="s">
        <v>251</v>
      </c>
      <c r="H591" t="s">
        <v>4</v>
      </c>
      <c r="I591">
        <v>1</v>
      </c>
      <c r="J591">
        <v>73311</v>
      </c>
      <c r="K591">
        <v>0</v>
      </c>
      <c r="L591">
        <v>73311</v>
      </c>
      <c r="M591">
        <v>0</v>
      </c>
      <c r="N591" s="4">
        <f t="shared" si="9"/>
        <v>0.20292369579599234</v>
      </c>
      <c r="P591">
        <v>0</v>
      </c>
      <c r="Q591">
        <v>1</v>
      </c>
      <c r="R591">
        <v>0</v>
      </c>
      <c r="U591" t="s">
        <v>251</v>
      </c>
    </row>
    <row r="592" spans="1:22">
      <c r="A592">
        <v>689</v>
      </c>
      <c r="B592">
        <v>183390.6875</v>
      </c>
      <c r="C592" t="s">
        <v>1090</v>
      </c>
      <c r="D592">
        <v>12.31290030479431</v>
      </c>
      <c r="E592" t="s">
        <v>160</v>
      </c>
      <c r="F592" t="s">
        <v>1091</v>
      </c>
      <c r="G592" t="s">
        <v>252</v>
      </c>
      <c r="H592" t="s">
        <v>2</v>
      </c>
      <c r="I592">
        <v>1</v>
      </c>
      <c r="J592">
        <v>158121</v>
      </c>
      <c r="K592">
        <v>158121</v>
      </c>
      <c r="L592">
        <v>0</v>
      </c>
      <c r="M592">
        <v>0</v>
      </c>
      <c r="N592" s="4">
        <f t="shared" si="9"/>
        <v>0.15981234307903436</v>
      </c>
      <c r="P592">
        <v>1</v>
      </c>
      <c r="Q592">
        <v>0</v>
      </c>
      <c r="R592">
        <v>0</v>
      </c>
      <c r="T592" t="s">
        <v>252</v>
      </c>
    </row>
    <row r="593" spans="1:22">
      <c r="A593">
        <v>690</v>
      </c>
      <c r="B593">
        <v>192433.96875</v>
      </c>
      <c r="C593" t="s">
        <v>1092</v>
      </c>
      <c r="D593">
        <v>6.3142843246459961</v>
      </c>
      <c r="E593" t="s">
        <v>160</v>
      </c>
      <c r="F593" t="s">
        <v>1091</v>
      </c>
      <c r="G593" t="s">
        <v>252</v>
      </c>
      <c r="H593" t="s">
        <v>3</v>
      </c>
      <c r="I593">
        <v>1</v>
      </c>
      <c r="J593">
        <v>158121</v>
      </c>
      <c r="K593">
        <v>0</v>
      </c>
      <c r="L593">
        <v>0</v>
      </c>
      <c r="M593">
        <v>158121</v>
      </c>
      <c r="N593" s="4">
        <f t="shared" si="9"/>
        <v>0.21700450129963755</v>
      </c>
      <c r="P593">
        <v>0</v>
      </c>
      <c r="Q593">
        <v>0</v>
      </c>
      <c r="R593">
        <v>1</v>
      </c>
      <c r="V593" t="s">
        <v>252</v>
      </c>
    </row>
    <row r="594" spans="1:22">
      <c r="A594">
        <v>691</v>
      </c>
      <c r="B594">
        <v>190827.78125</v>
      </c>
      <c r="C594" t="s">
        <v>1093</v>
      </c>
      <c r="D594">
        <v>7.9372501373291016</v>
      </c>
      <c r="E594" t="s">
        <v>160</v>
      </c>
      <c r="F594" t="s">
        <v>1091</v>
      </c>
      <c r="G594" t="s">
        <v>252</v>
      </c>
      <c r="H594" t="s">
        <v>4</v>
      </c>
      <c r="I594">
        <v>1</v>
      </c>
      <c r="J594">
        <v>158121</v>
      </c>
      <c r="K594">
        <v>0</v>
      </c>
      <c r="L594">
        <v>158121</v>
      </c>
      <c r="M594">
        <v>0</v>
      </c>
      <c r="N594" s="4">
        <f t="shared" si="9"/>
        <v>0.20684653682939014</v>
      </c>
      <c r="P594">
        <v>0</v>
      </c>
      <c r="Q594">
        <v>1</v>
      </c>
      <c r="R594">
        <v>0</v>
      </c>
      <c r="U594" t="s">
        <v>252</v>
      </c>
    </row>
    <row r="595" spans="1:22">
      <c r="A595">
        <v>692</v>
      </c>
      <c r="B595">
        <v>215459.140625</v>
      </c>
      <c r="C595" t="s">
        <v>1094</v>
      </c>
      <c r="D595">
        <v>11.70023822784424</v>
      </c>
      <c r="E595" t="s">
        <v>160</v>
      </c>
      <c r="F595" t="s">
        <v>1095</v>
      </c>
      <c r="G595" t="s">
        <v>253</v>
      </c>
      <c r="H595" t="s">
        <v>2</v>
      </c>
      <c r="I595">
        <v>1</v>
      </c>
      <c r="J595">
        <v>193737</v>
      </c>
      <c r="K595">
        <v>193737</v>
      </c>
      <c r="L595">
        <v>0</v>
      </c>
      <c r="M595">
        <v>0</v>
      </c>
      <c r="N595" s="4">
        <f t="shared" si="9"/>
        <v>0.1121217972044577</v>
      </c>
      <c r="P595">
        <v>1</v>
      </c>
      <c r="Q595">
        <v>0</v>
      </c>
      <c r="R595">
        <v>0</v>
      </c>
      <c r="T595" t="s">
        <v>253</v>
      </c>
    </row>
    <row r="596" spans="1:22">
      <c r="A596">
        <v>693</v>
      </c>
      <c r="B596">
        <v>235447.25</v>
      </c>
      <c r="C596" t="s">
        <v>1096</v>
      </c>
      <c r="D596">
        <v>6.6157922744750977</v>
      </c>
      <c r="E596" t="s">
        <v>160</v>
      </c>
      <c r="F596" t="s">
        <v>1095</v>
      </c>
      <c r="G596" t="s">
        <v>253</v>
      </c>
      <c r="H596" t="s">
        <v>3</v>
      </c>
      <c r="I596">
        <v>1</v>
      </c>
      <c r="J596">
        <v>193737</v>
      </c>
      <c r="K596">
        <v>0</v>
      </c>
      <c r="L596">
        <v>0</v>
      </c>
      <c r="M596">
        <v>193737</v>
      </c>
      <c r="N596" s="4">
        <f t="shared" si="9"/>
        <v>0.21529315515363612</v>
      </c>
      <c r="P596">
        <v>0</v>
      </c>
      <c r="Q596">
        <v>0</v>
      </c>
      <c r="R596">
        <v>1</v>
      </c>
      <c r="V596" t="s">
        <v>253</v>
      </c>
    </row>
    <row r="597" spans="1:22">
      <c r="A597">
        <v>694</v>
      </c>
      <c r="B597">
        <v>224332.125</v>
      </c>
      <c r="C597" t="s">
        <v>1097</v>
      </c>
      <c r="D597">
        <v>7.3984439373016357</v>
      </c>
      <c r="E597" t="s">
        <v>160</v>
      </c>
      <c r="F597" t="s">
        <v>1095</v>
      </c>
      <c r="G597" t="s">
        <v>253</v>
      </c>
      <c r="H597" t="s">
        <v>4</v>
      </c>
      <c r="I597">
        <v>1</v>
      </c>
      <c r="J597">
        <v>193737</v>
      </c>
      <c r="K597">
        <v>0</v>
      </c>
      <c r="L597">
        <v>193737</v>
      </c>
      <c r="M597">
        <v>0</v>
      </c>
      <c r="N597" s="4">
        <f t="shared" si="9"/>
        <v>0.15792091856485846</v>
      </c>
      <c r="P597">
        <v>0</v>
      </c>
      <c r="Q597">
        <v>1</v>
      </c>
      <c r="R597">
        <v>0</v>
      </c>
      <c r="U597" t="s">
        <v>253</v>
      </c>
    </row>
    <row r="598" spans="1:22">
      <c r="A598">
        <v>695</v>
      </c>
      <c r="B598">
        <v>100889.0078125</v>
      </c>
      <c r="C598" t="s">
        <v>1098</v>
      </c>
      <c r="D598">
        <v>7.4975242614746094</v>
      </c>
      <c r="E598" t="s">
        <v>160</v>
      </c>
      <c r="F598" t="s">
        <v>1099</v>
      </c>
      <c r="G598" t="s">
        <v>254</v>
      </c>
      <c r="H598" t="s">
        <v>2</v>
      </c>
      <c r="I598">
        <v>1</v>
      </c>
      <c r="J598">
        <v>88965</v>
      </c>
      <c r="K598">
        <v>88965</v>
      </c>
      <c r="L598">
        <v>0</v>
      </c>
      <c r="M598">
        <v>0</v>
      </c>
      <c r="N598" s="4">
        <f t="shared" si="9"/>
        <v>0.1340303244253358</v>
      </c>
      <c r="P598">
        <v>1</v>
      </c>
      <c r="Q598">
        <v>0</v>
      </c>
      <c r="R598">
        <v>0</v>
      </c>
      <c r="T598" t="s">
        <v>254</v>
      </c>
    </row>
    <row r="599" spans="1:22">
      <c r="A599">
        <v>696</v>
      </c>
      <c r="B599">
        <v>124747.3671875</v>
      </c>
      <c r="C599" t="s">
        <v>1100</v>
      </c>
      <c r="D599">
        <v>6.0106086730957031</v>
      </c>
      <c r="E599" t="s">
        <v>160</v>
      </c>
      <c r="F599" t="s">
        <v>1099</v>
      </c>
      <c r="G599" t="s">
        <v>254</v>
      </c>
      <c r="H599" t="s">
        <v>3</v>
      </c>
      <c r="I599">
        <v>1</v>
      </c>
      <c r="J599">
        <v>88965</v>
      </c>
      <c r="K599">
        <v>0</v>
      </c>
      <c r="L599">
        <v>0</v>
      </c>
      <c r="M599">
        <v>88965</v>
      </c>
      <c r="N599" s="4">
        <f t="shared" si="9"/>
        <v>0.40220724090934645</v>
      </c>
      <c r="P599">
        <v>0</v>
      </c>
      <c r="Q599">
        <v>0</v>
      </c>
      <c r="R599">
        <v>1</v>
      </c>
      <c r="V599" t="s">
        <v>254</v>
      </c>
    </row>
    <row r="600" spans="1:22">
      <c r="A600">
        <v>697</v>
      </c>
      <c r="B600">
        <v>105173.78125</v>
      </c>
      <c r="C600" t="s">
        <v>1101</v>
      </c>
      <c r="D600">
        <v>5.8649353981018066</v>
      </c>
      <c r="E600" t="s">
        <v>160</v>
      </c>
      <c r="F600" t="s">
        <v>1099</v>
      </c>
      <c r="G600" t="s">
        <v>254</v>
      </c>
      <c r="H600" t="s">
        <v>4</v>
      </c>
      <c r="I600">
        <v>1</v>
      </c>
      <c r="J600">
        <v>88965</v>
      </c>
      <c r="K600">
        <v>0</v>
      </c>
      <c r="L600">
        <v>88965</v>
      </c>
      <c r="M600">
        <v>0</v>
      </c>
      <c r="N600" s="4">
        <f t="shared" si="9"/>
        <v>0.18219278648906867</v>
      </c>
      <c r="P600">
        <v>0</v>
      </c>
      <c r="Q600">
        <v>1</v>
      </c>
      <c r="R600">
        <v>0</v>
      </c>
      <c r="U600" t="s">
        <v>254</v>
      </c>
    </row>
    <row r="601" spans="1:22">
      <c r="A601">
        <v>698</v>
      </c>
      <c r="B601">
        <v>109252.421875</v>
      </c>
      <c r="C601" t="s">
        <v>1102</v>
      </c>
      <c r="D601">
        <v>6.1692237854003906</v>
      </c>
      <c r="E601" t="s">
        <v>160</v>
      </c>
      <c r="F601" t="s">
        <v>1103</v>
      </c>
      <c r="G601" t="s">
        <v>255</v>
      </c>
      <c r="H601" t="s">
        <v>2</v>
      </c>
      <c r="I601">
        <v>1</v>
      </c>
      <c r="J601">
        <v>99299</v>
      </c>
      <c r="K601">
        <v>99299</v>
      </c>
      <c r="L601">
        <v>0</v>
      </c>
      <c r="M601">
        <v>0</v>
      </c>
      <c r="N601" s="4">
        <f t="shared" si="9"/>
        <v>0.10023687927370872</v>
      </c>
      <c r="P601">
        <v>1</v>
      </c>
      <c r="Q601">
        <v>0</v>
      </c>
      <c r="R601">
        <v>0</v>
      </c>
      <c r="T601" t="s">
        <v>255</v>
      </c>
    </row>
    <row r="602" spans="1:22">
      <c r="A602">
        <v>699</v>
      </c>
      <c r="B602">
        <v>124438.34375</v>
      </c>
      <c r="C602" t="s">
        <v>1104</v>
      </c>
      <c r="D602">
        <v>4.6888704299926758</v>
      </c>
      <c r="E602" t="s">
        <v>160</v>
      </c>
      <c r="F602" t="s">
        <v>1103</v>
      </c>
      <c r="G602" t="s">
        <v>255</v>
      </c>
      <c r="H602" t="s">
        <v>3</v>
      </c>
      <c r="I602">
        <v>1</v>
      </c>
      <c r="J602">
        <v>99299</v>
      </c>
      <c r="K602">
        <v>0</v>
      </c>
      <c r="L602">
        <v>0</v>
      </c>
      <c r="M602">
        <v>99299</v>
      </c>
      <c r="N602" s="4">
        <f t="shared" si="9"/>
        <v>0.25316814620489625</v>
      </c>
      <c r="P602">
        <v>0</v>
      </c>
      <c r="Q602">
        <v>0</v>
      </c>
      <c r="R602">
        <v>1</v>
      </c>
      <c r="V602" t="s">
        <v>255</v>
      </c>
    </row>
    <row r="603" spans="1:22">
      <c r="A603">
        <v>700</v>
      </c>
      <c r="B603">
        <v>118757.421875</v>
      </c>
      <c r="C603" t="s">
        <v>1105</v>
      </c>
      <c r="D603">
        <v>5.9172179698944092</v>
      </c>
      <c r="E603" t="s">
        <v>160</v>
      </c>
      <c r="F603" t="s">
        <v>1103</v>
      </c>
      <c r="G603" t="s">
        <v>255</v>
      </c>
      <c r="H603" t="s">
        <v>4</v>
      </c>
      <c r="I603">
        <v>1</v>
      </c>
      <c r="J603">
        <v>99299</v>
      </c>
      <c r="K603">
        <v>0</v>
      </c>
      <c r="L603">
        <v>99299</v>
      </c>
      <c r="M603">
        <v>0</v>
      </c>
      <c r="N603" s="4">
        <f t="shared" si="9"/>
        <v>0.19595788351342924</v>
      </c>
      <c r="P603">
        <v>0</v>
      </c>
      <c r="Q603">
        <v>1</v>
      </c>
      <c r="R603">
        <v>0</v>
      </c>
      <c r="U603" t="s">
        <v>255</v>
      </c>
    </row>
    <row r="604" spans="1:22">
      <c r="A604">
        <v>701</v>
      </c>
      <c r="B604">
        <v>61798.0234375</v>
      </c>
      <c r="C604" t="s">
        <v>1106</v>
      </c>
      <c r="D604">
        <v>5.9110758304595947</v>
      </c>
      <c r="E604" t="s">
        <v>160</v>
      </c>
      <c r="F604" t="s">
        <v>1107</v>
      </c>
      <c r="G604" t="s">
        <v>256</v>
      </c>
      <c r="H604" t="s">
        <v>2</v>
      </c>
      <c r="I604">
        <v>1</v>
      </c>
      <c r="J604">
        <v>53860</v>
      </c>
      <c r="K604">
        <v>53860</v>
      </c>
      <c r="L604">
        <v>0</v>
      </c>
      <c r="M604">
        <v>0</v>
      </c>
      <c r="N604" s="4">
        <f t="shared" si="9"/>
        <v>0.14738253690122538</v>
      </c>
      <c r="P604">
        <v>1</v>
      </c>
      <c r="Q604">
        <v>0</v>
      </c>
      <c r="R604">
        <v>0</v>
      </c>
      <c r="T604" t="s">
        <v>256</v>
      </c>
    </row>
    <row r="605" spans="1:22">
      <c r="A605">
        <v>702</v>
      </c>
      <c r="B605">
        <v>71722.640625</v>
      </c>
      <c r="C605" t="s">
        <v>1108</v>
      </c>
      <c r="D605">
        <v>4.6706147193908691</v>
      </c>
      <c r="E605" t="s">
        <v>160</v>
      </c>
      <c r="F605" t="s">
        <v>1107</v>
      </c>
      <c r="G605" t="s">
        <v>256</v>
      </c>
      <c r="H605" t="s">
        <v>3</v>
      </c>
      <c r="I605">
        <v>1</v>
      </c>
      <c r="J605">
        <v>53860</v>
      </c>
      <c r="K605">
        <v>0</v>
      </c>
      <c r="L605">
        <v>0</v>
      </c>
      <c r="M605">
        <v>53860</v>
      </c>
      <c r="N605" s="4">
        <f t="shared" si="9"/>
        <v>0.33164947317118454</v>
      </c>
      <c r="P605">
        <v>0</v>
      </c>
      <c r="Q605">
        <v>0</v>
      </c>
      <c r="R605">
        <v>1</v>
      </c>
      <c r="V605" t="s">
        <v>256</v>
      </c>
    </row>
    <row r="606" spans="1:22">
      <c r="A606">
        <v>703</v>
      </c>
      <c r="B606">
        <v>65580.53125</v>
      </c>
      <c r="C606" t="s">
        <v>1109</v>
      </c>
      <c r="D606">
        <v>5.4556407928466797</v>
      </c>
      <c r="E606" t="s">
        <v>160</v>
      </c>
      <c r="F606" t="s">
        <v>1107</v>
      </c>
      <c r="G606" t="s">
        <v>256</v>
      </c>
      <c r="H606" t="s">
        <v>4</v>
      </c>
      <c r="I606">
        <v>1</v>
      </c>
      <c r="J606">
        <v>53860</v>
      </c>
      <c r="K606">
        <v>0</v>
      </c>
      <c r="L606">
        <v>53860</v>
      </c>
      <c r="M606">
        <v>0</v>
      </c>
      <c r="N606" s="4">
        <f t="shared" si="9"/>
        <v>0.21761105180096552</v>
      </c>
      <c r="P606">
        <v>0</v>
      </c>
      <c r="Q606">
        <v>1</v>
      </c>
      <c r="R606">
        <v>0</v>
      </c>
      <c r="U606" t="s">
        <v>256</v>
      </c>
    </row>
    <row r="607" spans="1:22">
      <c r="A607">
        <v>704</v>
      </c>
      <c r="B607">
        <v>368872.03125</v>
      </c>
      <c r="C607" t="s">
        <v>1110</v>
      </c>
      <c r="D607">
        <v>17.02250242233276</v>
      </c>
      <c r="E607" t="s">
        <v>160</v>
      </c>
      <c r="F607" t="s">
        <v>1111</v>
      </c>
      <c r="G607" t="s">
        <v>257</v>
      </c>
      <c r="H607" t="s">
        <v>2</v>
      </c>
      <c r="I607">
        <v>1</v>
      </c>
      <c r="J607">
        <v>329179</v>
      </c>
      <c r="K607">
        <v>329179</v>
      </c>
      <c r="L607">
        <v>0</v>
      </c>
      <c r="M607">
        <v>0</v>
      </c>
      <c r="N607" s="4">
        <f t="shared" si="9"/>
        <v>0.12058190604503927</v>
      </c>
      <c r="P607">
        <v>1</v>
      </c>
      <c r="Q607">
        <v>0</v>
      </c>
      <c r="R607">
        <v>0</v>
      </c>
      <c r="T607" t="s">
        <v>257</v>
      </c>
    </row>
    <row r="608" spans="1:22">
      <c r="A608">
        <v>705</v>
      </c>
      <c r="B608">
        <v>382034.25</v>
      </c>
      <c r="C608" t="s">
        <v>1112</v>
      </c>
      <c r="D608">
        <v>9.0620517730712891</v>
      </c>
      <c r="E608" t="s">
        <v>160</v>
      </c>
      <c r="F608" t="s">
        <v>1111</v>
      </c>
      <c r="G608" t="s">
        <v>257</v>
      </c>
      <c r="H608" t="s">
        <v>3</v>
      </c>
      <c r="I608">
        <v>1</v>
      </c>
      <c r="J608">
        <v>329179</v>
      </c>
      <c r="K608">
        <v>0</v>
      </c>
      <c r="L608">
        <v>0</v>
      </c>
      <c r="M608">
        <v>329179</v>
      </c>
      <c r="N608" s="4">
        <f t="shared" si="9"/>
        <v>0.1605668952150654</v>
      </c>
      <c r="P608">
        <v>0</v>
      </c>
      <c r="Q608">
        <v>0</v>
      </c>
      <c r="R608">
        <v>1</v>
      </c>
      <c r="V608" t="s">
        <v>257</v>
      </c>
    </row>
    <row r="609" spans="1:22">
      <c r="A609">
        <v>706</v>
      </c>
      <c r="B609">
        <v>371764.21875</v>
      </c>
      <c r="C609" t="s">
        <v>1113</v>
      </c>
      <c r="D609">
        <v>8.737368106842041</v>
      </c>
      <c r="E609" t="s">
        <v>160</v>
      </c>
      <c r="F609" t="s">
        <v>1111</v>
      </c>
      <c r="G609" t="s">
        <v>257</v>
      </c>
      <c r="H609" t="s">
        <v>4</v>
      </c>
      <c r="I609">
        <v>1</v>
      </c>
      <c r="J609">
        <v>329179</v>
      </c>
      <c r="K609">
        <v>0</v>
      </c>
      <c r="L609">
        <v>329179</v>
      </c>
      <c r="M609">
        <v>0</v>
      </c>
      <c r="N609" s="4">
        <f t="shared" si="9"/>
        <v>0.12936796925077232</v>
      </c>
      <c r="P609">
        <v>0</v>
      </c>
      <c r="Q609">
        <v>1</v>
      </c>
      <c r="R609">
        <v>0</v>
      </c>
      <c r="U609" t="s">
        <v>257</v>
      </c>
    </row>
    <row r="610" spans="1:22">
      <c r="A610">
        <v>707</v>
      </c>
      <c r="B610">
        <v>157378.25</v>
      </c>
      <c r="C610" t="s">
        <v>1114</v>
      </c>
      <c r="D610">
        <v>13.29560375213623</v>
      </c>
      <c r="E610" t="s">
        <v>160</v>
      </c>
      <c r="F610" t="s">
        <v>1115</v>
      </c>
      <c r="G610" t="s">
        <v>258</v>
      </c>
      <c r="H610" t="s">
        <v>2</v>
      </c>
      <c r="I610">
        <v>1</v>
      </c>
      <c r="J610">
        <v>132715</v>
      </c>
      <c r="K610">
        <v>132715</v>
      </c>
      <c r="L610">
        <v>0</v>
      </c>
      <c r="M610">
        <v>0</v>
      </c>
      <c r="N610" s="4">
        <f t="shared" ref="N610:N618" si="10">IFERROR(B610/J610-1,"")</f>
        <v>0.18583619033266774</v>
      </c>
      <c r="P610">
        <v>1</v>
      </c>
      <c r="Q610">
        <v>0</v>
      </c>
      <c r="R610">
        <v>0</v>
      </c>
      <c r="T610" t="s">
        <v>258</v>
      </c>
    </row>
    <row r="611" spans="1:22">
      <c r="A611">
        <v>708</v>
      </c>
      <c r="B611">
        <v>170461.84375</v>
      </c>
      <c r="C611" t="s">
        <v>1116</v>
      </c>
      <c r="D611">
        <v>8.5126533508300781</v>
      </c>
      <c r="E611" t="s">
        <v>160</v>
      </c>
      <c r="F611" t="s">
        <v>1115</v>
      </c>
      <c r="G611" t="s">
        <v>258</v>
      </c>
      <c r="H611" t="s">
        <v>3</v>
      </c>
      <c r="I611">
        <v>1</v>
      </c>
      <c r="J611">
        <v>132715</v>
      </c>
      <c r="K611">
        <v>0</v>
      </c>
      <c r="L611">
        <v>0</v>
      </c>
      <c r="M611">
        <v>132715</v>
      </c>
      <c r="N611" s="4">
        <f t="shared" si="10"/>
        <v>0.28442032739328638</v>
      </c>
      <c r="P611">
        <v>0</v>
      </c>
      <c r="Q611">
        <v>0</v>
      </c>
      <c r="R611">
        <v>1</v>
      </c>
      <c r="V611" t="s">
        <v>258</v>
      </c>
    </row>
    <row r="612" spans="1:22">
      <c r="A612">
        <v>709</v>
      </c>
      <c r="B612">
        <v>160374.25</v>
      </c>
      <c r="C612" t="s">
        <v>1117</v>
      </c>
      <c r="D612">
        <v>11.374032974243161</v>
      </c>
      <c r="E612" t="s">
        <v>160</v>
      </c>
      <c r="F612" t="s">
        <v>1115</v>
      </c>
      <c r="G612" t="s">
        <v>258</v>
      </c>
      <c r="H612" t="s">
        <v>4</v>
      </c>
      <c r="I612">
        <v>1</v>
      </c>
      <c r="J612">
        <v>132715</v>
      </c>
      <c r="K612">
        <v>0</v>
      </c>
      <c r="L612">
        <v>132715</v>
      </c>
      <c r="M612">
        <v>0</v>
      </c>
      <c r="N612" s="4">
        <f t="shared" si="10"/>
        <v>0.20841088045812461</v>
      </c>
      <c r="P612">
        <v>0</v>
      </c>
      <c r="Q612">
        <v>1</v>
      </c>
      <c r="R612">
        <v>0</v>
      </c>
      <c r="U612" t="s">
        <v>258</v>
      </c>
    </row>
    <row r="613" spans="1:22">
      <c r="A613">
        <v>710</v>
      </c>
      <c r="B613">
        <v>107013.6484375</v>
      </c>
      <c r="C613" t="s">
        <v>1118</v>
      </c>
      <c r="D613">
        <v>5.1890792846679688</v>
      </c>
      <c r="E613" t="s">
        <v>160</v>
      </c>
      <c r="F613" t="s">
        <v>1119</v>
      </c>
      <c r="G613" t="s">
        <v>259</v>
      </c>
      <c r="H613" t="s">
        <v>2</v>
      </c>
      <c r="I613">
        <v>1</v>
      </c>
      <c r="J613">
        <v>85465</v>
      </c>
      <c r="K613">
        <v>85465</v>
      </c>
      <c r="L613">
        <v>0</v>
      </c>
      <c r="M613">
        <v>0</v>
      </c>
      <c r="N613" s="4">
        <f t="shared" si="10"/>
        <v>0.25213418870297777</v>
      </c>
      <c r="P613">
        <v>1</v>
      </c>
      <c r="Q613">
        <v>0</v>
      </c>
      <c r="R613">
        <v>0</v>
      </c>
      <c r="T613" t="s">
        <v>259</v>
      </c>
    </row>
    <row r="614" spans="1:22">
      <c r="A614">
        <v>711</v>
      </c>
      <c r="B614">
        <v>137550.75</v>
      </c>
      <c r="C614" t="s">
        <v>1120</v>
      </c>
      <c r="D614">
        <v>6.1925833225250244</v>
      </c>
      <c r="E614" t="s">
        <v>160</v>
      </c>
      <c r="F614" t="s">
        <v>1119</v>
      </c>
      <c r="G614" t="s">
        <v>259</v>
      </c>
      <c r="H614" t="s">
        <v>3</v>
      </c>
      <c r="I614">
        <v>1</v>
      </c>
      <c r="J614">
        <v>85465</v>
      </c>
      <c r="K614">
        <v>0</v>
      </c>
      <c r="L614">
        <v>0</v>
      </c>
      <c r="M614">
        <v>85465</v>
      </c>
      <c r="N614" s="4">
        <f t="shared" si="10"/>
        <v>0.60943953665243078</v>
      </c>
      <c r="P614">
        <v>0</v>
      </c>
      <c r="Q614">
        <v>0</v>
      </c>
      <c r="R614">
        <v>1</v>
      </c>
      <c r="V614" t="s">
        <v>259</v>
      </c>
    </row>
    <row r="615" spans="1:22">
      <c r="A615">
        <v>712</v>
      </c>
      <c r="B615">
        <v>115716.453125</v>
      </c>
      <c r="C615" t="s">
        <v>1121</v>
      </c>
      <c r="D615">
        <v>5.1560418605804443</v>
      </c>
      <c r="E615" t="s">
        <v>160</v>
      </c>
      <c r="F615" t="s">
        <v>1119</v>
      </c>
      <c r="G615" t="s">
        <v>259</v>
      </c>
      <c r="H615" t="s">
        <v>4</v>
      </c>
      <c r="I615">
        <v>1</v>
      </c>
      <c r="J615">
        <v>85465</v>
      </c>
      <c r="K615">
        <v>0</v>
      </c>
      <c r="L615">
        <v>85465</v>
      </c>
      <c r="M615">
        <v>0</v>
      </c>
      <c r="N615" s="4">
        <f t="shared" si="10"/>
        <v>0.35396306236471076</v>
      </c>
      <c r="P615">
        <v>0</v>
      </c>
      <c r="Q615">
        <v>1</v>
      </c>
      <c r="R615">
        <v>0</v>
      </c>
      <c r="U615" t="s">
        <v>259</v>
      </c>
    </row>
    <row r="616" spans="1:22">
      <c r="A616">
        <v>713</v>
      </c>
      <c r="B616">
        <v>129569.109375</v>
      </c>
      <c r="C616" t="s">
        <v>1122</v>
      </c>
      <c r="D616">
        <v>7.2582247257232666</v>
      </c>
      <c r="E616" t="s">
        <v>160</v>
      </c>
      <c r="F616" t="s">
        <v>1123</v>
      </c>
      <c r="G616" t="s">
        <v>260</v>
      </c>
      <c r="H616" t="s">
        <v>2</v>
      </c>
      <c r="I616">
        <v>1</v>
      </c>
      <c r="J616">
        <v>118976</v>
      </c>
      <c r="K616">
        <v>118976</v>
      </c>
      <c r="L616">
        <v>0</v>
      </c>
      <c r="M616">
        <v>0</v>
      </c>
      <c r="N616" s="4">
        <f t="shared" si="10"/>
        <v>8.9035682616662282E-2</v>
      </c>
      <c r="P616">
        <v>1</v>
      </c>
      <c r="Q616">
        <v>0</v>
      </c>
      <c r="R616">
        <v>0</v>
      </c>
      <c r="T616" t="s">
        <v>260</v>
      </c>
    </row>
    <row r="617" spans="1:22">
      <c r="A617">
        <v>714</v>
      </c>
      <c r="B617">
        <v>164858.09375</v>
      </c>
      <c r="C617" t="s">
        <v>1124</v>
      </c>
      <c r="D617">
        <v>11.60901880264282</v>
      </c>
      <c r="E617" t="s">
        <v>160</v>
      </c>
      <c r="F617" t="s">
        <v>1123</v>
      </c>
      <c r="G617" t="s">
        <v>260</v>
      </c>
      <c r="H617" t="s">
        <v>3</v>
      </c>
      <c r="I617">
        <v>1</v>
      </c>
      <c r="J617">
        <v>118976</v>
      </c>
      <c r="K617">
        <v>0</v>
      </c>
      <c r="L617">
        <v>0</v>
      </c>
      <c r="M617">
        <v>118976</v>
      </c>
      <c r="N617" s="4">
        <f t="shared" si="10"/>
        <v>0.38564158948023142</v>
      </c>
      <c r="P617">
        <v>0</v>
      </c>
      <c r="Q617">
        <v>0</v>
      </c>
      <c r="R617">
        <v>1</v>
      </c>
      <c r="V617" t="s">
        <v>260</v>
      </c>
    </row>
    <row r="618" spans="1:22">
      <c r="A618">
        <v>715</v>
      </c>
      <c r="B618">
        <v>133056.296875</v>
      </c>
      <c r="C618" t="s">
        <v>1125</v>
      </c>
      <c r="D618">
        <v>7.4955377578735352</v>
      </c>
      <c r="E618" t="s">
        <v>160</v>
      </c>
      <c r="F618" t="s">
        <v>1123</v>
      </c>
      <c r="G618" t="s">
        <v>260</v>
      </c>
      <c r="H618" t="s">
        <v>4</v>
      </c>
      <c r="I618">
        <v>1</v>
      </c>
      <c r="J618">
        <v>118976</v>
      </c>
      <c r="K618">
        <v>0</v>
      </c>
      <c r="L618">
        <v>118976</v>
      </c>
      <c r="M618">
        <v>0</v>
      </c>
      <c r="N618" s="4">
        <f t="shared" si="10"/>
        <v>0.11834569051741517</v>
      </c>
      <c r="P618">
        <v>0</v>
      </c>
      <c r="Q618">
        <v>1</v>
      </c>
      <c r="R618">
        <v>0</v>
      </c>
      <c r="U618" t="s">
        <v>260</v>
      </c>
    </row>
  </sheetData>
  <autoFilter ref="A1:N618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40"/>
  <sheetViews>
    <sheetView workbookViewId="0"/>
  </sheetViews>
  <sheetFormatPr defaultRowHeight="14"/>
  <sheetData>
    <row r="1" spans="1:20">
      <c r="A1" s="1" t="s">
        <v>297</v>
      </c>
      <c r="B1" s="1" t="s">
        <v>301</v>
      </c>
      <c r="C1" s="1"/>
      <c r="D1" s="1"/>
      <c r="E1" s="1" t="s">
        <v>6</v>
      </c>
      <c r="F1" s="1"/>
      <c r="G1" s="1"/>
      <c r="H1" s="1"/>
      <c r="I1" s="1" t="s">
        <v>297</v>
      </c>
      <c r="J1" s="1" t="s">
        <v>301</v>
      </c>
      <c r="K1" s="1" t="s">
        <v>1126</v>
      </c>
      <c r="L1" s="1"/>
      <c r="M1" s="1" t="s">
        <v>297</v>
      </c>
      <c r="N1" s="1" t="s">
        <v>301</v>
      </c>
      <c r="O1" s="1"/>
      <c r="P1" s="1"/>
      <c r="Q1" s="1"/>
      <c r="R1" s="1"/>
      <c r="S1" s="1"/>
      <c r="T1" s="1"/>
    </row>
    <row r="2" spans="1:20">
      <c r="A2">
        <v>0</v>
      </c>
      <c r="B2" t="s">
        <v>308</v>
      </c>
      <c r="C2">
        <v>1</v>
      </c>
      <c r="D2" t="s">
        <v>308</v>
      </c>
      <c r="E2" t="s">
        <v>16</v>
      </c>
      <c r="F2">
        <v>1</v>
      </c>
      <c r="G2">
        <v>784</v>
      </c>
      <c r="I2">
        <v>2</v>
      </c>
      <c r="J2" t="s">
        <v>308</v>
      </c>
      <c r="K2" s="3" t="b">
        <v>1</v>
      </c>
      <c r="M2">
        <v>1</v>
      </c>
      <c r="N2" t="s">
        <v>308</v>
      </c>
      <c r="O2" s="3" t="b">
        <v>1</v>
      </c>
    </row>
    <row r="3" spans="1:20">
      <c r="A3">
        <v>3</v>
      </c>
      <c r="B3" t="s">
        <v>312</v>
      </c>
      <c r="C3">
        <v>2</v>
      </c>
      <c r="D3" t="s">
        <v>312</v>
      </c>
      <c r="E3" t="s">
        <v>17</v>
      </c>
      <c r="F3">
        <v>1</v>
      </c>
      <c r="G3">
        <v>661</v>
      </c>
      <c r="I3">
        <v>7</v>
      </c>
      <c r="J3" t="s">
        <v>312</v>
      </c>
      <c r="K3" s="3" t="b">
        <v>1</v>
      </c>
      <c r="M3">
        <v>5</v>
      </c>
      <c r="N3" t="s">
        <v>312</v>
      </c>
      <c r="O3" s="3" t="b">
        <v>1</v>
      </c>
    </row>
    <row r="4" spans="1:20">
      <c r="A4">
        <v>4</v>
      </c>
      <c r="B4" t="s">
        <v>312</v>
      </c>
      <c r="C4">
        <v>2</v>
      </c>
      <c r="D4" t="s">
        <v>1127</v>
      </c>
      <c r="E4" t="s">
        <v>18</v>
      </c>
      <c r="F4">
        <v>1</v>
      </c>
      <c r="G4">
        <v>742</v>
      </c>
      <c r="I4">
        <v>8</v>
      </c>
      <c r="J4" t="s">
        <v>312</v>
      </c>
      <c r="K4" s="3" t="b">
        <v>1</v>
      </c>
      <c r="M4">
        <v>6</v>
      </c>
      <c r="N4" t="s">
        <v>312</v>
      </c>
      <c r="O4" s="3" t="b">
        <v>1</v>
      </c>
    </row>
    <row r="5" spans="1:20">
      <c r="A5">
        <v>9</v>
      </c>
      <c r="B5" t="s">
        <v>319</v>
      </c>
      <c r="C5">
        <v>1</v>
      </c>
      <c r="D5" t="s">
        <v>319</v>
      </c>
      <c r="E5" t="s">
        <v>19</v>
      </c>
      <c r="F5">
        <v>1</v>
      </c>
      <c r="G5">
        <v>778</v>
      </c>
      <c r="I5">
        <v>11</v>
      </c>
      <c r="J5" t="s">
        <v>319</v>
      </c>
      <c r="K5" s="3" t="b">
        <v>1</v>
      </c>
      <c r="M5">
        <v>10</v>
      </c>
      <c r="N5" t="s">
        <v>319</v>
      </c>
      <c r="O5" s="3" t="b">
        <v>1</v>
      </c>
    </row>
    <row r="6" spans="1:20">
      <c r="A6">
        <v>12</v>
      </c>
      <c r="B6" t="s">
        <v>323</v>
      </c>
      <c r="C6">
        <v>1</v>
      </c>
      <c r="D6" t="s">
        <v>323</v>
      </c>
      <c r="E6" t="s">
        <v>20</v>
      </c>
      <c r="F6">
        <v>1</v>
      </c>
      <c r="G6">
        <v>799</v>
      </c>
      <c r="I6">
        <v>14</v>
      </c>
      <c r="J6" t="s">
        <v>323</v>
      </c>
      <c r="K6" s="3" t="b">
        <v>1</v>
      </c>
      <c r="M6">
        <v>13</v>
      </c>
      <c r="N6" t="s">
        <v>323</v>
      </c>
      <c r="O6" s="3" t="b">
        <v>1</v>
      </c>
    </row>
    <row r="7" spans="1:20">
      <c r="A7">
        <v>15</v>
      </c>
      <c r="B7" t="s">
        <v>327</v>
      </c>
      <c r="C7">
        <v>2</v>
      </c>
      <c r="D7" t="s">
        <v>327</v>
      </c>
      <c r="E7" t="s">
        <v>21</v>
      </c>
      <c r="F7">
        <v>1</v>
      </c>
      <c r="G7">
        <v>669</v>
      </c>
      <c r="I7">
        <v>19</v>
      </c>
      <c r="J7" t="s">
        <v>327</v>
      </c>
      <c r="K7" s="3" t="b">
        <v>1</v>
      </c>
      <c r="M7">
        <v>17</v>
      </c>
      <c r="N7" t="s">
        <v>327</v>
      </c>
      <c r="O7" s="3" t="b">
        <v>1</v>
      </c>
    </row>
    <row r="8" spans="1:20">
      <c r="A8">
        <v>16</v>
      </c>
      <c r="B8" t="s">
        <v>327</v>
      </c>
      <c r="C8">
        <v>2</v>
      </c>
      <c r="D8" t="s">
        <v>1128</v>
      </c>
      <c r="E8" t="s">
        <v>22</v>
      </c>
      <c r="F8">
        <v>1</v>
      </c>
      <c r="G8">
        <v>949</v>
      </c>
      <c r="I8">
        <v>20</v>
      </c>
      <c r="J8" t="s">
        <v>327</v>
      </c>
      <c r="K8" s="3" t="b">
        <v>1</v>
      </c>
      <c r="M8">
        <v>18</v>
      </c>
      <c r="N8" t="s">
        <v>327</v>
      </c>
      <c r="O8" s="3" t="b">
        <v>1</v>
      </c>
    </row>
    <row r="9" spans="1:20">
      <c r="A9">
        <v>21</v>
      </c>
      <c r="B9" t="s">
        <v>334</v>
      </c>
      <c r="C9">
        <v>1</v>
      </c>
      <c r="D9" t="s">
        <v>334</v>
      </c>
      <c r="E9" t="s">
        <v>23</v>
      </c>
      <c r="F9">
        <v>1</v>
      </c>
      <c r="G9">
        <v>730</v>
      </c>
      <c r="I9">
        <v>23</v>
      </c>
      <c r="J9" t="s">
        <v>334</v>
      </c>
      <c r="K9" s="3" t="b">
        <v>1</v>
      </c>
      <c r="M9">
        <v>22</v>
      </c>
      <c r="N9" t="s">
        <v>334</v>
      </c>
      <c r="O9" s="3" t="b">
        <v>1</v>
      </c>
    </row>
    <row r="10" spans="1:20">
      <c r="A10">
        <v>24</v>
      </c>
      <c r="B10" t="s">
        <v>338</v>
      </c>
      <c r="C10">
        <v>2</v>
      </c>
      <c r="D10" t="s">
        <v>338</v>
      </c>
      <c r="E10" t="s">
        <v>24</v>
      </c>
      <c r="F10">
        <v>1</v>
      </c>
      <c r="G10">
        <v>822</v>
      </c>
      <c r="I10">
        <v>28</v>
      </c>
      <c r="J10" t="s">
        <v>338</v>
      </c>
      <c r="K10" s="3" t="b">
        <v>1</v>
      </c>
      <c r="M10">
        <v>26</v>
      </c>
      <c r="N10" t="s">
        <v>338</v>
      </c>
      <c r="O10" s="3" t="b">
        <v>1</v>
      </c>
    </row>
    <row r="11" spans="1:20">
      <c r="A11">
        <v>25</v>
      </c>
      <c r="B11" t="s">
        <v>338</v>
      </c>
      <c r="C11">
        <v>2</v>
      </c>
      <c r="D11" t="s">
        <v>1129</v>
      </c>
      <c r="E11" t="s">
        <v>25</v>
      </c>
      <c r="F11">
        <v>1</v>
      </c>
      <c r="G11">
        <v>831</v>
      </c>
      <c r="I11">
        <v>29</v>
      </c>
      <c r="J11" t="s">
        <v>338</v>
      </c>
      <c r="K11" s="3" t="b">
        <v>1</v>
      </c>
      <c r="M11">
        <v>27</v>
      </c>
      <c r="N11" t="s">
        <v>338</v>
      </c>
      <c r="O11" s="3" t="b">
        <v>1</v>
      </c>
    </row>
    <row r="12" spans="1:20">
      <c r="A12">
        <v>30</v>
      </c>
      <c r="B12" t="s">
        <v>345</v>
      </c>
      <c r="C12">
        <v>1</v>
      </c>
      <c r="D12" t="s">
        <v>345</v>
      </c>
      <c r="E12" t="s">
        <v>26</v>
      </c>
      <c r="F12">
        <v>1</v>
      </c>
      <c r="G12">
        <v>937</v>
      </c>
      <c r="I12">
        <v>32</v>
      </c>
      <c r="J12" t="s">
        <v>345</v>
      </c>
      <c r="K12" s="3" t="b">
        <v>1</v>
      </c>
      <c r="M12">
        <v>31</v>
      </c>
      <c r="N12" t="s">
        <v>345</v>
      </c>
      <c r="O12" s="3" t="b">
        <v>1</v>
      </c>
    </row>
    <row r="13" spans="1:20">
      <c r="A13">
        <v>33</v>
      </c>
      <c r="B13" t="s">
        <v>349</v>
      </c>
      <c r="C13">
        <v>2</v>
      </c>
      <c r="D13" t="s">
        <v>349</v>
      </c>
      <c r="E13" t="s">
        <v>27</v>
      </c>
      <c r="F13">
        <v>1</v>
      </c>
      <c r="G13">
        <v>944</v>
      </c>
      <c r="I13">
        <v>37</v>
      </c>
      <c r="J13" t="s">
        <v>349</v>
      </c>
      <c r="K13" s="3" t="b">
        <v>1</v>
      </c>
      <c r="M13">
        <v>35</v>
      </c>
      <c r="N13" t="s">
        <v>349</v>
      </c>
      <c r="O13" s="3" t="b">
        <v>1</v>
      </c>
    </row>
    <row r="14" spans="1:20">
      <c r="A14">
        <v>34</v>
      </c>
      <c r="B14" t="s">
        <v>349</v>
      </c>
      <c r="C14">
        <v>2</v>
      </c>
      <c r="D14" t="s">
        <v>1130</v>
      </c>
      <c r="E14" t="s">
        <v>28</v>
      </c>
      <c r="F14">
        <v>1</v>
      </c>
      <c r="G14">
        <v>1146</v>
      </c>
      <c r="I14">
        <v>38</v>
      </c>
      <c r="J14" t="s">
        <v>349</v>
      </c>
      <c r="K14" s="3" t="b">
        <v>1</v>
      </c>
      <c r="M14">
        <v>36</v>
      </c>
      <c r="N14" t="s">
        <v>349</v>
      </c>
      <c r="O14" s="3" t="b">
        <v>1</v>
      </c>
    </row>
    <row r="15" spans="1:20">
      <c r="A15">
        <v>39</v>
      </c>
      <c r="B15" t="s">
        <v>356</v>
      </c>
      <c r="C15">
        <v>1</v>
      </c>
      <c r="D15" t="s">
        <v>356</v>
      </c>
      <c r="E15" t="s">
        <v>29</v>
      </c>
      <c r="F15">
        <v>1</v>
      </c>
      <c r="G15">
        <v>914</v>
      </c>
      <c r="I15">
        <v>41</v>
      </c>
      <c r="J15" t="s">
        <v>356</v>
      </c>
      <c r="K15" s="3" t="b">
        <v>1</v>
      </c>
      <c r="M15">
        <v>40</v>
      </c>
      <c r="N15" t="s">
        <v>356</v>
      </c>
      <c r="O15" s="3" t="b">
        <v>1</v>
      </c>
    </row>
    <row r="16" spans="1:20">
      <c r="A16">
        <v>42</v>
      </c>
      <c r="B16" t="s">
        <v>360</v>
      </c>
      <c r="C16">
        <v>1</v>
      </c>
      <c r="D16" t="s">
        <v>360</v>
      </c>
      <c r="E16" t="s">
        <v>30</v>
      </c>
      <c r="F16">
        <v>1</v>
      </c>
      <c r="G16">
        <v>1073</v>
      </c>
      <c r="I16">
        <v>44</v>
      </c>
      <c r="J16" t="s">
        <v>360</v>
      </c>
      <c r="K16" s="3" t="b">
        <v>1</v>
      </c>
      <c r="M16">
        <v>43</v>
      </c>
      <c r="N16" t="s">
        <v>360</v>
      </c>
      <c r="O16" s="3" t="b">
        <v>1</v>
      </c>
    </row>
    <row r="17" spans="1:15">
      <c r="A17">
        <v>45</v>
      </c>
      <c r="B17" t="s">
        <v>364</v>
      </c>
      <c r="C17">
        <v>1</v>
      </c>
      <c r="D17" t="s">
        <v>364</v>
      </c>
      <c r="E17" t="s">
        <v>31</v>
      </c>
      <c r="F17">
        <v>1</v>
      </c>
      <c r="G17">
        <v>1010</v>
      </c>
      <c r="I17">
        <v>47</v>
      </c>
      <c r="J17" t="s">
        <v>364</v>
      </c>
      <c r="K17" s="3" t="b">
        <v>1</v>
      </c>
      <c r="M17">
        <v>46</v>
      </c>
      <c r="N17" t="s">
        <v>364</v>
      </c>
      <c r="O17" s="3" t="b">
        <v>1</v>
      </c>
    </row>
    <row r="18" spans="1:15">
      <c r="A18">
        <v>48</v>
      </c>
      <c r="B18" t="s">
        <v>368</v>
      </c>
      <c r="C18">
        <v>1</v>
      </c>
      <c r="D18" t="s">
        <v>368</v>
      </c>
      <c r="E18" t="s">
        <v>32</v>
      </c>
      <c r="F18">
        <v>1</v>
      </c>
      <c r="G18">
        <v>1167</v>
      </c>
      <c r="I18">
        <v>50</v>
      </c>
      <c r="J18" t="s">
        <v>368</v>
      </c>
      <c r="K18" s="3" t="b">
        <v>1</v>
      </c>
      <c r="M18">
        <v>49</v>
      </c>
      <c r="N18" t="s">
        <v>368</v>
      </c>
      <c r="O18" s="3" t="b">
        <v>1</v>
      </c>
    </row>
    <row r="19" spans="1:15">
      <c r="A19">
        <v>51</v>
      </c>
      <c r="B19" t="s">
        <v>372</v>
      </c>
      <c r="C19">
        <v>1</v>
      </c>
      <c r="D19" t="s">
        <v>372</v>
      </c>
      <c r="E19" t="s">
        <v>33</v>
      </c>
      <c r="F19">
        <v>1</v>
      </c>
      <c r="G19">
        <v>1073</v>
      </c>
      <c r="I19">
        <v>53</v>
      </c>
      <c r="J19" t="s">
        <v>372</v>
      </c>
      <c r="K19" s="3" t="b">
        <v>1</v>
      </c>
      <c r="M19">
        <v>52</v>
      </c>
      <c r="N19" t="s">
        <v>372</v>
      </c>
      <c r="O19" s="3" t="b">
        <v>1</v>
      </c>
    </row>
    <row r="20" spans="1:15">
      <c r="A20">
        <v>54</v>
      </c>
      <c r="B20" t="s">
        <v>376</v>
      </c>
      <c r="C20">
        <v>1</v>
      </c>
      <c r="D20" t="s">
        <v>376</v>
      </c>
      <c r="E20" t="s">
        <v>34</v>
      </c>
      <c r="F20">
        <v>1</v>
      </c>
      <c r="G20">
        <v>1354</v>
      </c>
      <c r="I20">
        <v>56</v>
      </c>
      <c r="J20" t="s">
        <v>376</v>
      </c>
      <c r="K20" s="3" t="b">
        <v>1</v>
      </c>
      <c r="M20">
        <v>55</v>
      </c>
      <c r="N20" t="s">
        <v>376</v>
      </c>
      <c r="O20" s="3" t="b">
        <v>1</v>
      </c>
    </row>
    <row r="21" spans="1:15">
      <c r="A21">
        <v>57</v>
      </c>
      <c r="B21" t="s">
        <v>380</v>
      </c>
      <c r="C21">
        <v>1</v>
      </c>
      <c r="D21" t="s">
        <v>380</v>
      </c>
      <c r="E21" t="s">
        <v>35</v>
      </c>
      <c r="F21">
        <v>1</v>
      </c>
      <c r="G21">
        <v>1034</v>
      </c>
      <c r="I21">
        <v>59</v>
      </c>
      <c r="J21" t="s">
        <v>380</v>
      </c>
      <c r="K21" s="3" t="b">
        <v>1</v>
      </c>
      <c r="M21">
        <v>58</v>
      </c>
      <c r="N21" t="s">
        <v>380</v>
      </c>
      <c r="O21" s="3" t="b">
        <v>1</v>
      </c>
    </row>
    <row r="22" spans="1:15">
      <c r="A22">
        <v>60</v>
      </c>
      <c r="B22" t="s">
        <v>384</v>
      </c>
      <c r="C22">
        <v>1</v>
      </c>
      <c r="D22" t="s">
        <v>384</v>
      </c>
      <c r="E22" t="s">
        <v>36</v>
      </c>
      <c r="F22">
        <v>1</v>
      </c>
      <c r="G22">
        <v>1288</v>
      </c>
      <c r="I22">
        <v>62</v>
      </c>
      <c r="J22" t="s">
        <v>384</v>
      </c>
      <c r="K22" s="3" t="b">
        <v>1</v>
      </c>
      <c r="M22">
        <v>61</v>
      </c>
      <c r="N22" t="s">
        <v>384</v>
      </c>
      <c r="O22" s="3" t="b">
        <v>1</v>
      </c>
    </row>
    <row r="23" spans="1:15">
      <c r="A23">
        <v>64</v>
      </c>
      <c r="B23" t="s">
        <v>388</v>
      </c>
      <c r="C23">
        <v>2</v>
      </c>
      <c r="D23" t="s">
        <v>388</v>
      </c>
      <c r="E23" t="s">
        <v>37</v>
      </c>
      <c r="F23">
        <v>1</v>
      </c>
      <c r="G23">
        <v>1314</v>
      </c>
      <c r="I23">
        <v>68</v>
      </c>
      <c r="J23" t="s">
        <v>388</v>
      </c>
      <c r="K23" s="3" t="b">
        <v>1</v>
      </c>
      <c r="M23">
        <v>66</v>
      </c>
      <c r="N23" t="s">
        <v>388</v>
      </c>
      <c r="O23" s="3" t="b">
        <v>1</v>
      </c>
    </row>
    <row r="24" spans="1:15">
      <c r="A24">
        <v>63</v>
      </c>
      <c r="B24" t="s">
        <v>388</v>
      </c>
      <c r="C24">
        <v>2</v>
      </c>
      <c r="D24" t="s">
        <v>1131</v>
      </c>
      <c r="E24" t="s">
        <v>38</v>
      </c>
      <c r="F24">
        <v>1</v>
      </c>
      <c r="G24">
        <v>1616</v>
      </c>
      <c r="I24">
        <v>67</v>
      </c>
      <c r="J24" t="s">
        <v>388</v>
      </c>
      <c r="K24" s="3" t="b">
        <v>1</v>
      </c>
      <c r="M24">
        <v>65</v>
      </c>
      <c r="N24" t="s">
        <v>388</v>
      </c>
      <c r="O24" s="3" t="b">
        <v>1</v>
      </c>
    </row>
    <row r="25" spans="1:15">
      <c r="A25">
        <v>69</v>
      </c>
      <c r="B25" t="s">
        <v>395</v>
      </c>
      <c r="C25">
        <v>1</v>
      </c>
      <c r="D25" t="s">
        <v>395</v>
      </c>
      <c r="E25" t="s">
        <v>39</v>
      </c>
      <c r="F25">
        <v>1</v>
      </c>
      <c r="G25">
        <v>1401</v>
      </c>
      <c r="I25">
        <v>71</v>
      </c>
      <c r="J25" t="s">
        <v>395</v>
      </c>
      <c r="K25" s="3" t="b">
        <v>1</v>
      </c>
      <c r="M25">
        <v>70</v>
      </c>
      <c r="N25" t="s">
        <v>395</v>
      </c>
      <c r="O25" s="3" t="b">
        <v>1</v>
      </c>
    </row>
    <row r="26" spans="1:15">
      <c r="A26">
        <v>72</v>
      </c>
      <c r="B26" t="s">
        <v>399</v>
      </c>
      <c r="C26">
        <v>1</v>
      </c>
      <c r="D26" t="s">
        <v>399</v>
      </c>
      <c r="E26" t="s">
        <v>40</v>
      </c>
      <c r="F26">
        <v>1</v>
      </c>
      <c r="G26">
        <v>1174</v>
      </c>
      <c r="I26">
        <v>74</v>
      </c>
      <c r="J26" t="s">
        <v>399</v>
      </c>
      <c r="K26" s="3" t="b">
        <v>1</v>
      </c>
      <c r="M26">
        <v>73</v>
      </c>
      <c r="N26" t="s">
        <v>399</v>
      </c>
      <c r="O26" s="3" t="b">
        <v>1</v>
      </c>
    </row>
    <row r="27" spans="1:15">
      <c r="A27">
        <v>75</v>
      </c>
      <c r="B27" t="s">
        <v>403</v>
      </c>
      <c r="C27">
        <v>1</v>
      </c>
      <c r="D27" t="s">
        <v>403</v>
      </c>
      <c r="E27" t="s">
        <v>41</v>
      </c>
      <c r="F27">
        <v>1</v>
      </c>
      <c r="G27">
        <v>1159</v>
      </c>
      <c r="I27">
        <v>77</v>
      </c>
      <c r="J27" t="s">
        <v>403</v>
      </c>
      <c r="K27" s="3" t="b">
        <v>1</v>
      </c>
      <c r="M27">
        <v>76</v>
      </c>
      <c r="N27" t="s">
        <v>403</v>
      </c>
      <c r="O27" s="3" t="b">
        <v>1</v>
      </c>
    </row>
    <row r="28" spans="1:15">
      <c r="A28">
        <v>78</v>
      </c>
      <c r="B28" t="s">
        <v>407</v>
      </c>
      <c r="C28">
        <v>1</v>
      </c>
      <c r="D28" t="s">
        <v>407</v>
      </c>
      <c r="E28" t="s">
        <v>42</v>
      </c>
      <c r="F28">
        <v>1</v>
      </c>
      <c r="G28">
        <v>1763</v>
      </c>
      <c r="I28">
        <v>80</v>
      </c>
      <c r="J28" t="s">
        <v>407</v>
      </c>
      <c r="K28" s="3" t="b">
        <v>1</v>
      </c>
      <c r="M28">
        <v>79</v>
      </c>
      <c r="N28" t="s">
        <v>407</v>
      </c>
      <c r="O28" s="3" t="b">
        <v>1</v>
      </c>
    </row>
    <row r="29" spans="1:15">
      <c r="A29">
        <v>81</v>
      </c>
      <c r="B29" t="s">
        <v>411</v>
      </c>
      <c r="C29">
        <v>1</v>
      </c>
      <c r="D29" t="s">
        <v>411</v>
      </c>
      <c r="E29" t="s">
        <v>44</v>
      </c>
      <c r="F29">
        <v>1</v>
      </c>
      <c r="G29">
        <v>672</v>
      </c>
      <c r="I29">
        <v>83</v>
      </c>
      <c r="J29" t="s">
        <v>411</v>
      </c>
      <c r="K29" s="3" t="b">
        <v>1</v>
      </c>
      <c r="M29">
        <v>82</v>
      </c>
      <c r="N29" t="s">
        <v>411</v>
      </c>
      <c r="O29" s="3" t="b">
        <v>1</v>
      </c>
    </row>
    <row r="30" spans="1:15">
      <c r="A30">
        <v>84</v>
      </c>
      <c r="B30" t="s">
        <v>415</v>
      </c>
      <c r="C30">
        <v>1</v>
      </c>
      <c r="D30" t="s">
        <v>415</v>
      </c>
      <c r="E30" t="s">
        <v>45</v>
      </c>
      <c r="F30">
        <v>1</v>
      </c>
      <c r="G30">
        <v>788</v>
      </c>
      <c r="I30">
        <v>86</v>
      </c>
      <c r="J30" t="s">
        <v>415</v>
      </c>
      <c r="K30" s="3" t="b">
        <v>1</v>
      </c>
      <c r="M30">
        <v>85</v>
      </c>
      <c r="N30" t="s">
        <v>415</v>
      </c>
      <c r="O30" s="3" t="b">
        <v>1</v>
      </c>
    </row>
    <row r="31" spans="1:15">
      <c r="A31">
        <v>87</v>
      </c>
      <c r="B31" t="s">
        <v>419</v>
      </c>
      <c r="C31">
        <v>1</v>
      </c>
      <c r="D31" t="s">
        <v>419</v>
      </c>
      <c r="E31" t="s">
        <v>46</v>
      </c>
      <c r="F31">
        <v>1</v>
      </c>
      <c r="G31">
        <v>955</v>
      </c>
      <c r="I31">
        <v>89</v>
      </c>
      <c r="J31" t="s">
        <v>419</v>
      </c>
      <c r="K31" s="3" t="b">
        <v>1</v>
      </c>
      <c r="M31">
        <v>88</v>
      </c>
      <c r="N31" t="s">
        <v>419</v>
      </c>
      <c r="O31" s="3" t="b">
        <v>1</v>
      </c>
    </row>
    <row r="32" spans="1:15">
      <c r="A32">
        <v>90</v>
      </c>
      <c r="B32" t="s">
        <v>423</v>
      </c>
      <c r="C32">
        <v>1</v>
      </c>
      <c r="D32" t="s">
        <v>423</v>
      </c>
      <c r="E32" t="s">
        <v>47</v>
      </c>
      <c r="F32">
        <v>1</v>
      </c>
      <c r="G32">
        <v>805</v>
      </c>
      <c r="I32">
        <v>92</v>
      </c>
      <c r="J32" t="s">
        <v>423</v>
      </c>
      <c r="K32" s="3" t="b">
        <v>1</v>
      </c>
      <c r="M32">
        <v>91</v>
      </c>
      <c r="N32" t="s">
        <v>423</v>
      </c>
      <c r="O32" s="3" t="b">
        <v>1</v>
      </c>
    </row>
    <row r="33" spans="1:15">
      <c r="A33">
        <v>93</v>
      </c>
      <c r="B33" t="s">
        <v>427</v>
      </c>
      <c r="C33">
        <v>1</v>
      </c>
      <c r="D33" t="s">
        <v>427</v>
      </c>
      <c r="E33" t="s">
        <v>48</v>
      </c>
      <c r="F33">
        <v>1</v>
      </c>
      <c r="G33">
        <v>549</v>
      </c>
      <c r="I33">
        <v>95</v>
      </c>
      <c r="J33" t="s">
        <v>427</v>
      </c>
      <c r="K33" s="3" t="b">
        <v>1</v>
      </c>
      <c r="M33">
        <v>94</v>
      </c>
      <c r="N33" t="s">
        <v>427</v>
      </c>
      <c r="O33" s="3" t="b">
        <v>1</v>
      </c>
    </row>
    <row r="34" spans="1:15">
      <c r="A34">
        <v>96</v>
      </c>
      <c r="B34" t="s">
        <v>431</v>
      </c>
      <c r="C34">
        <v>1</v>
      </c>
      <c r="D34" t="s">
        <v>431</v>
      </c>
      <c r="E34" t="s">
        <v>49</v>
      </c>
      <c r="F34">
        <v>1</v>
      </c>
      <c r="G34">
        <v>829</v>
      </c>
      <c r="I34">
        <v>98</v>
      </c>
      <c r="J34" t="s">
        <v>431</v>
      </c>
      <c r="K34" s="3" t="b">
        <v>1</v>
      </c>
      <c r="M34">
        <v>97</v>
      </c>
      <c r="N34" t="s">
        <v>431</v>
      </c>
      <c r="O34" s="3" t="b">
        <v>1</v>
      </c>
    </row>
    <row r="35" spans="1:15">
      <c r="A35">
        <v>99</v>
      </c>
      <c r="B35" t="s">
        <v>435</v>
      </c>
      <c r="C35">
        <v>1</v>
      </c>
      <c r="D35" t="s">
        <v>435</v>
      </c>
      <c r="E35" t="s">
        <v>50</v>
      </c>
      <c r="F35">
        <v>1</v>
      </c>
      <c r="G35">
        <v>742</v>
      </c>
      <c r="I35">
        <v>101</v>
      </c>
      <c r="J35" t="s">
        <v>435</v>
      </c>
      <c r="K35" s="3" t="b">
        <v>1</v>
      </c>
      <c r="M35">
        <v>100</v>
      </c>
      <c r="N35" t="s">
        <v>435</v>
      </c>
      <c r="O35" s="3" t="b">
        <v>1</v>
      </c>
    </row>
    <row r="36" spans="1:15">
      <c r="A36">
        <v>102</v>
      </c>
      <c r="B36" t="s">
        <v>439</v>
      </c>
      <c r="C36">
        <v>1</v>
      </c>
      <c r="D36" t="s">
        <v>439</v>
      </c>
      <c r="E36" t="s">
        <v>51</v>
      </c>
      <c r="F36">
        <v>1</v>
      </c>
      <c r="G36">
        <v>909</v>
      </c>
      <c r="I36">
        <v>104</v>
      </c>
      <c r="J36" t="s">
        <v>439</v>
      </c>
      <c r="K36" s="3" t="b">
        <v>1</v>
      </c>
      <c r="M36">
        <v>103</v>
      </c>
      <c r="N36" t="s">
        <v>439</v>
      </c>
      <c r="O36" s="3" t="b">
        <v>1</v>
      </c>
    </row>
    <row r="37" spans="1:15">
      <c r="A37">
        <v>105</v>
      </c>
      <c r="B37" t="s">
        <v>443</v>
      </c>
      <c r="C37">
        <v>2</v>
      </c>
      <c r="D37" t="s">
        <v>443</v>
      </c>
      <c r="E37" t="s">
        <v>52</v>
      </c>
      <c r="F37">
        <v>1</v>
      </c>
      <c r="G37">
        <v>751</v>
      </c>
      <c r="I37">
        <v>109</v>
      </c>
      <c r="J37" t="s">
        <v>443</v>
      </c>
      <c r="K37" s="3" t="b">
        <v>1</v>
      </c>
      <c r="M37">
        <v>107</v>
      </c>
      <c r="N37" t="s">
        <v>443</v>
      </c>
      <c r="O37" s="3" t="b">
        <v>1</v>
      </c>
    </row>
    <row r="38" spans="1:15">
      <c r="A38">
        <v>106</v>
      </c>
      <c r="B38" t="s">
        <v>443</v>
      </c>
      <c r="C38">
        <v>2</v>
      </c>
      <c r="D38" t="s">
        <v>1132</v>
      </c>
      <c r="E38" t="s">
        <v>53</v>
      </c>
      <c r="F38">
        <v>1</v>
      </c>
      <c r="G38">
        <v>678</v>
      </c>
      <c r="I38">
        <v>110</v>
      </c>
      <c r="J38" t="s">
        <v>443</v>
      </c>
      <c r="K38" s="3" t="b">
        <v>1</v>
      </c>
      <c r="M38">
        <v>108</v>
      </c>
      <c r="N38" t="s">
        <v>443</v>
      </c>
      <c r="O38" s="3" t="b">
        <v>1</v>
      </c>
    </row>
    <row r="39" spans="1:15">
      <c r="A39">
        <v>111</v>
      </c>
      <c r="B39" t="s">
        <v>450</v>
      </c>
      <c r="C39">
        <v>2</v>
      </c>
      <c r="D39" t="s">
        <v>450</v>
      </c>
      <c r="E39" t="s">
        <v>54</v>
      </c>
      <c r="F39">
        <v>1</v>
      </c>
      <c r="G39">
        <v>741</v>
      </c>
      <c r="I39">
        <v>115</v>
      </c>
      <c r="J39" t="s">
        <v>450</v>
      </c>
      <c r="K39" s="3" t="b">
        <v>1</v>
      </c>
      <c r="M39">
        <v>113</v>
      </c>
      <c r="N39" t="s">
        <v>450</v>
      </c>
      <c r="O39" s="3" t="b">
        <v>1</v>
      </c>
    </row>
    <row r="40" spans="1:15">
      <c r="A40">
        <v>112</v>
      </c>
      <c r="B40" t="s">
        <v>450</v>
      </c>
      <c r="C40">
        <v>2</v>
      </c>
      <c r="D40" t="s">
        <v>1133</v>
      </c>
      <c r="E40" t="s">
        <v>55</v>
      </c>
      <c r="F40">
        <v>1</v>
      </c>
      <c r="G40">
        <v>1312</v>
      </c>
      <c r="I40">
        <v>116</v>
      </c>
      <c r="J40" t="s">
        <v>450</v>
      </c>
      <c r="K40" s="3" t="b">
        <v>1</v>
      </c>
      <c r="M40">
        <v>114</v>
      </c>
      <c r="N40" t="s">
        <v>450</v>
      </c>
      <c r="O40" s="3" t="b">
        <v>1</v>
      </c>
    </row>
    <row r="41" spans="1:15">
      <c r="A41">
        <v>117</v>
      </c>
      <c r="B41" t="s">
        <v>457</v>
      </c>
      <c r="C41">
        <v>1</v>
      </c>
      <c r="D41" t="s">
        <v>457</v>
      </c>
      <c r="E41" t="s">
        <v>56</v>
      </c>
      <c r="F41">
        <v>1</v>
      </c>
      <c r="G41">
        <v>1032</v>
      </c>
      <c r="I41">
        <v>119</v>
      </c>
      <c r="J41" t="s">
        <v>457</v>
      </c>
      <c r="K41" s="3" t="b">
        <v>1</v>
      </c>
      <c r="M41">
        <v>118</v>
      </c>
      <c r="N41" t="s">
        <v>457</v>
      </c>
      <c r="O41" s="3" t="b">
        <v>1</v>
      </c>
    </row>
    <row r="42" spans="1:15">
      <c r="A42">
        <v>120</v>
      </c>
      <c r="B42" t="s">
        <v>461</v>
      </c>
      <c r="C42">
        <v>1</v>
      </c>
      <c r="D42" t="s">
        <v>461</v>
      </c>
      <c r="E42" t="s">
        <v>57</v>
      </c>
      <c r="F42">
        <v>1</v>
      </c>
      <c r="G42">
        <v>747</v>
      </c>
      <c r="I42">
        <v>122</v>
      </c>
      <c r="J42" t="s">
        <v>461</v>
      </c>
      <c r="K42" s="3" t="b">
        <v>1</v>
      </c>
      <c r="M42">
        <v>121</v>
      </c>
      <c r="N42" t="s">
        <v>461</v>
      </c>
      <c r="O42" s="3" t="b">
        <v>1</v>
      </c>
    </row>
    <row r="43" spans="1:15">
      <c r="A43">
        <v>123</v>
      </c>
      <c r="B43" t="s">
        <v>465</v>
      </c>
      <c r="C43">
        <v>1</v>
      </c>
      <c r="D43" t="s">
        <v>465</v>
      </c>
      <c r="E43" t="s">
        <v>58</v>
      </c>
      <c r="F43">
        <v>1</v>
      </c>
      <c r="G43">
        <v>707</v>
      </c>
      <c r="I43">
        <v>125</v>
      </c>
      <c r="J43" t="s">
        <v>465</v>
      </c>
      <c r="K43" s="3" t="b">
        <v>1</v>
      </c>
      <c r="M43">
        <v>124</v>
      </c>
      <c r="N43" t="s">
        <v>465</v>
      </c>
      <c r="O43" s="3" t="b">
        <v>1</v>
      </c>
    </row>
    <row r="44" spans="1:15">
      <c r="A44">
        <v>126</v>
      </c>
      <c r="B44" t="s">
        <v>469</v>
      </c>
      <c r="C44">
        <v>2</v>
      </c>
      <c r="D44" t="s">
        <v>469</v>
      </c>
      <c r="E44" t="s">
        <v>59</v>
      </c>
      <c r="F44">
        <v>1</v>
      </c>
      <c r="G44">
        <v>1153</v>
      </c>
      <c r="I44">
        <v>130</v>
      </c>
      <c r="J44" t="s">
        <v>469</v>
      </c>
      <c r="K44" s="3" t="b">
        <v>1</v>
      </c>
      <c r="M44">
        <v>128</v>
      </c>
      <c r="N44" t="s">
        <v>469</v>
      </c>
      <c r="O44" s="3" t="b">
        <v>1</v>
      </c>
    </row>
    <row r="45" spans="1:15">
      <c r="A45">
        <v>127</v>
      </c>
      <c r="B45" t="s">
        <v>469</v>
      </c>
      <c r="C45">
        <v>2</v>
      </c>
      <c r="D45" t="s">
        <v>1134</v>
      </c>
      <c r="E45" t="s">
        <v>60</v>
      </c>
      <c r="F45">
        <v>1</v>
      </c>
      <c r="G45">
        <v>1598</v>
      </c>
      <c r="I45">
        <v>131</v>
      </c>
      <c r="J45" t="s">
        <v>469</v>
      </c>
      <c r="K45" s="3" t="b">
        <v>1</v>
      </c>
      <c r="M45">
        <v>129</v>
      </c>
      <c r="N45" t="s">
        <v>469</v>
      </c>
      <c r="O45" s="3" t="b">
        <v>1</v>
      </c>
    </row>
    <row r="46" spans="1:15">
      <c r="A46">
        <v>132</v>
      </c>
      <c r="B46" t="s">
        <v>476</v>
      </c>
      <c r="C46">
        <v>1</v>
      </c>
      <c r="D46" t="s">
        <v>476</v>
      </c>
      <c r="E46" t="s">
        <v>61</v>
      </c>
      <c r="F46">
        <v>1</v>
      </c>
      <c r="G46">
        <v>1496</v>
      </c>
      <c r="I46">
        <v>134</v>
      </c>
      <c r="J46" t="s">
        <v>476</v>
      </c>
      <c r="K46" s="3" t="b">
        <v>1</v>
      </c>
      <c r="M46">
        <v>133</v>
      </c>
      <c r="N46" t="s">
        <v>476</v>
      </c>
      <c r="O46" s="3" t="b">
        <v>1</v>
      </c>
    </row>
    <row r="47" spans="1:15">
      <c r="A47">
        <v>135</v>
      </c>
      <c r="B47" t="s">
        <v>480</v>
      </c>
      <c r="C47">
        <v>1</v>
      </c>
      <c r="D47" t="s">
        <v>480</v>
      </c>
      <c r="E47" t="s">
        <v>62</v>
      </c>
      <c r="F47">
        <v>1</v>
      </c>
      <c r="G47">
        <v>861</v>
      </c>
      <c r="I47">
        <v>137</v>
      </c>
      <c r="J47" t="s">
        <v>480</v>
      </c>
      <c r="K47" s="3" t="b">
        <v>1</v>
      </c>
      <c r="M47">
        <v>136</v>
      </c>
      <c r="N47" t="s">
        <v>480</v>
      </c>
      <c r="O47" s="3" t="b">
        <v>1</v>
      </c>
    </row>
    <row r="48" spans="1:15">
      <c r="A48">
        <v>138</v>
      </c>
      <c r="B48" t="s">
        <v>484</v>
      </c>
      <c r="C48">
        <v>1</v>
      </c>
      <c r="D48" t="s">
        <v>484</v>
      </c>
      <c r="E48" t="s">
        <v>63</v>
      </c>
      <c r="F48">
        <v>1</v>
      </c>
      <c r="G48">
        <v>1316</v>
      </c>
      <c r="I48">
        <v>140</v>
      </c>
      <c r="J48" t="s">
        <v>484</v>
      </c>
      <c r="K48" s="3" t="b">
        <v>1</v>
      </c>
      <c r="M48">
        <v>139</v>
      </c>
      <c r="N48" t="s">
        <v>484</v>
      </c>
      <c r="O48" s="3" t="b">
        <v>1</v>
      </c>
    </row>
    <row r="49" spans="1:15">
      <c r="A49">
        <v>141</v>
      </c>
      <c r="B49" t="s">
        <v>488</v>
      </c>
      <c r="C49">
        <v>1</v>
      </c>
      <c r="D49" t="s">
        <v>488</v>
      </c>
      <c r="E49" t="s">
        <v>64</v>
      </c>
      <c r="F49">
        <v>1</v>
      </c>
      <c r="G49">
        <v>1032</v>
      </c>
      <c r="I49">
        <v>143</v>
      </c>
      <c r="J49" t="s">
        <v>488</v>
      </c>
      <c r="K49" s="3" t="b">
        <v>1</v>
      </c>
      <c r="M49">
        <v>142</v>
      </c>
      <c r="N49" t="s">
        <v>488</v>
      </c>
      <c r="O49" s="3" t="b">
        <v>1</v>
      </c>
    </row>
    <row r="50" spans="1:15">
      <c r="A50">
        <v>144</v>
      </c>
      <c r="B50" t="s">
        <v>492</v>
      </c>
      <c r="C50">
        <v>1</v>
      </c>
      <c r="D50" t="s">
        <v>492</v>
      </c>
      <c r="E50" t="s">
        <v>65</v>
      </c>
      <c r="F50">
        <v>1</v>
      </c>
      <c r="G50">
        <v>1272</v>
      </c>
      <c r="I50">
        <v>146</v>
      </c>
      <c r="J50" t="s">
        <v>492</v>
      </c>
      <c r="K50" s="3" t="b">
        <v>1</v>
      </c>
      <c r="M50">
        <v>145</v>
      </c>
      <c r="N50" t="s">
        <v>492</v>
      </c>
      <c r="O50" s="3" t="b">
        <v>1</v>
      </c>
    </row>
    <row r="51" spans="1:15">
      <c r="A51">
        <v>147</v>
      </c>
      <c r="B51" t="s">
        <v>496</v>
      </c>
      <c r="C51">
        <v>1</v>
      </c>
      <c r="D51" t="s">
        <v>496</v>
      </c>
      <c r="E51" t="s">
        <v>66</v>
      </c>
      <c r="F51">
        <v>1</v>
      </c>
      <c r="G51">
        <v>1221</v>
      </c>
      <c r="I51">
        <v>149</v>
      </c>
      <c r="J51" t="s">
        <v>496</v>
      </c>
      <c r="K51" s="3" t="b">
        <v>1</v>
      </c>
      <c r="M51">
        <v>148</v>
      </c>
      <c r="N51" t="s">
        <v>496</v>
      </c>
      <c r="O51" s="3" t="b">
        <v>1</v>
      </c>
    </row>
    <row r="52" spans="1:15">
      <c r="A52">
        <v>151</v>
      </c>
      <c r="B52" t="s">
        <v>500</v>
      </c>
      <c r="C52">
        <v>2</v>
      </c>
      <c r="D52" t="s">
        <v>500</v>
      </c>
      <c r="E52" t="s">
        <v>68</v>
      </c>
      <c r="F52">
        <v>1</v>
      </c>
      <c r="G52">
        <v>1067</v>
      </c>
      <c r="I52">
        <v>155</v>
      </c>
      <c r="J52" t="s">
        <v>500</v>
      </c>
      <c r="K52" s="3" t="b">
        <v>1</v>
      </c>
      <c r="M52">
        <v>153</v>
      </c>
      <c r="N52" t="s">
        <v>500</v>
      </c>
      <c r="O52" s="3" t="b">
        <v>1</v>
      </c>
    </row>
    <row r="53" spans="1:15">
      <c r="A53">
        <v>150</v>
      </c>
      <c r="B53" t="s">
        <v>500</v>
      </c>
      <c r="C53">
        <v>2</v>
      </c>
      <c r="D53" t="s">
        <v>1135</v>
      </c>
      <c r="E53" t="s">
        <v>69</v>
      </c>
      <c r="F53">
        <v>1</v>
      </c>
      <c r="G53">
        <v>815</v>
      </c>
      <c r="I53">
        <v>154</v>
      </c>
      <c r="J53" t="s">
        <v>500</v>
      </c>
      <c r="K53" s="3" t="b">
        <v>1</v>
      </c>
      <c r="M53">
        <v>152</v>
      </c>
      <c r="N53" t="s">
        <v>500</v>
      </c>
      <c r="O53" s="3" t="b">
        <v>1</v>
      </c>
    </row>
    <row r="54" spans="1:15">
      <c r="A54">
        <v>156</v>
      </c>
      <c r="B54" t="s">
        <v>507</v>
      </c>
      <c r="C54">
        <v>1</v>
      </c>
      <c r="D54" t="s">
        <v>507</v>
      </c>
      <c r="E54" t="s">
        <v>70</v>
      </c>
      <c r="F54">
        <v>1</v>
      </c>
      <c r="G54">
        <v>375</v>
      </c>
      <c r="I54">
        <v>158</v>
      </c>
      <c r="J54" t="s">
        <v>507</v>
      </c>
      <c r="K54" s="3" t="b">
        <v>1</v>
      </c>
      <c r="M54">
        <v>157</v>
      </c>
      <c r="N54" t="s">
        <v>507</v>
      </c>
      <c r="O54" s="3" t="b">
        <v>1</v>
      </c>
    </row>
    <row r="55" spans="1:15">
      <c r="A55">
        <v>159</v>
      </c>
      <c r="B55" t="s">
        <v>511</v>
      </c>
      <c r="C55">
        <v>1</v>
      </c>
      <c r="D55" t="s">
        <v>511</v>
      </c>
      <c r="E55" t="s">
        <v>71</v>
      </c>
      <c r="F55">
        <v>1</v>
      </c>
      <c r="G55">
        <v>569</v>
      </c>
      <c r="I55">
        <v>161</v>
      </c>
      <c r="J55" t="s">
        <v>511</v>
      </c>
      <c r="K55" s="3" t="b">
        <v>1</v>
      </c>
      <c r="M55">
        <v>160</v>
      </c>
      <c r="N55" t="s">
        <v>511</v>
      </c>
      <c r="O55" s="3" t="b">
        <v>1</v>
      </c>
    </row>
    <row r="56" spans="1:15">
      <c r="A56">
        <v>162</v>
      </c>
      <c r="B56" t="s">
        <v>515</v>
      </c>
      <c r="C56">
        <v>1</v>
      </c>
      <c r="D56" t="s">
        <v>515</v>
      </c>
      <c r="E56" t="s">
        <v>72</v>
      </c>
      <c r="F56">
        <v>1</v>
      </c>
      <c r="G56">
        <v>534</v>
      </c>
      <c r="I56">
        <v>164</v>
      </c>
      <c r="J56" t="s">
        <v>515</v>
      </c>
      <c r="K56" s="3" t="b">
        <v>1</v>
      </c>
      <c r="M56">
        <v>163</v>
      </c>
      <c r="N56" t="s">
        <v>515</v>
      </c>
      <c r="O56" s="3" t="b">
        <v>1</v>
      </c>
    </row>
    <row r="57" spans="1:15">
      <c r="A57">
        <v>165</v>
      </c>
      <c r="B57" t="s">
        <v>518</v>
      </c>
      <c r="C57">
        <v>1</v>
      </c>
      <c r="D57" t="s">
        <v>518</v>
      </c>
      <c r="E57" t="s">
        <v>73</v>
      </c>
      <c r="F57">
        <v>1</v>
      </c>
      <c r="G57">
        <v>835</v>
      </c>
      <c r="I57">
        <v>167</v>
      </c>
      <c r="J57" t="s">
        <v>518</v>
      </c>
      <c r="K57" s="3" t="b">
        <v>1</v>
      </c>
      <c r="M57">
        <v>166</v>
      </c>
      <c r="N57" t="s">
        <v>518</v>
      </c>
      <c r="O57" s="3" t="b">
        <v>1</v>
      </c>
    </row>
    <row r="58" spans="1:15">
      <c r="A58">
        <v>168</v>
      </c>
      <c r="B58" t="s">
        <v>522</v>
      </c>
      <c r="C58">
        <v>1</v>
      </c>
      <c r="D58" t="s">
        <v>522</v>
      </c>
      <c r="E58" t="s">
        <v>74</v>
      </c>
      <c r="F58">
        <v>1</v>
      </c>
      <c r="G58">
        <v>521</v>
      </c>
      <c r="I58">
        <v>170</v>
      </c>
      <c r="J58" t="s">
        <v>522</v>
      </c>
      <c r="K58" s="3" t="b">
        <v>1</v>
      </c>
      <c r="M58">
        <v>169</v>
      </c>
      <c r="N58" t="s">
        <v>522</v>
      </c>
      <c r="O58" s="3" t="b">
        <v>1</v>
      </c>
    </row>
    <row r="59" spans="1:15">
      <c r="A59">
        <v>173</v>
      </c>
      <c r="B59" t="s">
        <v>526</v>
      </c>
      <c r="C59">
        <v>4</v>
      </c>
      <c r="D59" t="s">
        <v>526</v>
      </c>
      <c r="E59" t="s">
        <v>75</v>
      </c>
      <c r="F59">
        <v>1</v>
      </c>
      <c r="G59">
        <v>830</v>
      </c>
      <c r="I59">
        <v>181</v>
      </c>
      <c r="J59" t="s">
        <v>526</v>
      </c>
      <c r="K59" s="3" t="b">
        <v>1</v>
      </c>
      <c r="M59">
        <v>177</v>
      </c>
      <c r="N59" t="s">
        <v>526</v>
      </c>
      <c r="O59" s="3" t="b">
        <v>1</v>
      </c>
    </row>
    <row r="60" spans="1:15">
      <c r="A60">
        <v>174</v>
      </c>
      <c r="B60" t="s">
        <v>526</v>
      </c>
      <c r="C60">
        <v>4</v>
      </c>
      <c r="D60" t="s">
        <v>1136</v>
      </c>
      <c r="E60" t="s">
        <v>76</v>
      </c>
      <c r="F60">
        <v>1</v>
      </c>
      <c r="G60">
        <v>1021</v>
      </c>
      <c r="I60">
        <v>182</v>
      </c>
      <c r="J60" t="s">
        <v>526</v>
      </c>
      <c r="K60" s="3" t="b">
        <v>1</v>
      </c>
      <c r="M60">
        <v>178</v>
      </c>
      <c r="N60" t="s">
        <v>526</v>
      </c>
      <c r="O60" s="3" t="b">
        <v>1</v>
      </c>
    </row>
    <row r="61" spans="1:15">
      <c r="A61">
        <v>171</v>
      </c>
      <c r="B61" t="s">
        <v>526</v>
      </c>
      <c r="C61">
        <v>4</v>
      </c>
      <c r="D61" t="s">
        <v>1137</v>
      </c>
      <c r="E61" t="s">
        <v>77</v>
      </c>
      <c r="F61">
        <v>1</v>
      </c>
      <c r="G61">
        <v>682</v>
      </c>
      <c r="I61">
        <v>179</v>
      </c>
      <c r="J61" t="s">
        <v>526</v>
      </c>
      <c r="K61" s="3" t="b">
        <v>1</v>
      </c>
      <c r="M61">
        <v>175</v>
      </c>
      <c r="N61" t="s">
        <v>526</v>
      </c>
      <c r="O61" s="3" t="b">
        <v>1</v>
      </c>
    </row>
    <row r="62" spans="1:15">
      <c r="A62">
        <v>172</v>
      </c>
      <c r="B62" t="s">
        <v>526</v>
      </c>
      <c r="C62">
        <v>4</v>
      </c>
      <c r="D62" t="s">
        <v>1138</v>
      </c>
      <c r="E62" t="s">
        <v>78</v>
      </c>
      <c r="F62">
        <v>1</v>
      </c>
      <c r="G62">
        <v>735</v>
      </c>
      <c r="I62">
        <v>180</v>
      </c>
      <c r="J62" t="s">
        <v>526</v>
      </c>
      <c r="K62" s="3" t="b">
        <v>1</v>
      </c>
      <c r="M62">
        <v>176</v>
      </c>
      <c r="N62" t="s">
        <v>526</v>
      </c>
      <c r="O62" s="3" t="b">
        <v>1</v>
      </c>
    </row>
    <row r="63" spans="1:15">
      <c r="A63">
        <v>183</v>
      </c>
      <c r="B63" t="s">
        <v>539</v>
      </c>
      <c r="C63">
        <v>1</v>
      </c>
      <c r="D63" t="s">
        <v>539</v>
      </c>
      <c r="E63" t="s">
        <v>80</v>
      </c>
      <c r="F63">
        <v>1</v>
      </c>
      <c r="G63">
        <v>1162</v>
      </c>
      <c r="I63">
        <v>185</v>
      </c>
      <c r="J63" t="s">
        <v>539</v>
      </c>
      <c r="K63" s="3" t="b">
        <v>1</v>
      </c>
      <c r="M63">
        <v>184</v>
      </c>
      <c r="N63" t="s">
        <v>539</v>
      </c>
      <c r="O63" s="3" t="b">
        <v>1</v>
      </c>
    </row>
    <row r="64" spans="1:15">
      <c r="A64">
        <v>186</v>
      </c>
      <c r="B64" t="s">
        <v>543</v>
      </c>
      <c r="C64">
        <v>1</v>
      </c>
      <c r="D64" t="s">
        <v>543</v>
      </c>
      <c r="E64" t="s">
        <v>81</v>
      </c>
      <c r="F64">
        <v>1</v>
      </c>
      <c r="G64">
        <v>724</v>
      </c>
      <c r="I64">
        <v>188</v>
      </c>
      <c r="J64" t="s">
        <v>543</v>
      </c>
      <c r="K64" s="3" t="b">
        <v>1</v>
      </c>
      <c r="M64">
        <v>187</v>
      </c>
      <c r="N64" t="s">
        <v>543</v>
      </c>
      <c r="O64" s="3" t="b">
        <v>1</v>
      </c>
    </row>
    <row r="65" spans="1:15">
      <c r="A65">
        <v>189</v>
      </c>
      <c r="B65" t="s">
        <v>547</v>
      </c>
      <c r="C65">
        <v>1</v>
      </c>
      <c r="D65" t="s">
        <v>547</v>
      </c>
      <c r="E65" t="s">
        <v>82</v>
      </c>
      <c r="F65">
        <v>1</v>
      </c>
      <c r="G65">
        <v>237</v>
      </c>
      <c r="I65">
        <v>191</v>
      </c>
      <c r="J65" t="s">
        <v>547</v>
      </c>
      <c r="K65" s="3" t="b">
        <v>1</v>
      </c>
      <c r="M65">
        <v>190</v>
      </c>
      <c r="N65" t="s">
        <v>547</v>
      </c>
      <c r="O65" s="3" t="b">
        <v>1</v>
      </c>
    </row>
    <row r="66" spans="1:15">
      <c r="A66">
        <v>192</v>
      </c>
      <c r="B66" t="s">
        <v>550</v>
      </c>
      <c r="C66">
        <v>1</v>
      </c>
      <c r="D66" t="s">
        <v>550</v>
      </c>
      <c r="E66" t="s">
        <v>98</v>
      </c>
      <c r="F66">
        <v>1</v>
      </c>
      <c r="G66">
        <v>6460.98</v>
      </c>
      <c r="I66">
        <v>194</v>
      </c>
      <c r="J66" t="s">
        <v>550</v>
      </c>
      <c r="K66" s="3" t="b">
        <v>1</v>
      </c>
      <c r="M66">
        <v>193</v>
      </c>
      <c r="N66" t="s">
        <v>550</v>
      </c>
      <c r="O66" s="3" t="b">
        <v>1</v>
      </c>
    </row>
    <row r="67" spans="1:15">
      <c r="A67">
        <v>195</v>
      </c>
      <c r="B67" t="s">
        <v>551</v>
      </c>
      <c r="C67">
        <v>2</v>
      </c>
      <c r="D67" t="s">
        <v>551</v>
      </c>
      <c r="E67" t="s">
        <v>83</v>
      </c>
      <c r="F67">
        <v>1</v>
      </c>
      <c r="G67">
        <v>5623.47</v>
      </c>
      <c r="I67">
        <v>199</v>
      </c>
      <c r="J67" t="s">
        <v>551</v>
      </c>
      <c r="K67" s="3" t="b">
        <v>1</v>
      </c>
      <c r="M67">
        <v>197</v>
      </c>
      <c r="N67" t="s">
        <v>551</v>
      </c>
      <c r="O67" s="3" t="b">
        <v>1</v>
      </c>
    </row>
    <row r="68" spans="1:15">
      <c r="A68">
        <v>196</v>
      </c>
      <c r="B68" t="s">
        <v>551</v>
      </c>
      <c r="C68">
        <v>2</v>
      </c>
      <c r="D68" t="s">
        <v>1139</v>
      </c>
      <c r="E68" t="s">
        <v>91</v>
      </c>
      <c r="F68">
        <v>1</v>
      </c>
      <c r="G68">
        <v>707.75599999999997</v>
      </c>
      <c r="I68">
        <v>200</v>
      </c>
      <c r="J68" t="s">
        <v>551</v>
      </c>
      <c r="K68" s="3" t="b">
        <v>1</v>
      </c>
      <c r="M68">
        <v>198</v>
      </c>
      <c r="N68" t="s">
        <v>551</v>
      </c>
      <c r="O68" s="3" t="b">
        <v>1</v>
      </c>
    </row>
    <row r="69" spans="1:15">
      <c r="A69">
        <v>201</v>
      </c>
      <c r="B69" t="s">
        <v>552</v>
      </c>
      <c r="C69">
        <v>1</v>
      </c>
      <c r="D69" t="s">
        <v>552</v>
      </c>
      <c r="E69" t="s">
        <v>87</v>
      </c>
      <c r="F69">
        <v>1</v>
      </c>
      <c r="G69">
        <v>857.18899999999996</v>
      </c>
      <c r="I69">
        <v>203</v>
      </c>
      <c r="J69" t="s">
        <v>552</v>
      </c>
      <c r="K69" s="3" t="b">
        <v>1</v>
      </c>
      <c r="M69">
        <v>202</v>
      </c>
      <c r="N69" t="s">
        <v>552</v>
      </c>
      <c r="O69" s="3" t="b">
        <v>1</v>
      </c>
    </row>
    <row r="70" spans="1:15">
      <c r="A70">
        <v>204</v>
      </c>
      <c r="B70" t="s">
        <v>553</v>
      </c>
      <c r="C70">
        <v>1</v>
      </c>
      <c r="D70" t="s">
        <v>553</v>
      </c>
      <c r="E70" t="s">
        <v>102</v>
      </c>
      <c r="F70">
        <v>1</v>
      </c>
      <c r="G70">
        <v>579.70202600000005</v>
      </c>
      <c r="I70">
        <v>206</v>
      </c>
      <c r="J70" t="s">
        <v>553</v>
      </c>
      <c r="K70" s="3" t="b">
        <v>1</v>
      </c>
      <c r="M70">
        <v>205</v>
      </c>
      <c r="N70" t="s">
        <v>553</v>
      </c>
      <c r="O70" s="3" t="b">
        <v>1</v>
      </c>
    </row>
    <row r="71" spans="1:15">
      <c r="A71">
        <v>207</v>
      </c>
      <c r="B71" t="s">
        <v>554</v>
      </c>
      <c r="C71">
        <v>1</v>
      </c>
      <c r="D71" t="s">
        <v>554</v>
      </c>
      <c r="E71" t="s">
        <v>99</v>
      </c>
      <c r="F71">
        <v>1</v>
      </c>
      <c r="G71">
        <v>8400.33</v>
      </c>
      <c r="I71">
        <v>209</v>
      </c>
      <c r="J71" t="s">
        <v>554</v>
      </c>
      <c r="K71" s="3" t="b">
        <v>1</v>
      </c>
      <c r="M71">
        <v>208</v>
      </c>
      <c r="N71" t="s">
        <v>554</v>
      </c>
      <c r="O71" s="3" t="b">
        <v>1</v>
      </c>
    </row>
    <row r="72" spans="1:15">
      <c r="A72">
        <v>210</v>
      </c>
      <c r="B72" t="s">
        <v>555</v>
      </c>
      <c r="C72">
        <v>1</v>
      </c>
      <c r="D72" t="s">
        <v>555</v>
      </c>
      <c r="E72" t="s">
        <v>92</v>
      </c>
      <c r="F72">
        <v>1</v>
      </c>
      <c r="G72">
        <v>995.13300000000004</v>
      </c>
      <c r="I72">
        <v>212</v>
      </c>
      <c r="J72" t="s">
        <v>555</v>
      </c>
      <c r="K72" s="3" t="b">
        <v>1</v>
      </c>
      <c r="M72">
        <v>211</v>
      </c>
      <c r="N72" t="s">
        <v>555</v>
      </c>
      <c r="O72" s="3" t="b">
        <v>1</v>
      </c>
    </row>
    <row r="73" spans="1:15">
      <c r="A73">
        <v>214</v>
      </c>
      <c r="B73" t="s">
        <v>556</v>
      </c>
      <c r="C73">
        <v>2</v>
      </c>
      <c r="D73" t="s">
        <v>556</v>
      </c>
      <c r="E73" t="s">
        <v>88</v>
      </c>
      <c r="F73">
        <v>1</v>
      </c>
      <c r="G73">
        <v>1080.55</v>
      </c>
      <c r="I73">
        <v>218</v>
      </c>
      <c r="J73" t="s">
        <v>556</v>
      </c>
      <c r="K73" s="3" t="b">
        <v>1</v>
      </c>
      <c r="M73">
        <v>216</v>
      </c>
      <c r="N73" t="s">
        <v>556</v>
      </c>
      <c r="O73" s="3" t="b">
        <v>1</v>
      </c>
    </row>
    <row r="74" spans="1:15">
      <c r="A74">
        <v>213</v>
      </c>
      <c r="B74" t="s">
        <v>556</v>
      </c>
      <c r="C74">
        <v>2</v>
      </c>
      <c r="D74" t="s">
        <v>1140</v>
      </c>
      <c r="E74" t="s">
        <v>94</v>
      </c>
      <c r="F74">
        <v>1</v>
      </c>
      <c r="G74">
        <v>8404.61</v>
      </c>
      <c r="I74">
        <v>217</v>
      </c>
      <c r="J74" t="s">
        <v>556</v>
      </c>
      <c r="K74" s="3" t="b">
        <v>1</v>
      </c>
      <c r="M74">
        <v>215</v>
      </c>
      <c r="N74" t="s">
        <v>556</v>
      </c>
      <c r="O74" s="3" t="b">
        <v>1</v>
      </c>
    </row>
    <row r="75" spans="1:15">
      <c r="A75">
        <v>219</v>
      </c>
      <c r="B75" t="s">
        <v>557</v>
      </c>
      <c r="C75">
        <v>1</v>
      </c>
      <c r="D75" t="s">
        <v>557</v>
      </c>
      <c r="E75" t="s">
        <v>84</v>
      </c>
      <c r="F75">
        <v>1</v>
      </c>
      <c r="G75">
        <v>735.42730700000004</v>
      </c>
      <c r="I75">
        <v>221</v>
      </c>
      <c r="J75" t="s">
        <v>557</v>
      </c>
      <c r="K75" s="3" t="b">
        <v>1</v>
      </c>
      <c r="M75">
        <v>220</v>
      </c>
      <c r="N75" t="s">
        <v>557</v>
      </c>
      <c r="O75" s="3" t="b">
        <v>1</v>
      </c>
    </row>
    <row r="76" spans="1:15">
      <c r="A76">
        <v>223</v>
      </c>
      <c r="B76" t="s">
        <v>558</v>
      </c>
      <c r="C76">
        <v>2</v>
      </c>
      <c r="D76" t="s">
        <v>558</v>
      </c>
      <c r="E76" t="s">
        <v>93</v>
      </c>
      <c r="F76">
        <v>1</v>
      </c>
      <c r="G76">
        <v>1365.6</v>
      </c>
      <c r="I76">
        <v>227</v>
      </c>
      <c r="J76" t="s">
        <v>558</v>
      </c>
      <c r="K76" s="3" t="b">
        <v>1</v>
      </c>
      <c r="M76">
        <v>225</v>
      </c>
      <c r="N76" t="s">
        <v>558</v>
      </c>
      <c r="O76" s="3" t="b">
        <v>1</v>
      </c>
    </row>
    <row r="77" spans="1:15">
      <c r="A77">
        <v>222</v>
      </c>
      <c r="B77" t="s">
        <v>558</v>
      </c>
      <c r="C77">
        <v>2</v>
      </c>
      <c r="D77" t="s">
        <v>1141</v>
      </c>
      <c r="E77" t="s">
        <v>100</v>
      </c>
      <c r="F77">
        <v>1</v>
      </c>
      <c r="G77">
        <v>10102.700000000001</v>
      </c>
      <c r="I77">
        <v>226</v>
      </c>
      <c r="J77" t="s">
        <v>558</v>
      </c>
      <c r="K77" s="3" t="b">
        <v>1</v>
      </c>
      <c r="M77">
        <v>224</v>
      </c>
      <c r="N77" t="s">
        <v>558</v>
      </c>
      <c r="O77" s="3" t="b">
        <v>1</v>
      </c>
    </row>
    <row r="78" spans="1:15">
      <c r="A78">
        <v>228</v>
      </c>
      <c r="B78" t="s">
        <v>559</v>
      </c>
      <c r="C78">
        <v>1</v>
      </c>
      <c r="D78" t="s">
        <v>559</v>
      </c>
      <c r="E78" t="s">
        <v>89</v>
      </c>
      <c r="F78">
        <v>1</v>
      </c>
      <c r="G78">
        <v>1337.2677000000001</v>
      </c>
      <c r="I78">
        <v>230</v>
      </c>
      <c r="J78" t="s">
        <v>559</v>
      </c>
      <c r="K78" s="3" t="b">
        <v>1</v>
      </c>
      <c r="M78">
        <v>229</v>
      </c>
      <c r="N78" t="s">
        <v>559</v>
      </c>
      <c r="O78" s="3" t="b">
        <v>1</v>
      </c>
    </row>
    <row r="79" spans="1:15">
      <c r="A79">
        <v>231</v>
      </c>
      <c r="B79" t="s">
        <v>560</v>
      </c>
      <c r="C79">
        <v>1</v>
      </c>
      <c r="D79" t="s">
        <v>560</v>
      </c>
      <c r="E79" t="s">
        <v>85</v>
      </c>
      <c r="F79">
        <v>1</v>
      </c>
      <c r="G79">
        <v>911.98016399999995</v>
      </c>
      <c r="I79">
        <v>233</v>
      </c>
      <c r="J79" t="s">
        <v>560</v>
      </c>
      <c r="K79" s="3" t="b">
        <v>1</v>
      </c>
      <c r="M79">
        <v>232</v>
      </c>
      <c r="N79" t="s">
        <v>560</v>
      </c>
      <c r="O79" s="3" t="b">
        <v>1</v>
      </c>
    </row>
    <row r="80" spans="1:15">
      <c r="A80">
        <v>234</v>
      </c>
      <c r="B80" t="s">
        <v>561</v>
      </c>
      <c r="C80">
        <v>1</v>
      </c>
      <c r="D80" t="s">
        <v>561</v>
      </c>
      <c r="E80" t="s">
        <v>96</v>
      </c>
      <c r="F80">
        <v>1</v>
      </c>
      <c r="G80">
        <v>10997.8</v>
      </c>
      <c r="I80">
        <v>236</v>
      </c>
      <c r="J80" t="s">
        <v>561</v>
      </c>
      <c r="K80" s="3" t="b">
        <v>1</v>
      </c>
      <c r="M80">
        <v>235</v>
      </c>
      <c r="N80" t="s">
        <v>561</v>
      </c>
      <c r="O80" s="3" t="b">
        <v>1</v>
      </c>
    </row>
    <row r="81" spans="1:20">
      <c r="A81">
        <v>237</v>
      </c>
      <c r="B81" t="s">
        <v>562</v>
      </c>
      <c r="C81">
        <v>1</v>
      </c>
      <c r="D81" t="s">
        <v>562</v>
      </c>
      <c r="E81" t="s">
        <v>95</v>
      </c>
      <c r="F81">
        <v>1</v>
      </c>
      <c r="G81">
        <v>1817.59</v>
      </c>
      <c r="I81">
        <v>239</v>
      </c>
      <c r="J81" t="s">
        <v>562</v>
      </c>
      <c r="K81" s="3" t="b">
        <v>1</v>
      </c>
      <c r="M81">
        <v>238</v>
      </c>
      <c r="N81" t="s">
        <v>562</v>
      </c>
      <c r="O81" s="3" t="b">
        <v>1</v>
      </c>
    </row>
    <row r="82" spans="1:20">
      <c r="A82">
        <v>240</v>
      </c>
      <c r="B82" t="s">
        <v>563</v>
      </c>
      <c r="C82">
        <v>1</v>
      </c>
      <c r="D82" t="s">
        <v>563</v>
      </c>
      <c r="E82" t="s">
        <v>101</v>
      </c>
      <c r="F82">
        <v>1</v>
      </c>
      <c r="G82">
        <v>11635.3</v>
      </c>
      <c r="I82">
        <v>242</v>
      </c>
      <c r="J82" t="s">
        <v>563</v>
      </c>
      <c r="K82" s="3" t="b">
        <v>1</v>
      </c>
      <c r="M82">
        <v>241</v>
      </c>
      <c r="N82" t="s">
        <v>563</v>
      </c>
      <c r="O82" s="3" t="b">
        <v>1</v>
      </c>
    </row>
    <row r="83" spans="1:20">
      <c r="A83">
        <v>244</v>
      </c>
      <c r="B83" t="s">
        <v>564</v>
      </c>
      <c r="C83">
        <v>2</v>
      </c>
      <c r="D83" t="s">
        <v>564</v>
      </c>
      <c r="E83" t="s">
        <v>90</v>
      </c>
      <c r="F83">
        <v>1</v>
      </c>
      <c r="G83">
        <v>1611.276968829284</v>
      </c>
      <c r="I83">
        <v>248</v>
      </c>
      <c r="J83" t="s">
        <v>564</v>
      </c>
      <c r="K83" s="3" t="b">
        <v>1</v>
      </c>
      <c r="M83">
        <v>246</v>
      </c>
      <c r="N83" t="s">
        <v>564</v>
      </c>
      <c r="O83" s="3" t="b">
        <v>1</v>
      </c>
    </row>
    <row r="84" spans="1:20">
      <c r="A84">
        <v>243</v>
      </c>
      <c r="B84" t="s">
        <v>564</v>
      </c>
      <c r="C84">
        <v>2</v>
      </c>
      <c r="D84" t="s">
        <v>1142</v>
      </c>
      <c r="E84" t="s">
        <v>97</v>
      </c>
      <c r="F84">
        <v>1</v>
      </c>
      <c r="G84">
        <v>13588.6</v>
      </c>
      <c r="I84">
        <v>247</v>
      </c>
      <c r="J84" t="s">
        <v>564</v>
      </c>
      <c r="K84" s="3" t="b">
        <v>1</v>
      </c>
      <c r="M84">
        <v>245</v>
      </c>
      <c r="N84" t="s">
        <v>564</v>
      </c>
      <c r="O84" s="3" t="b">
        <v>1</v>
      </c>
    </row>
    <row r="85" spans="1:20">
      <c r="A85">
        <v>249</v>
      </c>
      <c r="B85" t="s">
        <v>565</v>
      </c>
      <c r="C85">
        <v>1</v>
      </c>
      <c r="D85" t="s">
        <v>565</v>
      </c>
      <c r="E85" t="s">
        <v>86</v>
      </c>
      <c r="F85">
        <v>1</v>
      </c>
      <c r="G85">
        <v>1100.665283</v>
      </c>
      <c r="I85">
        <v>251</v>
      </c>
      <c r="J85" t="s">
        <v>565</v>
      </c>
      <c r="K85" s="3" t="b">
        <v>1</v>
      </c>
      <c r="M85">
        <v>250</v>
      </c>
      <c r="N85" t="s">
        <v>565</v>
      </c>
      <c r="O85" s="3" t="b">
        <v>1</v>
      </c>
    </row>
    <row r="86" spans="1:20">
      <c r="A86">
        <v>252</v>
      </c>
      <c r="B86" t="s">
        <v>566</v>
      </c>
      <c r="C86">
        <v>1</v>
      </c>
      <c r="D86" t="s">
        <v>566</v>
      </c>
      <c r="E86" t="s">
        <v>112</v>
      </c>
      <c r="F86">
        <v>1</v>
      </c>
      <c r="G86">
        <v>31742.63854</v>
      </c>
      <c r="I86">
        <v>255</v>
      </c>
      <c r="J86" t="s">
        <v>566</v>
      </c>
      <c r="K86" s="3" t="b">
        <v>1</v>
      </c>
      <c r="M86">
        <v>253</v>
      </c>
      <c r="N86" t="s">
        <v>566</v>
      </c>
      <c r="O86" s="3" t="b">
        <v>1</v>
      </c>
    </row>
    <row r="87" spans="1:20">
      <c r="A87">
        <v>256</v>
      </c>
      <c r="B87" t="s">
        <v>567</v>
      </c>
      <c r="C87">
        <v>1</v>
      </c>
      <c r="D87" t="s">
        <v>567</v>
      </c>
      <c r="E87" t="s">
        <v>113</v>
      </c>
      <c r="F87">
        <v>1</v>
      </c>
      <c r="G87">
        <v>34330.940040000001</v>
      </c>
      <c r="I87">
        <v>258</v>
      </c>
      <c r="J87" t="s">
        <v>567</v>
      </c>
      <c r="K87" s="3" t="b">
        <v>1</v>
      </c>
      <c r="M87">
        <v>257</v>
      </c>
      <c r="N87" t="s">
        <v>567</v>
      </c>
      <c r="O87" s="3" t="b">
        <v>1</v>
      </c>
      <c r="R87">
        <v>254</v>
      </c>
      <c r="S87" t="s">
        <v>566</v>
      </c>
      <c r="T87" s="3" t="b">
        <v>0</v>
      </c>
    </row>
    <row r="88" spans="1:20">
      <c r="A88">
        <v>259</v>
      </c>
      <c r="B88" t="s">
        <v>568</v>
      </c>
      <c r="C88">
        <v>1</v>
      </c>
      <c r="D88" t="s">
        <v>568</v>
      </c>
      <c r="E88" t="s">
        <v>114</v>
      </c>
      <c r="F88">
        <v>1</v>
      </c>
      <c r="G88">
        <v>37159.412949999998</v>
      </c>
      <c r="I88">
        <v>261</v>
      </c>
      <c r="J88" t="s">
        <v>568</v>
      </c>
      <c r="K88" s="3" t="b">
        <v>1</v>
      </c>
      <c r="M88">
        <v>260</v>
      </c>
      <c r="N88" t="s">
        <v>568</v>
      </c>
      <c r="O88" s="3" t="b">
        <v>1</v>
      </c>
    </row>
    <row r="89" spans="1:20">
      <c r="A89">
        <v>262</v>
      </c>
      <c r="B89" t="s">
        <v>569</v>
      </c>
      <c r="C89">
        <v>1</v>
      </c>
      <c r="D89" t="s">
        <v>569</v>
      </c>
      <c r="E89" t="s">
        <v>103</v>
      </c>
      <c r="F89">
        <v>1</v>
      </c>
      <c r="G89">
        <v>16212.82548</v>
      </c>
      <c r="I89">
        <v>264</v>
      </c>
      <c r="J89" t="s">
        <v>569</v>
      </c>
      <c r="K89" s="3" t="b">
        <v>1</v>
      </c>
      <c r="M89">
        <v>263</v>
      </c>
      <c r="N89" t="s">
        <v>569</v>
      </c>
      <c r="O89" s="3" t="b">
        <v>1</v>
      </c>
    </row>
    <row r="90" spans="1:20">
      <c r="A90">
        <v>265</v>
      </c>
      <c r="B90" t="s">
        <v>570</v>
      </c>
      <c r="C90">
        <v>1</v>
      </c>
      <c r="D90" t="s">
        <v>570</v>
      </c>
      <c r="E90" t="s">
        <v>104</v>
      </c>
      <c r="F90">
        <v>1</v>
      </c>
      <c r="G90">
        <v>14499.044680000001</v>
      </c>
      <c r="I90">
        <v>267</v>
      </c>
      <c r="J90" t="s">
        <v>570</v>
      </c>
      <c r="K90" s="3" t="b">
        <v>1</v>
      </c>
      <c r="M90">
        <v>266</v>
      </c>
      <c r="N90" t="s">
        <v>570</v>
      </c>
      <c r="O90" s="3" t="b">
        <v>1</v>
      </c>
    </row>
    <row r="91" spans="1:20">
      <c r="A91">
        <v>268</v>
      </c>
      <c r="B91" t="s">
        <v>571</v>
      </c>
      <c r="C91">
        <v>1</v>
      </c>
      <c r="D91" t="s">
        <v>571</v>
      </c>
      <c r="E91" t="s">
        <v>105</v>
      </c>
      <c r="F91">
        <v>1</v>
      </c>
      <c r="G91">
        <v>18801.128479999999</v>
      </c>
      <c r="I91">
        <v>270</v>
      </c>
      <c r="J91" t="s">
        <v>571</v>
      </c>
      <c r="K91" s="3" t="b">
        <v>1</v>
      </c>
      <c r="M91">
        <v>269</v>
      </c>
      <c r="N91" t="s">
        <v>571</v>
      </c>
      <c r="O91" s="3" t="b">
        <v>1</v>
      </c>
    </row>
    <row r="92" spans="1:20">
      <c r="A92">
        <v>271</v>
      </c>
      <c r="B92" t="s">
        <v>572</v>
      </c>
      <c r="C92">
        <v>1</v>
      </c>
      <c r="D92" t="s">
        <v>572</v>
      </c>
      <c r="E92" t="s">
        <v>106</v>
      </c>
      <c r="F92">
        <v>1</v>
      </c>
      <c r="G92">
        <v>21389.430489999999</v>
      </c>
      <c r="I92">
        <v>273</v>
      </c>
      <c r="J92" t="s">
        <v>572</v>
      </c>
      <c r="K92" s="3" t="b">
        <v>1</v>
      </c>
      <c r="M92">
        <v>272</v>
      </c>
      <c r="N92" t="s">
        <v>572</v>
      </c>
      <c r="O92" s="3" t="b">
        <v>1</v>
      </c>
    </row>
    <row r="93" spans="1:20">
      <c r="A93">
        <v>274</v>
      </c>
      <c r="B93" t="s">
        <v>573</v>
      </c>
      <c r="C93">
        <v>1</v>
      </c>
      <c r="D93" t="s">
        <v>573</v>
      </c>
      <c r="E93" t="s">
        <v>107</v>
      </c>
      <c r="F93">
        <v>1</v>
      </c>
      <c r="G93">
        <v>16665.7</v>
      </c>
      <c r="I93">
        <v>276</v>
      </c>
      <c r="J93" t="s">
        <v>573</v>
      </c>
      <c r="K93" s="3" t="b">
        <v>1</v>
      </c>
      <c r="M93">
        <v>275</v>
      </c>
      <c r="N93" t="s">
        <v>573</v>
      </c>
      <c r="O93" s="3" t="b">
        <v>1</v>
      </c>
    </row>
    <row r="94" spans="1:20">
      <c r="A94">
        <v>277</v>
      </c>
      <c r="B94" t="s">
        <v>574</v>
      </c>
      <c r="C94">
        <v>1</v>
      </c>
      <c r="D94" t="s">
        <v>574</v>
      </c>
      <c r="E94" t="s">
        <v>108</v>
      </c>
      <c r="F94">
        <v>1</v>
      </c>
      <c r="G94">
        <v>23977.73256</v>
      </c>
      <c r="I94">
        <v>279</v>
      </c>
      <c r="J94" t="s">
        <v>574</v>
      </c>
      <c r="K94" s="3" t="b">
        <v>1</v>
      </c>
      <c r="M94">
        <v>278</v>
      </c>
      <c r="N94" t="s">
        <v>574</v>
      </c>
      <c r="O94" s="3" t="b">
        <v>1</v>
      </c>
    </row>
    <row r="95" spans="1:20">
      <c r="A95">
        <v>280</v>
      </c>
      <c r="B95" t="s">
        <v>575</v>
      </c>
      <c r="C95">
        <v>1</v>
      </c>
      <c r="D95" t="s">
        <v>575</v>
      </c>
      <c r="E95" t="s">
        <v>109</v>
      </c>
      <c r="F95">
        <v>1</v>
      </c>
      <c r="G95">
        <v>17320</v>
      </c>
      <c r="I95">
        <v>282</v>
      </c>
      <c r="J95" t="s">
        <v>575</v>
      </c>
      <c r="K95" s="3" t="b">
        <v>1</v>
      </c>
      <c r="M95">
        <v>281</v>
      </c>
      <c r="N95" t="s">
        <v>575</v>
      </c>
      <c r="O95" s="3" t="b">
        <v>1</v>
      </c>
    </row>
    <row r="96" spans="1:20">
      <c r="A96">
        <v>283</v>
      </c>
      <c r="B96" t="s">
        <v>576</v>
      </c>
      <c r="C96">
        <v>1</v>
      </c>
      <c r="D96" t="s">
        <v>576</v>
      </c>
      <c r="E96" t="s">
        <v>110</v>
      </c>
      <c r="F96">
        <v>1</v>
      </c>
      <c r="G96">
        <v>26566.03399</v>
      </c>
      <c r="I96">
        <v>285</v>
      </c>
      <c r="J96" t="s">
        <v>576</v>
      </c>
      <c r="K96" s="3" t="b">
        <v>1</v>
      </c>
      <c r="M96">
        <v>284</v>
      </c>
      <c r="N96" t="s">
        <v>576</v>
      </c>
      <c r="O96" s="3" t="b">
        <v>1</v>
      </c>
    </row>
    <row r="97" spans="1:15">
      <c r="A97">
        <v>286</v>
      </c>
      <c r="B97" t="s">
        <v>577</v>
      </c>
      <c r="C97">
        <v>1</v>
      </c>
      <c r="D97" t="s">
        <v>577</v>
      </c>
      <c r="E97" t="s">
        <v>111</v>
      </c>
      <c r="F97">
        <v>1</v>
      </c>
      <c r="G97">
        <v>29154.33598</v>
      </c>
      <c r="I97">
        <v>288</v>
      </c>
      <c r="J97" t="s">
        <v>577</v>
      </c>
      <c r="K97" s="3" t="b">
        <v>1</v>
      </c>
      <c r="M97">
        <v>287</v>
      </c>
      <c r="N97" t="s">
        <v>577</v>
      </c>
      <c r="O97" s="3" t="b">
        <v>1</v>
      </c>
    </row>
    <row r="98" spans="1:15">
      <c r="A98">
        <v>289</v>
      </c>
      <c r="B98" t="s">
        <v>579</v>
      </c>
      <c r="C98">
        <v>1</v>
      </c>
      <c r="D98" t="s">
        <v>579</v>
      </c>
      <c r="E98" t="s">
        <v>116</v>
      </c>
      <c r="F98">
        <v>1</v>
      </c>
      <c r="G98">
        <v>820</v>
      </c>
      <c r="I98">
        <v>291</v>
      </c>
      <c r="J98" t="s">
        <v>579</v>
      </c>
      <c r="K98" s="3" t="b">
        <v>1</v>
      </c>
      <c r="M98">
        <v>290</v>
      </c>
      <c r="N98" t="s">
        <v>579</v>
      </c>
      <c r="O98" s="3" t="b">
        <v>1</v>
      </c>
    </row>
    <row r="99" spans="1:15">
      <c r="A99">
        <v>292</v>
      </c>
      <c r="B99" t="s">
        <v>583</v>
      </c>
      <c r="C99">
        <v>1</v>
      </c>
      <c r="D99" t="s">
        <v>583</v>
      </c>
      <c r="E99" t="s">
        <v>117</v>
      </c>
      <c r="F99">
        <v>1</v>
      </c>
      <c r="G99">
        <v>1034</v>
      </c>
      <c r="I99">
        <v>294</v>
      </c>
      <c r="J99" t="s">
        <v>583</v>
      </c>
      <c r="K99" s="3" t="b">
        <v>1</v>
      </c>
      <c r="M99">
        <v>293</v>
      </c>
      <c r="N99" t="s">
        <v>583</v>
      </c>
      <c r="O99" s="3" t="b">
        <v>1</v>
      </c>
    </row>
    <row r="100" spans="1:15">
      <c r="A100">
        <v>295</v>
      </c>
      <c r="B100" t="s">
        <v>587</v>
      </c>
      <c r="C100">
        <v>1</v>
      </c>
      <c r="D100" t="s">
        <v>587</v>
      </c>
      <c r="E100" t="s">
        <v>118</v>
      </c>
      <c r="F100">
        <v>1</v>
      </c>
      <c r="G100">
        <v>1015</v>
      </c>
      <c r="I100">
        <v>297</v>
      </c>
      <c r="J100" t="s">
        <v>587</v>
      </c>
      <c r="K100" s="3" t="b">
        <v>1</v>
      </c>
      <c r="M100">
        <v>296</v>
      </c>
      <c r="N100" t="s">
        <v>587</v>
      </c>
      <c r="O100" s="3" t="b">
        <v>1</v>
      </c>
    </row>
    <row r="101" spans="1:15">
      <c r="A101">
        <v>299</v>
      </c>
      <c r="B101" t="s">
        <v>591</v>
      </c>
      <c r="C101">
        <v>2</v>
      </c>
      <c r="D101" t="s">
        <v>591</v>
      </c>
      <c r="E101" t="s">
        <v>119</v>
      </c>
      <c r="F101">
        <v>1</v>
      </c>
      <c r="G101">
        <v>1274</v>
      </c>
      <c r="I101">
        <v>303</v>
      </c>
      <c r="J101" t="s">
        <v>591</v>
      </c>
      <c r="K101" s="3" t="b">
        <v>1</v>
      </c>
      <c r="M101">
        <v>301</v>
      </c>
      <c r="N101" t="s">
        <v>591</v>
      </c>
      <c r="O101" s="3" t="b">
        <v>1</v>
      </c>
    </row>
    <row r="102" spans="1:15">
      <c r="A102">
        <v>298</v>
      </c>
      <c r="B102" t="s">
        <v>591</v>
      </c>
      <c r="C102">
        <v>2</v>
      </c>
      <c r="D102" t="s">
        <v>1143</v>
      </c>
      <c r="E102" t="s">
        <v>120</v>
      </c>
      <c r="F102">
        <v>1</v>
      </c>
      <c r="G102">
        <v>1275</v>
      </c>
      <c r="I102">
        <v>302</v>
      </c>
      <c r="J102" t="s">
        <v>591</v>
      </c>
      <c r="K102" s="3" t="b">
        <v>1</v>
      </c>
      <c r="M102">
        <v>300</v>
      </c>
      <c r="N102" t="s">
        <v>591</v>
      </c>
      <c r="O102" s="3" t="b">
        <v>1</v>
      </c>
    </row>
    <row r="103" spans="1:15">
      <c r="A103">
        <v>304</v>
      </c>
      <c r="B103" t="s">
        <v>598</v>
      </c>
      <c r="C103">
        <v>1</v>
      </c>
      <c r="D103" t="s">
        <v>598</v>
      </c>
      <c r="E103" t="s">
        <v>122</v>
      </c>
      <c r="F103">
        <v>1</v>
      </c>
      <c r="G103">
        <v>681</v>
      </c>
      <c r="I103">
        <v>306</v>
      </c>
      <c r="J103" t="s">
        <v>598</v>
      </c>
      <c r="K103" s="3" t="b">
        <v>1</v>
      </c>
      <c r="M103">
        <v>305</v>
      </c>
      <c r="N103" t="s">
        <v>598</v>
      </c>
      <c r="O103" s="3" t="b">
        <v>1</v>
      </c>
    </row>
    <row r="104" spans="1:15">
      <c r="A104">
        <v>307</v>
      </c>
      <c r="B104" t="s">
        <v>602</v>
      </c>
      <c r="C104">
        <v>1</v>
      </c>
      <c r="D104" t="s">
        <v>602</v>
      </c>
      <c r="E104" t="s">
        <v>123</v>
      </c>
      <c r="F104">
        <v>1</v>
      </c>
      <c r="G104">
        <v>450</v>
      </c>
      <c r="I104">
        <v>309</v>
      </c>
      <c r="J104" t="s">
        <v>602</v>
      </c>
      <c r="K104" s="3" t="b">
        <v>1</v>
      </c>
      <c r="M104">
        <v>308</v>
      </c>
      <c r="N104" t="s">
        <v>602</v>
      </c>
      <c r="O104" s="3" t="b">
        <v>1</v>
      </c>
    </row>
    <row r="105" spans="1:15">
      <c r="A105">
        <v>310</v>
      </c>
      <c r="B105" t="s">
        <v>606</v>
      </c>
      <c r="C105">
        <v>1</v>
      </c>
      <c r="D105" t="s">
        <v>606</v>
      </c>
      <c r="E105" t="s">
        <v>124</v>
      </c>
      <c r="F105">
        <v>1</v>
      </c>
      <c r="G105">
        <v>212</v>
      </c>
      <c r="I105">
        <v>312</v>
      </c>
      <c r="J105" t="s">
        <v>606</v>
      </c>
      <c r="K105" s="3" t="b">
        <v>1</v>
      </c>
      <c r="M105">
        <v>311</v>
      </c>
      <c r="N105" t="s">
        <v>606</v>
      </c>
      <c r="O105" s="3" t="b">
        <v>1</v>
      </c>
    </row>
    <row r="106" spans="1:15">
      <c r="A106">
        <v>313</v>
      </c>
      <c r="B106" t="s">
        <v>609</v>
      </c>
      <c r="C106">
        <v>1</v>
      </c>
      <c r="D106" t="s">
        <v>609</v>
      </c>
      <c r="E106" t="s">
        <v>125</v>
      </c>
      <c r="F106">
        <v>1</v>
      </c>
      <c r="G106">
        <v>216</v>
      </c>
      <c r="I106">
        <v>315</v>
      </c>
      <c r="J106" t="s">
        <v>609</v>
      </c>
      <c r="K106" s="3" t="b">
        <v>1</v>
      </c>
      <c r="M106">
        <v>314</v>
      </c>
      <c r="N106" t="s">
        <v>609</v>
      </c>
      <c r="O106" s="3" t="b">
        <v>1</v>
      </c>
    </row>
    <row r="107" spans="1:15">
      <c r="A107">
        <v>316</v>
      </c>
      <c r="B107" t="s">
        <v>613</v>
      </c>
      <c r="C107">
        <v>1</v>
      </c>
      <c r="D107" t="s">
        <v>613</v>
      </c>
      <c r="E107" t="s">
        <v>126</v>
      </c>
      <c r="F107">
        <v>1</v>
      </c>
      <c r="G107">
        <v>211</v>
      </c>
      <c r="I107">
        <v>318</v>
      </c>
      <c r="J107" t="s">
        <v>613</v>
      </c>
      <c r="K107" s="3" t="b">
        <v>1</v>
      </c>
      <c r="M107">
        <v>317</v>
      </c>
      <c r="N107" t="s">
        <v>613</v>
      </c>
      <c r="O107" s="3" t="b">
        <v>1</v>
      </c>
    </row>
    <row r="108" spans="1:15">
      <c r="A108">
        <v>319</v>
      </c>
      <c r="B108" t="s">
        <v>617</v>
      </c>
      <c r="C108">
        <v>2</v>
      </c>
      <c r="D108" t="s">
        <v>617</v>
      </c>
      <c r="E108" t="s">
        <v>127</v>
      </c>
      <c r="F108">
        <v>1</v>
      </c>
      <c r="G108">
        <v>216</v>
      </c>
      <c r="I108">
        <v>323</v>
      </c>
      <c r="J108" t="s">
        <v>617</v>
      </c>
      <c r="K108" s="3" t="b">
        <v>1</v>
      </c>
      <c r="M108">
        <v>321</v>
      </c>
      <c r="N108" t="s">
        <v>617</v>
      </c>
      <c r="O108" s="3" t="b">
        <v>1</v>
      </c>
    </row>
    <row r="109" spans="1:15">
      <c r="A109">
        <v>320</v>
      </c>
      <c r="B109" t="s">
        <v>617</v>
      </c>
      <c r="C109">
        <v>2</v>
      </c>
      <c r="D109" t="s">
        <v>1144</v>
      </c>
      <c r="E109" t="s">
        <v>128</v>
      </c>
      <c r="F109">
        <v>1</v>
      </c>
      <c r="G109">
        <v>603</v>
      </c>
      <c r="I109">
        <v>324</v>
      </c>
      <c r="J109" t="s">
        <v>617</v>
      </c>
      <c r="K109" s="3" t="b">
        <v>1</v>
      </c>
      <c r="M109">
        <v>322</v>
      </c>
      <c r="N109" t="s">
        <v>617</v>
      </c>
      <c r="O109" s="3" t="b">
        <v>1</v>
      </c>
    </row>
    <row r="110" spans="1:15">
      <c r="A110">
        <v>325</v>
      </c>
      <c r="B110" t="s">
        <v>624</v>
      </c>
      <c r="C110">
        <v>1</v>
      </c>
      <c r="D110" t="s">
        <v>624</v>
      </c>
      <c r="E110" t="s">
        <v>129</v>
      </c>
      <c r="F110">
        <v>1</v>
      </c>
      <c r="G110">
        <v>529</v>
      </c>
      <c r="I110">
        <v>327</v>
      </c>
      <c r="J110" t="s">
        <v>624</v>
      </c>
      <c r="K110" s="3" t="b">
        <v>1</v>
      </c>
      <c r="M110">
        <v>326</v>
      </c>
      <c r="N110" t="s">
        <v>624</v>
      </c>
      <c r="O110" s="3" t="b">
        <v>1</v>
      </c>
    </row>
    <row r="111" spans="1:15">
      <c r="A111">
        <v>328</v>
      </c>
      <c r="B111" t="s">
        <v>628</v>
      </c>
      <c r="C111">
        <v>1</v>
      </c>
      <c r="D111" t="s">
        <v>628</v>
      </c>
      <c r="E111" t="s">
        <v>130</v>
      </c>
      <c r="F111">
        <v>1</v>
      </c>
      <c r="G111">
        <v>458</v>
      </c>
      <c r="I111">
        <v>330</v>
      </c>
      <c r="J111" t="s">
        <v>628</v>
      </c>
      <c r="K111" s="3" t="b">
        <v>1</v>
      </c>
      <c r="M111">
        <v>329</v>
      </c>
      <c r="N111" t="s">
        <v>628</v>
      </c>
      <c r="O111" s="3" t="b">
        <v>1</v>
      </c>
    </row>
    <row r="112" spans="1:15">
      <c r="A112">
        <v>331</v>
      </c>
      <c r="B112" t="s">
        <v>632</v>
      </c>
      <c r="C112">
        <v>1</v>
      </c>
      <c r="D112" t="s">
        <v>632</v>
      </c>
      <c r="E112" t="s">
        <v>131</v>
      </c>
      <c r="F112">
        <v>1</v>
      </c>
      <c r="G112">
        <v>510</v>
      </c>
      <c r="I112">
        <v>333</v>
      </c>
      <c r="J112" t="s">
        <v>632</v>
      </c>
      <c r="K112" s="3" t="b">
        <v>1</v>
      </c>
      <c r="M112">
        <v>332</v>
      </c>
      <c r="N112" t="s">
        <v>632</v>
      </c>
      <c r="O112" s="3" t="b">
        <v>1</v>
      </c>
    </row>
    <row r="113" spans="1:15">
      <c r="A113">
        <v>336</v>
      </c>
      <c r="B113" t="s">
        <v>636</v>
      </c>
      <c r="C113">
        <v>3</v>
      </c>
      <c r="D113" t="s">
        <v>636</v>
      </c>
      <c r="E113" t="s">
        <v>132</v>
      </c>
      <c r="F113">
        <v>1</v>
      </c>
      <c r="G113">
        <v>696</v>
      </c>
      <c r="I113">
        <v>342</v>
      </c>
      <c r="J113" t="s">
        <v>636</v>
      </c>
      <c r="K113" s="3" t="b">
        <v>1</v>
      </c>
      <c r="M113">
        <v>339</v>
      </c>
      <c r="N113" t="s">
        <v>636</v>
      </c>
      <c r="O113" s="3" t="b">
        <v>1</v>
      </c>
    </row>
    <row r="114" spans="1:15">
      <c r="A114">
        <v>334</v>
      </c>
      <c r="B114" t="s">
        <v>636</v>
      </c>
      <c r="C114">
        <v>3</v>
      </c>
      <c r="D114" t="s">
        <v>1145</v>
      </c>
      <c r="E114" t="s">
        <v>133</v>
      </c>
      <c r="F114">
        <v>1</v>
      </c>
      <c r="G114">
        <v>554</v>
      </c>
      <c r="I114">
        <v>340</v>
      </c>
      <c r="J114" t="s">
        <v>636</v>
      </c>
      <c r="K114" s="3" t="b">
        <v>1</v>
      </c>
      <c r="M114">
        <v>337</v>
      </c>
      <c r="N114" t="s">
        <v>636</v>
      </c>
      <c r="O114" s="3" t="b">
        <v>1</v>
      </c>
    </row>
    <row r="115" spans="1:15">
      <c r="A115">
        <v>335</v>
      </c>
      <c r="B115" t="s">
        <v>636</v>
      </c>
      <c r="C115">
        <v>3</v>
      </c>
      <c r="D115" t="s">
        <v>1146</v>
      </c>
      <c r="E115" t="s">
        <v>134</v>
      </c>
      <c r="F115">
        <v>1</v>
      </c>
      <c r="G115">
        <v>631</v>
      </c>
      <c r="I115">
        <v>341</v>
      </c>
      <c r="J115" t="s">
        <v>636</v>
      </c>
      <c r="K115" s="3" t="b">
        <v>1</v>
      </c>
      <c r="M115">
        <v>338</v>
      </c>
      <c r="N115" t="s">
        <v>636</v>
      </c>
      <c r="O115" s="3" t="b">
        <v>1</v>
      </c>
    </row>
    <row r="116" spans="1:15">
      <c r="A116">
        <v>343</v>
      </c>
      <c r="B116" t="s">
        <v>646</v>
      </c>
      <c r="C116">
        <v>1</v>
      </c>
      <c r="D116" t="s">
        <v>646</v>
      </c>
      <c r="E116" t="s">
        <v>135</v>
      </c>
      <c r="F116">
        <v>1</v>
      </c>
      <c r="G116">
        <v>741</v>
      </c>
      <c r="I116">
        <v>345</v>
      </c>
      <c r="J116" t="s">
        <v>646</v>
      </c>
      <c r="K116" s="3" t="b">
        <v>1</v>
      </c>
      <c r="M116">
        <v>344</v>
      </c>
      <c r="N116" t="s">
        <v>646</v>
      </c>
      <c r="O116" s="3" t="b">
        <v>1</v>
      </c>
    </row>
    <row r="117" spans="1:15">
      <c r="A117">
        <v>348</v>
      </c>
      <c r="B117" t="s">
        <v>650</v>
      </c>
      <c r="C117">
        <v>4</v>
      </c>
      <c r="D117" t="s">
        <v>650</v>
      </c>
      <c r="E117" t="s">
        <v>136</v>
      </c>
      <c r="F117">
        <v>1</v>
      </c>
      <c r="G117">
        <v>694</v>
      </c>
      <c r="I117">
        <v>356</v>
      </c>
      <c r="J117" t="s">
        <v>650</v>
      </c>
      <c r="K117" s="3" t="b">
        <v>1</v>
      </c>
      <c r="M117">
        <v>352</v>
      </c>
      <c r="N117" t="s">
        <v>650</v>
      </c>
      <c r="O117" s="3" t="b">
        <v>1</v>
      </c>
    </row>
    <row r="118" spans="1:15">
      <c r="A118">
        <v>349</v>
      </c>
      <c r="B118" t="s">
        <v>650</v>
      </c>
      <c r="C118">
        <v>4</v>
      </c>
      <c r="D118" t="s">
        <v>1147</v>
      </c>
      <c r="E118" t="s">
        <v>137</v>
      </c>
      <c r="F118">
        <v>1</v>
      </c>
      <c r="G118">
        <v>989</v>
      </c>
      <c r="I118">
        <v>357</v>
      </c>
      <c r="J118" t="s">
        <v>650</v>
      </c>
      <c r="K118" s="3" t="b">
        <v>1</v>
      </c>
      <c r="M118">
        <v>353</v>
      </c>
      <c r="N118" t="s">
        <v>650</v>
      </c>
      <c r="O118" s="3" t="b">
        <v>1</v>
      </c>
    </row>
    <row r="119" spans="1:15">
      <c r="A119">
        <v>346</v>
      </c>
      <c r="B119" t="s">
        <v>650</v>
      </c>
      <c r="C119">
        <v>4</v>
      </c>
      <c r="D119" t="s">
        <v>1148</v>
      </c>
      <c r="E119" t="s">
        <v>138</v>
      </c>
      <c r="F119">
        <v>1</v>
      </c>
      <c r="G119">
        <v>568</v>
      </c>
      <c r="I119">
        <v>354</v>
      </c>
      <c r="J119" t="s">
        <v>650</v>
      </c>
      <c r="K119" s="3" t="b">
        <v>1</v>
      </c>
      <c r="M119">
        <v>350</v>
      </c>
      <c r="N119" t="s">
        <v>650</v>
      </c>
      <c r="O119" s="3" t="b">
        <v>1</v>
      </c>
    </row>
    <row r="120" spans="1:15">
      <c r="A120">
        <v>347</v>
      </c>
      <c r="B120" t="s">
        <v>650</v>
      </c>
      <c r="C120">
        <v>4</v>
      </c>
      <c r="D120" t="s">
        <v>1149</v>
      </c>
      <c r="E120" t="s">
        <v>139</v>
      </c>
      <c r="F120">
        <v>1</v>
      </c>
      <c r="G120">
        <v>588</v>
      </c>
      <c r="I120">
        <v>355</v>
      </c>
      <c r="J120" t="s">
        <v>650</v>
      </c>
      <c r="K120" s="3" t="b">
        <v>1</v>
      </c>
      <c r="M120">
        <v>351</v>
      </c>
      <c r="N120" t="s">
        <v>650</v>
      </c>
      <c r="O120" s="3" t="b">
        <v>1</v>
      </c>
    </row>
    <row r="121" spans="1:15">
      <c r="A121">
        <v>358</v>
      </c>
      <c r="B121" t="s">
        <v>663</v>
      </c>
      <c r="C121">
        <v>2</v>
      </c>
      <c r="D121" t="s">
        <v>663</v>
      </c>
      <c r="E121" t="s">
        <v>140</v>
      </c>
      <c r="F121">
        <v>1</v>
      </c>
      <c r="G121">
        <v>744</v>
      </c>
      <c r="I121">
        <v>362</v>
      </c>
      <c r="J121" t="s">
        <v>663</v>
      </c>
      <c r="K121" s="3" t="b">
        <v>1</v>
      </c>
      <c r="M121">
        <v>360</v>
      </c>
      <c r="N121" t="s">
        <v>663</v>
      </c>
      <c r="O121" s="3" t="b">
        <v>1</v>
      </c>
    </row>
    <row r="122" spans="1:15">
      <c r="A122">
        <v>359</v>
      </c>
      <c r="B122" t="s">
        <v>663</v>
      </c>
      <c r="C122">
        <v>2</v>
      </c>
      <c r="D122" t="s">
        <v>1150</v>
      </c>
      <c r="E122" t="s">
        <v>141</v>
      </c>
      <c r="F122">
        <v>1</v>
      </c>
      <c r="G122">
        <v>968</v>
      </c>
      <c r="I122">
        <v>363</v>
      </c>
      <c r="J122" t="s">
        <v>663</v>
      </c>
      <c r="K122" s="3" t="b">
        <v>1</v>
      </c>
      <c r="M122">
        <v>361</v>
      </c>
      <c r="N122" t="s">
        <v>663</v>
      </c>
      <c r="O122" s="3" t="b">
        <v>1</v>
      </c>
    </row>
    <row r="123" spans="1:15">
      <c r="A123">
        <v>364</v>
      </c>
      <c r="B123" t="s">
        <v>670</v>
      </c>
      <c r="C123">
        <v>1</v>
      </c>
      <c r="D123" t="s">
        <v>670</v>
      </c>
      <c r="E123" t="s">
        <v>142</v>
      </c>
      <c r="F123">
        <v>1</v>
      </c>
      <c r="G123">
        <v>792</v>
      </c>
      <c r="I123">
        <v>366</v>
      </c>
      <c r="J123" t="s">
        <v>670</v>
      </c>
      <c r="K123" s="3" t="b">
        <v>1</v>
      </c>
      <c r="M123">
        <v>365</v>
      </c>
      <c r="N123" t="s">
        <v>670</v>
      </c>
      <c r="O123" s="3" t="b">
        <v>1</v>
      </c>
    </row>
    <row r="124" spans="1:15">
      <c r="A124">
        <v>367</v>
      </c>
      <c r="B124" t="s">
        <v>674</v>
      </c>
      <c r="C124">
        <v>1</v>
      </c>
      <c r="D124" t="s">
        <v>674</v>
      </c>
      <c r="E124" t="s">
        <v>143</v>
      </c>
      <c r="F124">
        <v>1</v>
      </c>
      <c r="G124">
        <v>827</v>
      </c>
      <c r="I124">
        <v>369</v>
      </c>
      <c r="J124" t="s">
        <v>674</v>
      </c>
      <c r="K124" s="3" t="b">
        <v>1</v>
      </c>
      <c r="M124">
        <v>368</v>
      </c>
      <c r="N124" t="s">
        <v>674</v>
      </c>
      <c r="O124" s="3" t="b">
        <v>1</v>
      </c>
    </row>
    <row r="125" spans="1:15">
      <c r="A125">
        <v>370</v>
      </c>
      <c r="B125" t="s">
        <v>678</v>
      </c>
      <c r="C125">
        <v>2</v>
      </c>
      <c r="D125" t="s">
        <v>678</v>
      </c>
      <c r="E125" t="s">
        <v>144</v>
      </c>
      <c r="F125">
        <v>1</v>
      </c>
      <c r="G125">
        <v>593</v>
      </c>
      <c r="I125">
        <v>374</v>
      </c>
      <c r="J125" t="s">
        <v>678</v>
      </c>
      <c r="K125" s="3" t="b">
        <v>1</v>
      </c>
      <c r="M125">
        <v>372</v>
      </c>
      <c r="N125" t="s">
        <v>678</v>
      </c>
      <c r="O125" s="3" t="b">
        <v>1</v>
      </c>
    </row>
    <row r="126" spans="1:15">
      <c r="A126">
        <v>371</v>
      </c>
      <c r="B126" t="s">
        <v>678</v>
      </c>
      <c r="C126">
        <v>2</v>
      </c>
      <c r="D126" t="s">
        <v>1151</v>
      </c>
      <c r="E126" t="s">
        <v>145</v>
      </c>
      <c r="F126">
        <v>1</v>
      </c>
      <c r="G126">
        <v>627</v>
      </c>
      <c r="I126">
        <v>375</v>
      </c>
      <c r="J126" t="s">
        <v>678</v>
      </c>
      <c r="K126" s="3" t="b">
        <v>1</v>
      </c>
      <c r="M126">
        <v>373</v>
      </c>
      <c r="N126" t="s">
        <v>678</v>
      </c>
      <c r="O126" s="3" t="b">
        <v>1</v>
      </c>
    </row>
    <row r="127" spans="1:15">
      <c r="A127">
        <v>376</v>
      </c>
      <c r="B127" t="s">
        <v>685</v>
      </c>
      <c r="C127">
        <v>4</v>
      </c>
      <c r="D127" t="s">
        <v>685</v>
      </c>
      <c r="E127" t="s">
        <v>147</v>
      </c>
      <c r="F127">
        <v>1</v>
      </c>
      <c r="G127">
        <v>2041.34</v>
      </c>
      <c r="I127">
        <v>384</v>
      </c>
      <c r="J127" t="s">
        <v>685</v>
      </c>
      <c r="K127" s="3" t="b">
        <v>1</v>
      </c>
      <c r="M127">
        <v>380</v>
      </c>
      <c r="N127" t="s">
        <v>685</v>
      </c>
      <c r="O127" s="3" t="b">
        <v>1</v>
      </c>
    </row>
    <row r="128" spans="1:15">
      <c r="A128">
        <v>377</v>
      </c>
      <c r="B128" t="s">
        <v>685</v>
      </c>
      <c r="C128">
        <v>4</v>
      </c>
      <c r="D128" t="s">
        <v>1152</v>
      </c>
      <c r="E128" t="s">
        <v>148</v>
      </c>
      <c r="F128">
        <v>1</v>
      </c>
      <c r="G128">
        <v>1939.9</v>
      </c>
      <c r="I128">
        <v>385</v>
      </c>
      <c r="J128" t="s">
        <v>685</v>
      </c>
      <c r="K128" s="3" t="b">
        <v>1</v>
      </c>
      <c r="M128">
        <v>381</v>
      </c>
      <c r="N128" t="s">
        <v>685</v>
      </c>
      <c r="O128" s="3" t="b">
        <v>1</v>
      </c>
    </row>
    <row r="129" spans="1:15">
      <c r="A129">
        <v>378</v>
      </c>
      <c r="B129" t="s">
        <v>685</v>
      </c>
      <c r="C129">
        <v>4</v>
      </c>
      <c r="D129" t="s">
        <v>1153</v>
      </c>
      <c r="E129" t="s">
        <v>149</v>
      </c>
      <c r="F129">
        <v>1</v>
      </c>
      <c r="G129">
        <v>1406.2</v>
      </c>
      <c r="I129">
        <v>386</v>
      </c>
      <c r="J129" t="s">
        <v>685</v>
      </c>
      <c r="K129" s="3" t="b">
        <v>1</v>
      </c>
      <c r="M129">
        <v>382</v>
      </c>
      <c r="N129" t="s">
        <v>685</v>
      </c>
      <c r="O129" s="3" t="b">
        <v>1</v>
      </c>
    </row>
    <row r="130" spans="1:15">
      <c r="A130">
        <v>379</v>
      </c>
      <c r="B130" t="s">
        <v>685</v>
      </c>
      <c r="C130">
        <v>4</v>
      </c>
      <c r="D130" t="s">
        <v>1154</v>
      </c>
      <c r="E130" t="s">
        <v>150</v>
      </c>
      <c r="F130">
        <v>1</v>
      </c>
      <c r="G130">
        <v>1580.46</v>
      </c>
      <c r="I130">
        <v>387</v>
      </c>
      <c r="J130" t="s">
        <v>685</v>
      </c>
      <c r="K130" s="3" t="b">
        <v>1</v>
      </c>
      <c r="M130">
        <v>383</v>
      </c>
      <c r="N130" t="s">
        <v>685</v>
      </c>
      <c r="O130" s="3" t="b">
        <v>1</v>
      </c>
    </row>
    <row r="131" spans="1:15">
      <c r="A131">
        <v>388</v>
      </c>
      <c r="B131" t="s">
        <v>698</v>
      </c>
      <c r="C131">
        <v>4</v>
      </c>
      <c r="D131" t="s">
        <v>698</v>
      </c>
      <c r="E131" t="s">
        <v>151</v>
      </c>
      <c r="F131">
        <v>1</v>
      </c>
      <c r="G131">
        <v>3055.23</v>
      </c>
      <c r="I131">
        <v>396</v>
      </c>
      <c r="J131" t="s">
        <v>698</v>
      </c>
      <c r="K131" s="3" t="b">
        <v>1</v>
      </c>
      <c r="M131">
        <v>392</v>
      </c>
      <c r="N131" t="s">
        <v>698</v>
      </c>
      <c r="O131" s="3" t="b">
        <v>1</v>
      </c>
    </row>
    <row r="132" spans="1:15">
      <c r="A132">
        <v>389</v>
      </c>
      <c r="B132" t="s">
        <v>698</v>
      </c>
      <c r="C132">
        <v>4</v>
      </c>
      <c r="D132" t="s">
        <v>1155</v>
      </c>
      <c r="E132" t="s">
        <v>152</v>
      </c>
      <c r="F132">
        <v>1</v>
      </c>
      <c r="G132">
        <v>2727.03</v>
      </c>
      <c r="I132">
        <v>397</v>
      </c>
      <c r="J132" t="s">
        <v>698</v>
      </c>
      <c r="K132" s="3" t="b">
        <v>1</v>
      </c>
      <c r="M132">
        <v>393</v>
      </c>
      <c r="N132" t="s">
        <v>698</v>
      </c>
      <c r="O132" s="3" t="b">
        <v>1</v>
      </c>
    </row>
    <row r="133" spans="1:15">
      <c r="A133">
        <v>390</v>
      </c>
      <c r="B133" t="s">
        <v>698</v>
      </c>
      <c r="C133">
        <v>4</v>
      </c>
      <c r="D133" t="s">
        <v>1156</v>
      </c>
      <c r="E133" t="s">
        <v>153</v>
      </c>
      <c r="F133">
        <v>1</v>
      </c>
      <c r="G133">
        <v>2358.66</v>
      </c>
      <c r="I133">
        <v>398</v>
      </c>
      <c r="J133" t="s">
        <v>698</v>
      </c>
      <c r="K133" s="3" t="b">
        <v>1</v>
      </c>
      <c r="M133">
        <v>394</v>
      </c>
      <c r="N133" t="s">
        <v>698</v>
      </c>
      <c r="O133" s="3" t="b">
        <v>1</v>
      </c>
    </row>
    <row r="134" spans="1:15">
      <c r="A134">
        <v>391</v>
      </c>
      <c r="B134" t="s">
        <v>698</v>
      </c>
      <c r="C134">
        <v>4</v>
      </c>
      <c r="D134" t="s">
        <v>1157</v>
      </c>
      <c r="E134" t="s">
        <v>154</v>
      </c>
      <c r="F134">
        <v>1</v>
      </c>
      <c r="G134">
        <v>2645.39</v>
      </c>
      <c r="I134">
        <v>399</v>
      </c>
      <c r="J134" t="s">
        <v>698</v>
      </c>
      <c r="K134" s="3" t="b">
        <v>1</v>
      </c>
      <c r="M134">
        <v>395</v>
      </c>
      <c r="N134" t="s">
        <v>698</v>
      </c>
      <c r="O134" s="3" t="b">
        <v>1</v>
      </c>
    </row>
    <row r="135" spans="1:15">
      <c r="A135">
        <v>400</v>
      </c>
      <c r="B135" t="s">
        <v>711</v>
      </c>
      <c r="C135">
        <v>1</v>
      </c>
      <c r="D135" t="s">
        <v>711</v>
      </c>
      <c r="E135" t="s">
        <v>155</v>
      </c>
      <c r="F135">
        <v>1</v>
      </c>
      <c r="G135">
        <v>24366.413390000002</v>
      </c>
      <c r="I135">
        <v>402</v>
      </c>
      <c r="J135" t="s">
        <v>711</v>
      </c>
      <c r="K135" s="3" t="b">
        <v>1</v>
      </c>
      <c r="M135">
        <v>401</v>
      </c>
      <c r="N135" t="s">
        <v>711</v>
      </c>
      <c r="O135" s="3" t="b">
        <v>1</v>
      </c>
    </row>
    <row r="136" spans="1:15">
      <c r="A136">
        <v>403</v>
      </c>
      <c r="B136" t="s">
        <v>715</v>
      </c>
      <c r="C136">
        <v>4</v>
      </c>
      <c r="D136" t="s">
        <v>715</v>
      </c>
      <c r="E136" t="s">
        <v>156</v>
      </c>
      <c r="F136">
        <v>1</v>
      </c>
      <c r="G136">
        <v>1618.36</v>
      </c>
      <c r="I136">
        <v>411</v>
      </c>
      <c r="J136" t="s">
        <v>715</v>
      </c>
      <c r="K136" s="3" t="b">
        <v>1</v>
      </c>
      <c r="M136">
        <v>407</v>
      </c>
      <c r="N136" t="s">
        <v>715</v>
      </c>
      <c r="O136" s="3" t="b">
        <v>1</v>
      </c>
    </row>
    <row r="137" spans="1:15">
      <c r="A137">
        <v>404</v>
      </c>
      <c r="B137" t="s">
        <v>715</v>
      </c>
      <c r="C137">
        <v>4</v>
      </c>
      <c r="D137" t="s">
        <v>1158</v>
      </c>
      <c r="E137" t="s">
        <v>157</v>
      </c>
      <c r="F137">
        <v>1</v>
      </c>
      <c r="G137">
        <v>1344.62</v>
      </c>
      <c r="I137">
        <v>412</v>
      </c>
      <c r="J137" t="s">
        <v>715</v>
      </c>
      <c r="K137" s="3" t="b">
        <v>1</v>
      </c>
      <c r="M137">
        <v>408</v>
      </c>
      <c r="N137" t="s">
        <v>715</v>
      </c>
      <c r="O137" s="3" t="b">
        <v>1</v>
      </c>
    </row>
    <row r="138" spans="1:15">
      <c r="A138">
        <v>405</v>
      </c>
      <c r="B138" t="s">
        <v>715</v>
      </c>
      <c r="C138">
        <v>4</v>
      </c>
      <c r="D138" t="s">
        <v>1159</v>
      </c>
      <c r="E138" t="s">
        <v>158</v>
      </c>
      <c r="F138">
        <v>1</v>
      </c>
      <c r="G138">
        <v>1291.01</v>
      </c>
      <c r="I138">
        <v>413</v>
      </c>
      <c r="J138" t="s">
        <v>715</v>
      </c>
      <c r="K138" s="3" t="b">
        <v>1</v>
      </c>
      <c r="M138">
        <v>409</v>
      </c>
      <c r="N138" t="s">
        <v>715</v>
      </c>
      <c r="O138" s="3" t="b">
        <v>1</v>
      </c>
    </row>
    <row r="139" spans="1:15">
      <c r="A139">
        <v>406</v>
      </c>
      <c r="B139" t="s">
        <v>715</v>
      </c>
      <c r="C139">
        <v>4</v>
      </c>
      <c r="D139" t="s">
        <v>1160</v>
      </c>
      <c r="E139" t="s">
        <v>159</v>
      </c>
      <c r="F139">
        <v>1</v>
      </c>
      <c r="G139">
        <v>1365.42</v>
      </c>
      <c r="I139">
        <v>414</v>
      </c>
      <c r="J139" t="s">
        <v>715</v>
      </c>
      <c r="K139" s="3" t="b">
        <v>1</v>
      </c>
      <c r="M139">
        <v>410</v>
      </c>
      <c r="N139" t="s">
        <v>715</v>
      </c>
      <c r="O139" s="3" t="b">
        <v>1</v>
      </c>
    </row>
    <row r="140" spans="1:15">
      <c r="A140">
        <v>415</v>
      </c>
      <c r="B140" t="s">
        <v>728</v>
      </c>
      <c r="C140">
        <v>2</v>
      </c>
      <c r="D140" t="s">
        <v>728</v>
      </c>
      <c r="E140" t="s">
        <v>162</v>
      </c>
      <c r="F140">
        <v>1</v>
      </c>
      <c r="G140">
        <v>27591</v>
      </c>
      <c r="I140">
        <v>418</v>
      </c>
      <c r="J140" t="s">
        <v>728</v>
      </c>
      <c r="K140" s="3" t="b">
        <v>1</v>
      </c>
    </row>
    <row r="141" spans="1:15">
      <c r="A141">
        <v>416</v>
      </c>
      <c r="B141" t="s">
        <v>728</v>
      </c>
      <c r="C141">
        <v>2</v>
      </c>
      <c r="D141" t="s">
        <v>1161</v>
      </c>
      <c r="F141">
        <v>0</v>
      </c>
      <c r="M141">
        <v>417</v>
      </c>
      <c r="N141" t="s">
        <v>728</v>
      </c>
      <c r="O141" s="3" t="b">
        <v>1</v>
      </c>
    </row>
    <row r="142" spans="1:15">
      <c r="A142">
        <v>419</v>
      </c>
      <c r="B142" t="s">
        <v>731</v>
      </c>
      <c r="C142">
        <v>1</v>
      </c>
      <c r="D142" t="s">
        <v>731</v>
      </c>
      <c r="E142" t="s">
        <v>161</v>
      </c>
      <c r="F142">
        <v>1</v>
      </c>
      <c r="G142">
        <v>72355</v>
      </c>
      <c r="I142">
        <v>421</v>
      </c>
      <c r="J142" t="s">
        <v>731</v>
      </c>
      <c r="K142" s="3" t="b">
        <v>1</v>
      </c>
      <c r="M142">
        <v>420</v>
      </c>
      <c r="N142" t="s">
        <v>731</v>
      </c>
      <c r="O142" s="3" t="b">
        <v>1</v>
      </c>
    </row>
    <row r="143" spans="1:15">
      <c r="A143">
        <v>422</v>
      </c>
      <c r="B143" t="s">
        <v>735</v>
      </c>
      <c r="C143">
        <v>1</v>
      </c>
      <c r="D143" t="s">
        <v>735</v>
      </c>
      <c r="E143" t="s">
        <v>163</v>
      </c>
      <c r="F143">
        <v>1</v>
      </c>
      <c r="G143">
        <v>26362</v>
      </c>
      <c r="I143">
        <v>424</v>
      </c>
      <c r="J143" t="s">
        <v>735</v>
      </c>
      <c r="K143" s="3" t="b">
        <v>1</v>
      </c>
      <c r="M143">
        <v>423</v>
      </c>
      <c r="N143" t="s">
        <v>735</v>
      </c>
      <c r="O143" s="3" t="b">
        <v>1</v>
      </c>
    </row>
    <row r="144" spans="1:15">
      <c r="A144">
        <v>425</v>
      </c>
      <c r="B144" t="s">
        <v>739</v>
      </c>
      <c r="C144">
        <v>1</v>
      </c>
      <c r="D144" t="s">
        <v>739</v>
      </c>
      <c r="E144" t="s">
        <v>164</v>
      </c>
      <c r="F144">
        <v>1</v>
      </c>
      <c r="G144">
        <v>14971</v>
      </c>
      <c r="I144">
        <v>427</v>
      </c>
      <c r="J144" t="s">
        <v>739</v>
      </c>
      <c r="K144" s="3" t="b">
        <v>1</v>
      </c>
      <c r="M144">
        <v>426</v>
      </c>
      <c r="N144" t="s">
        <v>739</v>
      </c>
      <c r="O144" s="3" t="b">
        <v>1</v>
      </c>
    </row>
    <row r="145" spans="1:15">
      <c r="A145">
        <v>428</v>
      </c>
      <c r="B145" t="s">
        <v>743</v>
      </c>
      <c r="C145">
        <v>1</v>
      </c>
      <c r="D145" t="s">
        <v>743</v>
      </c>
      <c r="E145" t="s">
        <v>165</v>
      </c>
      <c r="F145">
        <v>1</v>
      </c>
      <c r="G145">
        <v>12747</v>
      </c>
      <c r="I145">
        <v>430</v>
      </c>
      <c r="J145" t="s">
        <v>743</v>
      </c>
      <c r="K145" s="3" t="b">
        <v>1</v>
      </c>
      <c r="M145">
        <v>429</v>
      </c>
      <c r="N145" t="s">
        <v>743</v>
      </c>
      <c r="O145" s="3" t="b">
        <v>1</v>
      </c>
    </row>
    <row r="146" spans="1:15">
      <c r="A146">
        <v>431</v>
      </c>
      <c r="B146" t="s">
        <v>747</v>
      </c>
      <c r="C146">
        <v>1</v>
      </c>
      <c r="D146" t="s">
        <v>747</v>
      </c>
      <c r="E146" t="s">
        <v>166</v>
      </c>
      <c r="F146">
        <v>1</v>
      </c>
      <c r="G146">
        <v>13332</v>
      </c>
      <c r="I146">
        <v>433</v>
      </c>
      <c r="J146" t="s">
        <v>747</v>
      </c>
      <c r="K146" s="3" t="b">
        <v>1</v>
      </c>
      <c r="M146">
        <v>432</v>
      </c>
      <c r="N146" t="s">
        <v>747</v>
      </c>
      <c r="O146" s="3" t="b">
        <v>1</v>
      </c>
    </row>
    <row r="147" spans="1:15">
      <c r="A147">
        <v>434</v>
      </c>
      <c r="B147" t="s">
        <v>751</v>
      </c>
      <c r="C147">
        <v>1</v>
      </c>
      <c r="D147" t="s">
        <v>751</v>
      </c>
      <c r="E147" t="s">
        <v>167</v>
      </c>
      <c r="F147">
        <v>1</v>
      </c>
      <c r="G147">
        <v>55539</v>
      </c>
      <c r="I147">
        <v>436</v>
      </c>
      <c r="J147" t="s">
        <v>751</v>
      </c>
      <c r="K147" s="3" t="b">
        <v>1</v>
      </c>
      <c r="M147">
        <v>435</v>
      </c>
      <c r="N147" t="s">
        <v>751</v>
      </c>
      <c r="O147" s="3" t="b">
        <v>1</v>
      </c>
    </row>
    <row r="148" spans="1:15">
      <c r="A148">
        <v>437</v>
      </c>
      <c r="B148" t="s">
        <v>755</v>
      </c>
      <c r="C148">
        <v>1</v>
      </c>
      <c r="D148" t="s">
        <v>755</v>
      </c>
      <c r="E148" t="s">
        <v>168</v>
      </c>
      <c r="F148">
        <v>1</v>
      </c>
      <c r="G148">
        <v>28940</v>
      </c>
      <c r="I148">
        <v>439</v>
      </c>
      <c r="J148" t="s">
        <v>755</v>
      </c>
      <c r="K148" s="3" t="b">
        <v>1</v>
      </c>
      <c r="M148">
        <v>438</v>
      </c>
      <c r="N148" t="s">
        <v>755</v>
      </c>
      <c r="O148" s="3" t="b">
        <v>1</v>
      </c>
    </row>
    <row r="149" spans="1:15">
      <c r="A149">
        <v>440</v>
      </c>
      <c r="B149" t="s">
        <v>759</v>
      </c>
      <c r="C149">
        <v>1</v>
      </c>
      <c r="D149" t="s">
        <v>759</v>
      </c>
      <c r="E149" t="s">
        <v>169</v>
      </c>
      <c r="F149">
        <v>1</v>
      </c>
      <c r="G149">
        <v>10916</v>
      </c>
      <c r="I149">
        <v>442</v>
      </c>
      <c r="J149" t="s">
        <v>759</v>
      </c>
      <c r="K149" s="3" t="b">
        <v>1</v>
      </c>
      <c r="M149">
        <v>441</v>
      </c>
      <c r="N149" t="s">
        <v>759</v>
      </c>
      <c r="O149" s="3" t="b">
        <v>1</v>
      </c>
    </row>
    <row r="150" spans="1:15">
      <c r="A150">
        <v>443</v>
      </c>
      <c r="B150" t="s">
        <v>763</v>
      </c>
      <c r="C150">
        <v>1</v>
      </c>
      <c r="D150" t="s">
        <v>763</v>
      </c>
      <c r="E150" t="s">
        <v>170</v>
      </c>
      <c r="F150">
        <v>1</v>
      </c>
      <c r="G150">
        <v>13590</v>
      </c>
      <c r="I150">
        <v>445</v>
      </c>
      <c r="J150" t="s">
        <v>763</v>
      </c>
      <c r="K150" s="3" t="b">
        <v>1</v>
      </c>
      <c r="M150">
        <v>444</v>
      </c>
      <c r="N150" t="s">
        <v>763</v>
      </c>
      <c r="O150" s="3" t="b">
        <v>1</v>
      </c>
    </row>
    <row r="151" spans="1:15">
      <c r="A151">
        <v>446</v>
      </c>
      <c r="B151" t="s">
        <v>767</v>
      </c>
      <c r="C151">
        <v>1</v>
      </c>
      <c r="D151" t="s">
        <v>767</v>
      </c>
      <c r="E151" t="s">
        <v>171</v>
      </c>
      <c r="F151">
        <v>1</v>
      </c>
      <c r="G151">
        <v>15700</v>
      </c>
      <c r="I151">
        <v>448</v>
      </c>
      <c r="J151" t="s">
        <v>767</v>
      </c>
      <c r="K151" s="3" t="b">
        <v>1</v>
      </c>
      <c r="M151">
        <v>447</v>
      </c>
      <c r="N151" t="s">
        <v>767</v>
      </c>
      <c r="O151" s="3" t="b">
        <v>1</v>
      </c>
    </row>
    <row r="152" spans="1:15">
      <c r="A152">
        <v>449</v>
      </c>
      <c r="B152" t="s">
        <v>771</v>
      </c>
      <c r="C152">
        <v>1</v>
      </c>
      <c r="D152" t="s">
        <v>771</v>
      </c>
      <c r="E152" t="s">
        <v>172</v>
      </c>
      <c r="F152">
        <v>1</v>
      </c>
      <c r="G152">
        <v>43448</v>
      </c>
      <c r="I152">
        <v>451</v>
      </c>
      <c r="J152" t="s">
        <v>771</v>
      </c>
      <c r="K152" s="3" t="b">
        <v>1</v>
      </c>
      <c r="M152">
        <v>450</v>
      </c>
      <c r="N152" t="s">
        <v>771</v>
      </c>
      <c r="O152" s="3" t="b">
        <v>1</v>
      </c>
    </row>
    <row r="153" spans="1:15">
      <c r="A153">
        <v>452</v>
      </c>
      <c r="B153" t="s">
        <v>775</v>
      </c>
      <c r="C153">
        <v>1</v>
      </c>
      <c r="D153" t="s">
        <v>775</v>
      </c>
      <c r="E153" t="s">
        <v>173</v>
      </c>
      <c r="F153">
        <v>1</v>
      </c>
      <c r="G153">
        <v>21220</v>
      </c>
      <c r="I153">
        <v>454</v>
      </c>
      <c r="J153" t="s">
        <v>775</v>
      </c>
      <c r="K153" s="3" t="b">
        <v>1</v>
      </c>
      <c r="M153">
        <v>453</v>
      </c>
      <c r="N153" t="s">
        <v>775</v>
      </c>
      <c r="O153" s="3" t="b">
        <v>1</v>
      </c>
    </row>
    <row r="154" spans="1:15">
      <c r="A154">
        <v>455</v>
      </c>
      <c r="B154" t="s">
        <v>779</v>
      </c>
      <c r="C154">
        <v>1</v>
      </c>
      <c r="D154" t="s">
        <v>779</v>
      </c>
      <c r="E154" t="s">
        <v>174</v>
      </c>
      <c r="F154">
        <v>1</v>
      </c>
      <c r="G154">
        <v>16876</v>
      </c>
      <c r="I154">
        <v>457</v>
      </c>
      <c r="J154" t="s">
        <v>779</v>
      </c>
      <c r="K154" s="3" t="b">
        <v>1</v>
      </c>
      <c r="M154">
        <v>456</v>
      </c>
      <c r="N154" t="s">
        <v>779</v>
      </c>
      <c r="O154" s="3" t="b">
        <v>1</v>
      </c>
    </row>
    <row r="155" spans="1:15">
      <c r="A155">
        <v>458</v>
      </c>
      <c r="B155" t="s">
        <v>783</v>
      </c>
      <c r="C155">
        <v>1</v>
      </c>
      <c r="D155" t="s">
        <v>783</v>
      </c>
      <c r="E155" t="s">
        <v>175</v>
      </c>
      <c r="F155">
        <v>1</v>
      </c>
      <c r="G155">
        <v>14138</v>
      </c>
      <c r="I155">
        <v>460</v>
      </c>
      <c r="J155" t="s">
        <v>783</v>
      </c>
      <c r="K155" s="3" t="b">
        <v>1</v>
      </c>
      <c r="M155">
        <v>459</v>
      </c>
      <c r="N155" t="s">
        <v>783</v>
      </c>
      <c r="O155" s="3" t="b">
        <v>1</v>
      </c>
    </row>
    <row r="156" spans="1:15">
      <c r="A156">
        <v>461</v>
      </c>
      <c r="B156" t="s">
        <v>787</v>
      </c>
      <c r="C156">
        <v>1</v>
      </c>
      <c r="D156" t="s">
        <v>787</v>
      </c>
      <c r="E156" t="s">
        <v>176</v>
      </c>
      <c r="F156">
        <v>1</v>
      </c>
      <c r="G156">
        <v>20557</v>
      </c>
      <c r="I156">
        <v>463</v>
      </c>
      <c r="J156" t="s">
        <v>787</v>
      </c>
      <c r="K156" s="3" t="b">
        <v>1</v>
      </c>
      <c r="M156">
        <v>462</v>
      </c>
      <c r="N156" t="s">
        <v>787</v>
      </c>
      <c r="O156" s="3" t="b">
        <v>1</v>
      </c>
    </row>
    <row r="157" spans="1:15">
      <c r="A157">
        <v>464</v>
      </c>
      <c r="B157" t="s">
        <v>791</v>
      </c>
      <c r="C157">
        <v>1</v>
      </c>
      <c r="D157" t="s">
        <v>791</v>
      </c>
      <c r="E157" t="s">
        <v>177</v>
      </c>
      <c r="F157">
        <v>1</v>
      </c>
      <c r="G157">
        <v>45607</v>
      </c>
      <c r="I157">
        <v>466</v>
      </c>
      <c r="J157" t="s">
        <v>791</v>
      </c>
      <c r="K157" s="3" t="b">
        <v>1</v>
      </c>
      <c r="M157">
        <v>465</v>
      </c>
      <c r="N157" t="s">
        <v>791</v>
      </c>
      <c r="O157" s="3" t="b">
        <v>1</v>
      </c>
    </row>
    <row r="158" spans="1:15">
      <c r="A158">
        <v>467</v>
      </c>
      <c r="B158" t="s">
        <v>795</v>
      </c>
      <c r="C158">
        <v>1</v>
      </c>
      <c r="D158" t="s">
        <v>795</v>
      </c>
      <c r="E158" t="s">
        <v>178</v>
      </c>
      <c r="F158">
        <v>1</v>
      </c>
      <c r="G158">
        <v>47812</v>
      </c>
      <c r="I158">
        <v>469</v>
      </c>
      <c r="J158" t="s">
        <v>795</v>
      </c>
      <c r="K158" s="3" t="b">
        <v>1</v>
      </c>
      <c r="M158">
        <v>468</v>
      </c>
      <c r="N158" t="s">
        <v>795</v>
      </c>
      <c r="O158" s="3" t="b">
        <v>1</v>
      </c>
    </row>
    <row r="159" spans="1:15">
      <c r="A159">
        <v>470</v>
      </c>
      <c r="B159" t="s">
        <v>799</v>
      </c>
      <c r="C159">
        <v>1</v>
      </c>
      <c r="D159" t="s">
        <v>799</v>
      </c>
      <c r="E159" t="s">
        <v>179</v>
      </c>
      <c r="F159">
        <v>1</v>
      </c>
      <c r="G159">
        <v>25569</v>
      </c>
      <c r="I159">
        <v>472</v>
      </c>
      <c r="J159" t="s">
        <v>799</v>
      </c>
      <c r="K159" s="3" t="b">
        <v>1</v>
      </c>
      <c r="M159">
        <v>471</v>
      </c>
      <c r="N159" t="s">
        <v>799</v>
      </c>
      <c r="O159" s="3" t="b">
        <v>1</v>
      </c>
    </row>
    <row r="160" spans="1:15">
      <c r="A160">
        <v>473</v>
      </c>
      <c r="B160" t="s">
        <v>803</v>
      </c>
      <c r="C160">
        <v>1</v>
      </c>
      <c r="D160" t="s">
        <v>803</v>
      </c>
      <c r="E160" t="s">
        <v>180</v>
      </c>
      <c r="F160">
        <v>1</v>
      </c>
      <c r="G160">
        <v>24145</v>
      </c>
      <c r="I160">
        <v>475</v>
      </c>
      <c r="J160" t="s">
        <v>803</v>
      </c>
      <c r="K160" s="3" t="b">
        <v>1</v>
      </c>
      <c r="M160">
        <v>474</v>
      </c>
      <c r="N160" t="s">
        <v>803</v>
      </c>
      <c r="O160" s="3" t="b">
        <v>1</v>
      </c>
    </row>
    <row r="161" spans="1:15">
      <c r="A161">
        <v>476</v>
      </c>
      <c r="B161" t="s">
        <v>807</v>
      </c>
      <c r="C161">
        <v>1</v>
      </c>
      <c r="D161" t="s">
        <v>807</v>
      </c>
      <c r="E161" t="s">
        <v>181</v>
      </c>
      <c r="F161">
        <v>1</v>
      </c>
      <c r="G161">
        <v>16980</v>
      </c>
      <c r="I161">
        <v>478</v>
      </c>
      <c r="J161" t="s">
        <v>807</v>
      </c>
      <c r="K161" s="3" t="b">
        <v>1</v>
      </c>
      <c r="M161">
        <v>477</v>
      </c>
      <c r="N161" t="s">
        <v>807</v>
      </c>
      <c r="O161" s="3" t="b">
        <v>1</v>
      </c>
    </row>
    <row r="162" spans="1:15">
      <c r="A162">
        <v>479</v>
      </c>
      <c r="B162" t="s">
        <v>811</v>
      </c>
      <c r="C162">
        <v>1</v>
      </c>
      <c r="D162" t="s">
        <v>811</v>
      </c>
      <c r="E162" t="s">
        <v>182</v>
      </c>
      <c r="F162">
        <v>1</v>
      </c>
      <c r="G162">
        <v>44225</v>
      </c>
      <c r="I162">
        <v>481</v>
      </c>
      <c r="J162" t="s">
        <v>811</v>
      </c>
      <c r="K162" s="3" t="b">
        <v>1</v>
      </c>
      <c r="M162">
        <v>480</v>
      </c>
      <c r="N162" t="s">
        <v>811</v>
      </c>
      <c r="O162" s="3" t="b">
        <v>1</v>
      </c>
    </row>
    <row r="163" spans="1:15">
      <c r="A163">
        <v>482</v>
      </c>
      <c r="B163" t="s">
        <v>815</v>
      </c>
      <c r="C163">
        <v>1</v>
      </c>
      <c r="D163" t="s">
        <v>815</v>
      </c>
      <c r="E163" t="s">
        <v>183</v>
      </c>
      <c r="F163">
        <v>1</v>
      </c>
      <c r="G163">
        <v>58578</v>
      </c>
      <c r="I163">
        <v>484</v>
      </c>
      <c r="J163" t="s">
        <v>815</v>
      </c>
      <c r="K163" s="3" t="b">
        <v>1</v>
      </c>
      <c r="M163">
        <v>483</v>
      </c>
      <c r="N163" t="s">
        <v>815</v>
      </c>
      <c r="O163" s="3" t="b">
        <v>1</v>
      </c>
    </row>
    <row r="164" spans="1:15">
      <c r="A164">
        <v>485</v>
      </c>
      <c r="B164" t="s">
        <v>819</v>
      </c>
      <c r="C164">
        <v>1</v>
      </c>
      <c r="D164" t="s">
        <v>819</v>
      </c>
      <c r="E164" t="s">
        <v>184</v>
      </c>
      <c r="F164">
        <v>1</v>
      </c>
      <c r="G164">
        <v>19565</v>
      </c>
      <c r="I164">
        <v>487</v>
      </c>
      <c r="J164" t="s">
        <v>819</v>
      </c>
      <c r="K164" s="3" t="b">
        <v>1</v>
      </c>
      <c r="M164">
        <v>486</v>
      </c>
      <c r="N164" t="s">
        <v>819</v>
      </c>
      <c r="O164" s="3" t="b">
        <v>1</v>
      </c>
    </row>
    <row r="165" spans="1:15">
      <c r="A165">
        <v>488</v>
      </c>
      <c r="B165" t="s">
        <v>823</v>
      </c>
      <c r="C165">
        <v>1</v>
      </c>
      <c r="D165" t="s">
        <v>823</v>
      </c>
      <c r="E165" t="s">
        <v>185</v>
      </c>
      <c r="F165">
        <v>1</v>
      </c>
      <c r="G165">
        <v>30656</v>
      </c>
      <c r="I165">
        <v>490</v>
      </c>
      <c r="J165" t="s">
        <v>823</v>
      </c>
      <c r="K165" s="3" t="b">
        <v>1</v>
      </c>
      <c r="M165">
        <v>489</v>
      </c>
      <c r="N165" t="s">
        <v>823</v>
      </c>
      <c r="O165" s="3" t="b">
        <v>1</v>
      </c>
    </row>
    <row r="166" spans="1:15">
      <c r="A166">
        <v>491</v>
      </c>
      <c r="B166" t="s">
        <v>827</v>
      </c>
      <c r="C166">
        <v>1</v>
      </c>
      <c r="D166" t="s">
        <v>827</v>
      </c>
      <c r="E166" t="s">
        <v>186</v>
      </c>
      <c r="F166">
        <v>1</v>
      </c>
      <c r="G166">
        <v>10856</v>
      </c>
      <c r="I166">
        <v>493</v>
      </c>
      <c r="J166" t="s">
        <v>827</v>
      </c>
      <c r="K166" s="3" t="b">
        <v>1</v>
      </c>
      <c r="M166">
        <v>492</v>
      </c>
      <c r="N166" t="s">
        <v>827</v>
      </c>
      <c r="O166" s="3" t="b">
        <v>1</v>
      </c>
    </row>
    <row r="167" spans="1:15">
      <c r="A167">
        <v>494</v>
      </c>
      <c r="B167" t="s">
        <v>831</v>
      </c>
      <c r="C167">
        <v>1</v>
      </c>
      <c r="D167" t="s">
        <v>831</v>
      </c>
      <c r="E167" t="s">
        <v>187</v>
      </c>
      <c r="F167">
        <v>1</v>
      </c>
      <c r="G167">
        <v>117595</v>
      </c>
      <c r="I167">
        <v>496</v>
      </c>
      <c r="J167" t="s">
        <v>831</v>
      </c>
      <c r="K167" s="3" t="b">
        <v>1</v>
      </c>
      <c r="M167">
        <v>495</v>
      </c>
      <c r="N167" t="s">
        <v>831</v>
      </c>
      <c r="O167" s="3" t="b">
        <v>1</v>
      </c>
    </row>
    <row r="168" spans="1:15">
      <c r="A168">
        <v>497</v>
      </c>
      <c r="B168" t="s">
        <v>835</v>
      </c>
      <c r="C168">
        <v>1</v>
      </c>
      <c r="D168" t="s">
        <v>835</v>
      </c>
      <c r="E168" t="s">
        <v>188</v>
      </c>
      <c r="F168">
        <v>1</v>
      </c>
      <c r="G168">
        <v>40437</v>
      </c>
      <c r="I168">
        <v>499</v>
      </c>
      <c r="J168" t="s">
        <v>835</v>
      </c>
      <c r="K168" s="3" t="b">
        <v>1</v>
      </c>
      <c r="M168">
        <v>498</v>
      </c>
      <c r="N168" t="s">
        <v>835</v>
      </c>
      <c r="O168" s="3" t="b">
        <v>1</v>
      </c>
    </row>
    <row r="169" spans="1:15">
      <c r="A169">
        <v>500</v>
      </c>
      <c r="B169" t="s">
        <v>839</v>
      </c>
      <c r="C169">
        <v>1</v>
      </c>
      <c r="D169" t="s">
        <v>839</v>
      </c>
      <c r="E169" t="s">
        <v>189</v>
      </c>
      <c r="F169">
        <v>1</v>
      </c>
      <c r="G169">
        <v>25742</v>
      </c>
      <c r="I169">
        <v>502</v>
      </c>
      <c r="J169" t="s">
        <v>839</v>
      </c>
      <c r="K169" s="3" t="b">
        <v>1</v>
      </c>
      <c r="M169">
        <v>501</v>
      </c>
      <c r="N169" t="s">
        <v>839</v>
      </c>
      <c r="O169" s="3" t="b">
        <v>1</v>
      </c>
    </row>
    <row r="170" spans="1:15">
      <c r="A170">
        <v>503</v>
      </c>
      <c r="B170" t="s">
        <v>843</v>
      </c>
      <c r="C170">
        <v>1</v>
      </c>
      <c r="D170" t="s">
        <v>843</v>
      </c>
      <c r="E170" t="s">
        <v>190</v>
      </c>
      <c r="F170">
        <v>1</v>
      </c>
      <c r="G170">
        <v>19230</v>
      </c>
      <c r="I170">
        <v>505</v>
      </c>
      <c r="J170" t="s">
        <v>843</v>
      </c>
      <c r="K170" s="3" t="b">
        <v>1</v>
      </c>
      <c r="M170">
        <v>504</v>
      </c>
      <c r="N170" t="s">
        <v>843</v>
      </c>
      <c r="O170" s="3" t="b">
        <v>1</v>
      </c>
    </row>
    <row r="171" spans="1:15">
      <c r="A171">
        <v>506</v>
      </c>
      <c r="B171" t="s">
        <v>847</v>
      </c>
      <c r="C171">
        <v>1</v>
      </c>
      <c r="D171" t="s">
        <v>847</v>
      </c>
      <c r="E171" t="s">
        <v>191</v>
      </c>
      <c r="F171">
        <v>1</v>
      </c>
      <c r="G171">
        <v>27042</v>
      </c>
      <c r="I171">
        <v>508</v>
      </c>
      <c r="J171" t="s">
        <v>847</v>
      </c>
      <c r="K171" s="3" t="b">
        <v>1</v>
      </c>
      <c r="M171">
        <v>507</v>
      </c>
      <c r="N171" t="s">
        <v>847</v>
      </c>
      <c r="O171" s="3" t="b">
        <v>1</v>
      </c>
    </row>
    <row r="172" spans="1:15">
      <c r="A172">
        <v>509</v>
      </c>
      <c r="B172" t="s">
        <v>851</v>
      </c>
      <c r="C172">
        <v>1</v>
      </c>
      <c r="D172" t="s">
        <v>851</v>
      </c>
      <c r="E172" t="s">
        <v>192</v>
      </c>
      <c r="F172">
        <v>1</v>
      </c>
      <c r="G172">
        <v>82751</v>
      </c>
      <c r="I172">
        <v>511</v>
      </c>
      <c r="J172" t="s">
        <v>851</v>
      </c>
      <c r="K172" s="3" t="b">
        <v>1</v>
      </c>
      <c r="M172">
        <v>510</v>
      </c>
      <c r="N172" t="s">
        <v>851</v>
      </c>
      <c r="O172" s="3" t="b">
        <v>1</v>
      </c>
    </row>
    <row r="173" spans="1:15">
      <c r="A173">
        <v>512</v>
      </c>
      <c r="B173" t="s">
        <v>855</v>
      </c>
      <c r="C173">
        <v>1</v>
      </c>
      <c r="D173" t="s">
        <v>855</v>
      </c>
      <c r="E173" t="s">
        <v>193</v>
      </c>
      <c r="F173">
        <v>1</v>
      </c>
      <c r="G173">
        <v>37274</v>
      </c>
      <c r="I173">
        <v>514</v>
      </c>
      <c r="J173" t="s">
        <v>855</v>
      </c>
      <c r="K173" s="3" t="b">
        <v>1</v>
      </c>
      <c r="M173">
        <v>513</v>
      </c>
      <c r="N173" t="s">
        <v>855</v>
      </c>
      <c r="O173" s="3" t="b">
        <v>1</v>
      </c>
    </row>
    <row r="174" spans="1:15">
      <c r="A174">
        <v>515</v>
      </c>
      <c r="B174" t="s">
        <v>859</v>
      </c>
      <c r="C174">
        <v>1</v>
      </c>
      <c r="D174" t="s">
        <v>859</v>
      </c>
      <c r="E174" t="s">
        <v>194</v>
      </c>
      <c r="F174">
        <v>1</v>
      </c>
      <c r="G174">
        <v>38684</v>
      </c>
      <c r="I174">
        <v>517</v>
      </c>
      <c r="J174" t="s">
        <v>859</v>
      </c>
      <c r="K174" s="3" t="b">
        <v>1</v>
      </c>
      <c r="M174">
        <v>516</v>
      </c>
      <c r="N174" t="s">
        <v>859</v>
      </c>
      <c r="O174" s="3" t="b">
        <v>1</v>
      </c>
    </row>
    <row r="175" spans="1:15">
      <c r="A175">
        <v>518</v>
      </c>
      <c r="B175" t="s">
        <v>863</v>
      </c>
      <c r="C175">
        <v>1</v>
      </c>
      <c r="D175" t="s">
        <v>863</v>
      </c>
      <c r="E175" t="s">
        <v>195</v>
      </c>
      <c r="F175">
        <v>1</v>
      </c>
      <c r="G175">
        <v>18839</v>
      </c>
      <c r="I175">
        <v>520</v>
      </c>
      <c r="J175" t="s">
        <v>863</v>
      </c>
      <c r="K175" s="3" t="b">
        <v>1</v>
      </c>
      <c r="M175">
        <v>519</v>
      </c>
      <c r="N175" t="s">
        <v>863</v>
      </c>
      <c r="O175" s="3" t="b">
        <v>1</v>
      </c>
    </row>
    <row r="176" spans="1:15">
      <c r="A176">
        <v>521</v>
      </c>
      <c r="B176" t="s">
        <v>867</v>
      </c>
      <c r="C176">
        <v>1</v>
      </c>
      <c r="D176" t="s">
        <v>867</v>
      </c>
      <c r="E176" t="s">
        <v>196</v>
      </c>
      <c r="F176">
        <v>1</v>
      </c>
      <c r="G176">
        <v>26558</v>
      </c>
      <c r="I176">
        <v>523</v>
      </c>
      <c r="J176" t="s">
        <v>867</v>
      </c>
      <c r="K176" s="3" t="b">
        <v>1</v>
      </c>
      <c r="M176">
        <v>522</v>
      </c>
      <c r="N176" t="s">
        <v>867</v>
      </c>
      <c r="O176" s="3" t="b">
        <v>1</v>
      </c>
    </row>
    <row r="177" spans="1:15">
      <c r="A177">
        <v>524</v>
      </c>
      <c r="B177" t="s">
        <v>871</v>
      </c>
      <c r="C177">
        <v>1</v>
      </c>
      <c r="D177" t="s">
        <v>871</v>
      </c>
      <c r="E177" t="s">
        <v>197</v>
      </c>
      <c r="F177">
        <v>1</v>
      </c>
      <c r="G177">
        <v>75478</v>
      </c>
      <c r="I177">
        <v>526</v>
      </c>
      <c r="J177" t="s">
        <v>871</v>
      </c>
      <c r="K177" s="3" t="b">
        <v>1</v>
      </c>
      <c r="M177">
        <v>525</v>
      </c>
      <c r="N177" t="s">
        <v>871</v>
      </c>
      <c r="O177" s="3" t="b">
        <v>1</v>
      </c>
    </row>
    <row r="178" spans="1:15">
      <c r="A178">
        <v>527</v>
      </c>
      <c r="B178" t="s">
        <v>875</v>
      </c>
      <c r="C178">
        <v>1</v>
      </c>
      <c r="D178" t="s">
        <v>875</v>
      </c>
      <c r="E178" t="s">
        <v>198</v>
      </c>
      <c r="F178">
        <v>1</v>
      </c>
      <c r="G178">
        <v>35291</v>
      </c>
      <c r="I178">
        <v>529</v>
      </c>
      <c r="J178" t="s">
        <v>875</v>
      </c>
      <c r="K178" s="3" t="b">
        <v>1</v>
      </c>
      <c r="M178">
        <v>528</v>
      </c>
      <c r="N178" t="s">
        <v>875</v>
      </c>
      <c r="O178" s="3" t="b">
        <v>1</v>
      </c>
    </row>
    <row r="179" spans="1:15">
      <c r="A179">
        <v>530</v>
      </c>
      <c r="B179" t="s">
        <v>879</v>
      </c>
      <c r="C179">
        <v>1</v>
      </c>
      <c r="D179" t="s">
        <v>879</v>
      </c>
      <c r="E179" t="s">
        <v>199</v>
      </c>
      <c r="F179">
        <v>1</v>
      </c>
      <c r="G179">
        <v>21245</v>
      </c>
      <c r="I179">
        <v>532</v>
      </c>
      <c r="J179" t="s">
        <v>879</v>
      </c>
      <c r="K179" s="3" t="b">
        <v>1</v>
      </c>
      <c r="M179">
        <v>531</v>
      </c>
      <c r="N179" t="s">
        <v>879</v>
      </c>
      <c r="O179" s="3" t="b">
        <v>1</v>
      </c>
    </row>
    <row r="180" spans="1:15">
      <c r="A180">
        <v>533</v>
      </c>
      <c r="B180" t="s">
        <v>883</v>
      </c>
      <c r="C180">
        <v>1</v>
      </c>
      <c r="D180" t="s">
        <v>883</v>
      </c>
      <c r="E180" t="s">
        <v>200</v>
      </c>
      <c r="F180">
        <v>1</v>
      </c>
      <c r="G180">
        <v>33503</v>
      </c>
      <c r="I180">
        <v>535</v>
      </c>
      <c r="J180" t="s">
        <v>883</v>
      </c>
      <c r="K180" s="3" t="b">
        <v>1</v>
      </c>
      <c r="M180">
        <v>534</v>
      </c>
      <c r="N180" t="s">
        <v>883</v>
      </c>
      <c r="O180" s="3" t="b">
        <v>1</v>
      </c>
    </row>
    <row r="181" spans="1:15">
      <c r="A181">
        <v>536</v>
      </c>
      <c r="B181" t="s">
        <v>887</v>
      </c>
      <c r="C181">
        <v>1</v>
      </c>
      <c r="D181" t="s">
        <v>887</v>
      </c>
      <c r="E181" t="s">
        <v>201</v>
      </c>
      <c r="F181">
        <v>1</v>
      </c>
      <c r="G181">
        <v>20226</v>
      </c>
      <c r="I181">
        <v>538</v>
      </c>
      <c r="J181" t="s">
        <v>887</v>
      </c>
      <c r="K181" s="3" t="b">
        <v>1</v>
      </c>
      <c r="M181">
        <v>537</v>
      </c>
      <c r="N181" t="s">
        <v>887</v>
      </c>
      <c r="O181" s="3" t="b">
        <v>1</v>
      </c>
    </row>
    <row r="182" spans="1:15">
      <c r="A182">
        <v>539</v>
      </c>
      <c r="B182" t="s">
        <v>891</v>
      </c>
      <c r="C182">
        <v>1</v>
      </c>
      <c r="D182" t="s">
        <v>891</v>
      </c>
      <c r="E182" t="s">
        <v>202</v>
      </c>
      <c r="F182">
        <v>1</v>
      </c>
      <c r="G182">
        <v>95151</v>
      </c>
      <c r="I182">
        <v>541</v>
      </c>
      <c r="J182" t="s">
        <v>891</v>
      </c>
      <c r="K182" s="3" t="b">
        <v>1</v>
      </c>
      <c r="M182">
        <v>540</v>
      </c>
      <c r="N182" t="s">
        <v>891</v>
      </c>
      <c r="O182" s="3" t="b">
        <v>1</v>
      </c>
    </row>
    <row r="183" spans="1:15">
      <c r="A183">
        <v>542</v>
      </c>
      <c r="B183" t="s">
        <v>895</v>
      </c>
      <c r="C183">
        <v>1</v>
      </c>
      <c r="D183" t="s">
        <v>895</v>
      </c>
      <c r="E183" t="s">
        <v>203</v>
      </c>
      <c r="F183">
        <v>1</v>
      </c>
      <c r="G183">
        <v>47161</v>
      </c>
      <c r="I183">
        <v>544</v>
      </c>
      <c r="J183" t="s">
        <v>895</v>
      </c>
      <c r="K183" s="3" t="b">
        <v>1</v>
      </c>
      <c r="M183">
        <v>543</v>
      </c>
      <c r="N183" t="s">
        <v>895</v>
      </c>
      <c r="O183" s="3" t="b">
        <v>1</v>
      </c>
    </row>
    <row r="184" spans="1:15">
      <c r="A184">
        <v>545</v>
      </c>
      <c r="B184" t="s">
        <v>899</v>
      </c>
      <c r="C184">
        <v>1</v>
      </c>
      <c r="D184" t="s">
        <v>899</v>
      </c>
      <c r="E184" t="s">
        <v>204</v>
      </c>
      <c r="F184">
        <v>1</v>
      </c>
      <c r="G184">
        <v>34231</v>
      </c>
      <c r="I184">
        <v>547</v>
      </c>
      <c r="J184" t="s">
        <v>899</v>
      </c>
      <c r="K184" s="3" t="b">
        <v>1</v>
      </c>
      <c r="M184">
        <v>546</v>
      </c>
      <c r="N184" t="s">
        <v>899</v>
      </c>
      <c r="O184" s="3" t="b">
        <v>1</v>
      </c>
    </row>
    <row r="185" spans="1:15">
      <c r="A185">
        <v>548</v>
      </c>
      <c r="B185" t="s">
        <v>903</v>
      </c>
      <c r="C185">
        <v>1</v>
      </c>
      <c r="D185" t="s">
        <v>903</v>
      </c>
      <c r="E185" t="s">
        <v>205</v>
      </c>
      <c r="F185">
        <v>1</v>
      </c>
      <c r="G185">
        <v>21736</v>
      </c>
      <c r="I185">
        <v>550</v>
      </c>
      <c r="J185" t="s">
        <v>903</v>
      </c>
      <c r="K185" s="3" t="b">
        <v>1</v>
      </c>
      <c r="M185">
        <v>549</v>
      </c>
      <c r="N185" t="s">
        <v>903</v>
      </c>
      <c r="O185" s="3" t="b">
        <v>1</v>
      </c>
    </row>
    <row r="186" spans="1:15">
      <c r="A186">
        <v>551</v>
      </c>
      <c r="B186" t="s">
        <v>907</v>
      </c>
      <c r="C186">
        <v>1</v>
      </c>
      <c r="D186" t="s">
        <v>907</v>
      </c>
      <c r="E186" t="s">
        <v>206</v>
      </c>
      <c r="F186">
        <v>1</v>
      </c>
      <c r="G186">
        <v>25859</v>
      </c>
      <c r="I186">
        <v>553</v>
      </c>
      <c r="J186" t="s">
        <v>907</v>
      </c>
      <c r="K186" s="3" t="b">
        <v>1</v>
      </c>
      <c r="M186">
        <v>552</v>
      </c>
      <c r="N186" t="s">
        <v>907</v>
      </c>
      <c r="O186" s="3" t="b">
        <v>1</v>
      </c>
    </row>
    <row r="187" spans="1:15">
      <c r="A187">
        <v>554</v>
      </c>
      <c r="B187" t="s">
        <v>911</v>
      </c>
      <c r="C187">
        <v>1</v>
      </c>
      <c r="D187" t="s">
        <v>911</v>
      </c>
      <c r="E187" t="s">
        <v>207</v>
      </c>
      <c r="F187">
        <v>1</v>
      </c>
      <c r="G187">
        <v>94043</v>
      </c>
      <c r="I187">
        <v>556</v>
      </c>
      <c r="J187" t="s">
        <v>911</v>
      </c>
      <c r="K187" s="3" t="b">
        <v>1</v>
      </c>
      <c r="M187">
        <v>555</v>
      </c>
      <c r="N187" t="s">
        <v>911</v>
      </c>
      <c r="O187" s="3" t="b">
        <v>1</v>
      </c>
    </row>
    <row r="188" spans="1:15">
      <c r="A188">
        <v>557</v>
      </c>
      <c r="B188" t="s">
        <v>915</v>
      </c>
      <c r="C188">
        <v>1</v>
      </c>
      <c r="D188" t="s">
        <v>915</v>
      </c>
      <c r="E188" t="s">
        <v>208</v>
      </c>
      <c r="F188">
        <v>1</v>
      </c>
      <c r="G188">
        <v>78355</v>
      </c>
      <c r="I188">
        <v>559</v>
      </c>
      <c r="J188" t="s">
        <v>915</v>
      </c>
      <c r="K188" s="3" t="b">
        <v>1</v>
      </c>
      <c r="M188">
        <v>558</v>
      </c>
      <c r="N188" t="s">
        <v>915</v>
      </c>
      <c r="O188" s="3" t="b">
        <v>1</v>
      </c>
    </row>
    <row r="189" spans="1:15">
      <c r="A189">
        <v>560</v>
      </c>
      <c r="B189" t="s">
        <v>919</v>
      </c>
      <c r="C189">
        <v>1</v>
      </c>
      <c r="D189" t="s">
        <v>919</v>
      </c>
      <c r="E189" t="s">
        <v>209</v>
      </c>
      <c r="F189">
        <v>1</v>
      </c>
      <c r="G189">
        <v>29834</v>
      </c>
      <c r="I189">
        <v>562</v>
      </c>
      <c r="J189" t="s">
        <v>919</v>
      </c>
      <c r="K189" s="3" t="b">
        <v>1</v>
      </c>
      <c r="M189">
        <v>561</v>
      </c>
      <c r="N189" t="s">
        <v>919</v>
      </c>
      <c r="O189" s="3" t="b">
        <v>1</v>
      </c>
    </row>
    <row r="190" spans="1:15">
      <c r="A190">
        <v>563</v>
      </c>
      <c r="B190" t="s">
        <v>923</v>
      </c>
      <c r="C190">
        <v>1</v>
      </c>
      <c r="D190" t="s">
        <v>923</v>
      </c>
      <c r="E190" t="s">
        <v>210</v>
      </c>
      <c r="F190">
        <v>1</v>
      </c>
      <c r="G190">
        <v>27532</v>
      </c>
      <c r="I190">
        <v>565</v>
      </c>
      <c r="J190" t="s">
        <v>923</v>
      </c>
      <c r="K190" s="3" t="b">
        <v>1</v>
      </c>
      <c r="M190">
        <v>564</v>
      </c>
      <c r="N190" t="s">
        <v>923</v>
      </c>
      <c r="O190" s="3" t="b">
        <v>1</v>
      </c>
    </row>
    <row r="191" spans="1:15">
      <c r="A191">
        <v>566</v>
      </c>
      <c r="B191" t="s">
        <v>927</v>
      </c>
      <c r="C191">
        <v>1</v>
      </c>
      <c r="D191" t="s">
        <v>927</v>
      </c>
      <c r="E191" t="s">
        <v>211</v>
      </c>
      <c r="F191">
        <v>1</v>
      </c>
      <c r="G191">
        <v>31102</v>
      </c>
      <c r="I191">
        <v>568</v>
      </c>
      <c r="J191" t="s">
        <v>927</v>
      </c>
      <c r="K191" s="3" t="b">
        <v>1</v>
      </c>
      <c r="M191">
        <v>567</v>
      </c>
      <c r="N191" t="s">
        <v>927</v>
      </c>
      <c r="O191" s="3" t="b">
        <v>1</v>
      </c>
    </row>
    <row r="192" spans="1:15">
      <c r="A192">
        <v>569</v>
      </c>
      <c r="B192" t="s">
        <v>931</v>
      </c>
      <c r="C192">
        <v>1</v>
      </c>
      <c r="D192" t="s">
        <v>931</v>
      </c>
      <c r="E192" t="s">
        <v>212</v>
      </c>
      <c r="F192">
        <v>1</v>
      </c>
      <c r="G192">
        <v>139111</v>
      </c>
      <c r="I192">
        <v>571</v>
      </c>
      <c r="J192" t="s">
        <v>931</v>
      </c>
      <c r="K192" s="3" t="b">
        <v>1</v>
      </c>
      <c r="M192">
        <v>570</v>
      </c>
      <c r="N192" t="s">
        <v>931</v>
      </c>
      <c r="O192" s="3" t="b">
        <v>1</v>
      </c>
    </row>
    <row r="193" spans="1:15">
      <c r="A193">
        <v>572</v>
      </c>
      <c r="B193" t="s">
        <v>935</v>
      </c>
      <c r="C193">
        <v>1</v>
      </c>
      <c r="D193" t="s">
        <v>935</v>
      </c>
      <c r="E193" t="s">
        <v>213</v>
      </c>
      <c r="F193">
        <v>1</v>
      </c>
      <c r="G193">
        <v>42050</v>
      </c>
      <c r="I193">
        <v>574</v>
      </c>
      <c r="J193" t="s">
        <v>935</v>
      </c>
      <c r="K193" s="3" t="b">
        <v>1</v>
      </c>
      <c r="M193">
        <v>573</v>
      </c>
      <c r="N193" t="s">
        <v>935</v>
      </c>
      <c r="O193" s="3" t="b">
        <v>1</v>
      </c>
    </row>
    <row r="194" spans="1:15">
      <c r="A194">
        <v>575</v>
      </c>
      <c r="B194" t="s">
        <v>939</v>
      </c>
      <c r="C194">
        <v>1</v>
      </c>
      <c r="D194" t="s">
        <v>939</v>
      </c>
      <c r="E194" t="s">
        <v>214</v>
      </c>
      <c r="F194">
        <v>1</v>
      </c>
      <c r="G194">
        <v>25896</v>
      </c>
      <c r="I194">
        <v>577</v>
      </c>
      <c r="J194" t="s">
        <v>939</v>
      </c>
      <c r="K194" s="3" t="b">
        <v>1</v>
      </c>
      <c r="M194">
        <v>576</v>
      </c>
      <c r="N194" t="s">
        <v>939</v>
      </c>
      <c r="O194" s="3" t="b">
        <v>1</v>
      </c>
    </row>
    <row r="195" spans="1:15">
      <c r="A195">
        <v>578</v>
      </c>
      <c r="B195" t="s">
        <v>943</v>
      </c>
      <c r="C195">
        <v>1</v>
      </c>
      <c r="D195" t="s">
        <v>943</v>
      </c>
      <c r="E195" t="s">
        <v>215</v>
      </c>
      <c r="F195">
        <v>1</v>
      </c>
      <c r="G195">
        <v>51505</v>
      </c>
      <c r="I195">
        <v>580</v>
      </c>
      <c r="J195" t="s">
        <v>943</v>
      </c>
      <c r="K195" s="3" t="b">
        <v>1</v>
      </c>
      <c r="M195">
        <v>579</v>
      </c>
      <c r="N195" t="s">
        <v>943</v>
      </c>
      <c r="O195" s="3" t="b">
        <v>1</v>
      </c>
    </row>
    <row r="196" spans="1:15">
      <c r="A196">
        <v>581</v>
      </c>
      <c r="B196" t="s">
        <v>947</v>
      </c>
      <c r="C196">
        <v>1</v>
      </c>
      <c r="D196" t="s">
        <v>947</v>
      </c>
      <c r="E196" t="s">
        <v>216</v>
      </c>
      <c r="F196">
        <v>1</v>
      </c>
      <c r="G196">
        <v>22814</v>
      </c>
      <c r="I196">
        <v>583</v>
      </c>
      <c r="J196" t="s">
        <v>947</v>
      </c>
      <c r="K196" s="3" t="b">
        <v>1</v>
      </c>
      <c r="M196">
        <v>582</v>
      </c>
      <c r="N196" t="s">
        <v>947</v>
      </c>
      <c r="O196" s="3" t="b">
        <v>1</v>
      </c>
    </row>
    <row r="197" spans="1:15">
      <c r="A197">
        <v>584</v>
      </c>
      <c r="B197" t="s">
        <v>951</v>
      </c>
      <c r="C197">
        <v>1</v>
      </c>
      <c r="D197" t="s">
        <v>951</v>
      </c>
      <c r="E197" t="s">
        <v>217</v>
      </c>
      <c r="F197">
        <v>1</v>
      </c>
      <c r="G197">
        <v>147713</v>
      </c>
      <c r="I197">
        <v>586</v>
      </c>
      <c r="J197" t="s">
        <v>951</v>
      </c>
      <c r="K197" s="3" t="b">
        <v>1</v>
      </c>
      <c r="M197">
        <v>585</v>
      </c>
      <c r="N197" t="s">
        <v>951</v>
      </c>
      <c r="O197" s="3" t="b">
        <v>1</v>
      </c>
    </row>
    <row r="198" spans="1:15">
      <c r="A198">
        <v>587</v>
      </c>
      <c r="B198" t="s">
        <v>955</v>
      </c>
      <c r="C198">
        <v>1</v>
      </c>
      <c r="D198" t="s">
        <v>955</v>
      </c>
      <c r="E198" t="s">
        <v>218</v>
      </c>
      <c r="F198">
        <v>1</v>
      </c>
      <c r="G198">
        <v>65940</v>
      </c>
      <c r="I198">
        <v>589</v>
      </c>
      <c r="J198" t="s">
        <v>955</v>
      </c>
      <c r="K198" s="3" t="b">
        <v>1</v>
      </c>
      <c r="M198">
        <v>588</v>
      </c>
      <c r="N198" t="s">
        <v>955</v>
      </c>
      <c r="O198" s="3" t="b">
        <v>1</v>
      </c>
    </row>
    <row r="199" spans="1:15">
      <c r="A199">
        <v>590</v>
      </c>
      <c r="B199" t="s">
        <v>959</v>
      </c>
      <c r="C199">
        <v>1</v>
      </c>
      <c r="D199" t="s">
        <v>959</v>
      </c>
      <c r="E199" t="s">
        <v>219</v>
      </c>
      <c r="F199">
        <v>1</v>
      </c>
      <c r="G199">
        <v>38260</v>
      </c>
      <c r="I199">
        <v>592</v>
      </c>
      <c r="J199" t="s">
        <v>959</v>
      </c>
      <c r="K199" s="3" t="b">
        <v>1</v>
      </c>
      <c r="M199">
        <v>591</v>
      </c>
      <c r="N199" t="s">
        <v>959</v>
      </c>
      <c r="O199" s="3" t="b">
        <v>1</v>
      </c>
    </row>
    <row r="200" spans="1:15">
      <c r="A200">
        <v>593</v>
      </c>
      <c r="B200" t="s">
        <v>963</v>
      </c>
      <c r="C200">
        <v>1</v>
      </c>
      <c r="D200" t="s">
        <v>963</v>
      </c>
      <c r="E200" t="s">
        <v>220</v>
      </c>
      <c r="F200">
        <v>1</v>
      </c>
      <c r="G200">
        <v>66154</v>
      </c>
      <c r="I200">
        <v>595</v>
      </c>
      <c r="J200" t="s">
        <v>963</v>
      </c>
      <c r="K200" s="3" t="b">
        <v>1</v>
      </c>
      <c r="M200">
        <v>594</v>
      </c>
      <c r="N200" t="s">
        <v>963</v>
      </c>
      <c r="O200" s="3" t="b">
        <v>1</v>
      </c>
    </row>
    <row r="201" spans="1:15">
      <c r="A201">
        <v>596</v>
      </c>
      <c r="B201" t="s">
        <v>967</v>
      </c>
      <c r="C201">
        <v>1</v>
      </c>
      <c r="D201" t="s">
        <v>967</v>
      </c>
      <c r="E201" t="s">
        <v>221</v>
      </c>
      <c r="F201">
        <v>1</v>
      </c>
      <c r="G201">
        <v>19712</v>
      </c>
      <c r="I201">
        <v>598</v>
      </c>
      <c r="J201" t="s">
        <v>967</v>
      </c>
      <c r="K201" s="3" t="b">
        <v>1</v>
      </c>
      <c r="M201">
        <v>597</v>
      </c>
      <c r="N201" t="s">
        <v>967</v>
      </c>
      <c r="O201" s="3" t="b">
        <v>1</v>
      </c>
    </row>
    <row r="202" spans="1:15">
      <c r="A202">
        <v>599</v>
      </c>
      <c r="B202" t="s">
        <v>971</v>
      </c>
      <c r="C202">
        <v>1</v>
      </c>
      <c r="D202" t="s">
        <v>971</v>
      </c>
      <c r="E202" t="s">
        <v>222</v>
      </c>
      <c r="F202">
        <v>1</v>
      </c>
      <c r="G202">
        <v>107798</v>
      </c>
      <c r="I202">
        <v>601</v>
      </c>
      <c r="J202" t="s">
        <v>971</v>
      </c>
      <c r="K202" s="3" t="b">
        <v>1</v>
      </c>
      <c r="M202">
        <v>600</v>
      </c>
      <c r="N202" t="s">
        <v>971</v>
      </c>
      <c r="O202" s="3" t="b">
        <v>1</v>
      </c>
    </row>
    <row r="203" spans="1:15">
      <c r="A203">
        <v>602</v>
      </c>
      <c r="B203" t="s">
        <v>975</v>
      </c>
      <c r="C203">
        <v>1</v>
      </c>
      <c r="D203" t="s">
        <v>975</v>
      </c>
      <c r="E203" t="s">
        <v>223</v>
      </c>
      <c r="F203">
        <v>1</v>
      </c>
      <c r="G203">
        <v>65449</v>
      </c>
      <c r="I203">
        <v>604</v>
      </c>
      <c r="J203" t="s">
        <v>975</v>
      </c>
      <c r="K203" s="3" t="b">
        <v>1</v>
      </c>
      <c r="M203">
        <v>603</v>
      </c>
      <c r="N203" t="s">
        <v>975</v>
      </c>
      <c r="O203" s="3" t="b">
        <v>1</v>
      </c>
    </row>
    <row r="204" spans="1:15">
      <c r="A204">
        <v>605</v>
      </c>
      <c r="B204" t="s">
        <v>979</v>
      </c>
      <c r="C204">
        <v>1</v>
      </c>
      <c r="D204" t="s">
        <v>979</v>
      </c>
      <c r="E204" t="s">
        <v>224</v>
      </c>
      <c r="F204">
        <v>1</v>
      </c>
      <c r="G204">
        <v>36391</v>
      </c>
      <c r="I204">
        <v>607</v>
      </c>
      <c r="J204" t="s">
        <v>979</v>
      </c>
      <c r="K204" s="3" t="b">
        <v>1</v>
      </c>
      <c r="M204">
        <v>606</v>
      </c>
      <c r="N204" t="s">
        <v>979</v>
      </c>
      <c r="O204" s="3" t="b">
        <v>1</v>
      </c>
    </row>
    <row r="205" spans="1:15">
      <c r="A205">
        <v>608</v>
      </c>
      <c r="B205" t="s">
        <v>983</v>
      </c>
      <c r="C205">
        <v>1</v>
      </c>
      <c r="D205" t="s">
        <v>983</v>
      </c>
      <c r="E205" t="s">
        <v>225</v>
      </c>
      <c r="F205">
        <v>1</v>
      </c>
      <c r="G205">
        <v>55233</v>
      </c>
      <c r="I205">
        <v>610</v>
      </c>
      <c r="J205" t="s">
        <v>983</v>
      </c>
      <c r="K205" s="3" t="b">
        <v>1</v>
      </c>
      <c r="M205">
        <v>609</v>
      </c>
      <c r="N205" t="s">
        <v>983</v>
      </c>
      <c r="O205" s="3" t="b">
        <v>1</v>
      </c>
    </row>
    <row r="206" spans="1:15">
      <c r="A206">
        <v>611</v>
      </c>
      <c r="B206" t="s">
        <v>987</v>
      </c>
      <c r="C206">
        <v>1</v>
      </c>
      <c r="D206" t="s">
        <v>987</v>
      </c>
      <c r="E206" t="s">
        <v>226</v>
      </c>
      <c r="F206">
        <v>1</v>
      </c>
      <c r="G206">
        <v>24139</v>
      </c>
      <c r="I206">
        <v>613</v>
      </c>
      <c r="J206" t="s">
        <v>987</v>
      </c>
      <c r="K206" s="3" t="b">
        <v>1</v>
      </c>
      <c r="M206">
        <v>612</v>
      </c>
      <c r="N206" t="s">
        <v>987</v>
      </c>
      <c r="O206" s="3" t="b">
        <v>1</v>
      </c>
    </row>
    <row r="207" spans="1:15">
      <c r="A207">
        <v>614</v>
      </c>
      <c r="B207" t="s">
        <v>991</v>
      </c>
      <c r="C207">
        <v>1</v>
      </c>
      <c r="D207" t="s">
        <v>991</v>
      </c>
      <c r="E207" t="s">
        <v>227</v>
      </c>
      <c r="F207">
        <v>1</v>
      </c>
      <c r="G207">
        <v>221824</v>
      </c>
      <c r="I207">
        <v>616</v>
      </c>
      <c r="J207" t="s">
        <v>991</v>
      </c>
      <c r="K207" s="3" t="b">
        <v>1</v>
      </c>
      <c r="M207">
        <v>615</v>
      </c>
      <c r="N207" t="s">
        <v>991</v>
      </c>
      <c r="O207" s="3" t="b">
        <v>1</v>
      </c>
    </row>
    <row r="208" spans="1:15">
      <c r="A208">
        <v>617</v>
      </c>
      <c r="B208" t="s">
        <v>995</v>
      </c>
      <c r="C208">
        <v>1</v>
      </c>
      <c r="D208" t="s">
        <v>995</v>
      </c>
      <c r="E208" t="s">
        <v>228</v>
      </c>
      <c r="F208">
        <v>1</v>
      </c>
      <c r="G208">
        <v>89449</v>
      </c>
      <c r="I208">
        <v>619</v>
      </c>
      <c r="J208" t="s">
        <v>995</v>
      </c>
      <c r="K208" s="3" t="b">
        <v>1</v>
      </c>
      <c r="M208">
        <v>618</v>
      </c>
      <c r="N208" t="s">
        <v>995</v>
      </c>
      <c r="O208" s="3" t="b">
        <v>1</v>
      </c>
    </row>
    <row r="209" spans="1:15">
      <c r="A209">
        <v>620</v>
      </c>
      <c r="B209" t="s">
        <v>999</v>
      </c>
      <c r="C209">
        <v>1</v>
      </c>
      <c r="D209" t="s">
        <v>999</v>
      </c>
      <c r="E209" t="s">
        <v>229</v>
      </c>
      <c r="F209">
        <v>1</v>
      </c>
      <c r="G209">
        <v>66483</v>
      </c>
      <c r="I209">
        <v>622</v>
      </c>
      <c r="J209" t="s">
        <v>999</v>
      </c>
      <c r="K209" s="3" t="b">
        <v>1</v>
      </c>
      <c r="M209">
        <v>621</v>
      </c>
      <c r="N209" t="s">
        <v>999</v>
      </c>
      <c r="O209" s="3" t="b">
        <v>1</v>
      </c>
    </row>
    <row r="210" spans="1:15">
      <c r="A210">
        <v>623</v>
      </c>
      <c r="B210" t="s">
        <v>1003</v>
      </c>
      <c r="C210">
        <v>1</v>
      </c>
      <c r="D210" t="s">
        <v>1003</v>
      </c>
      <c r="E210" t="s">
        <v>230</v>
      </c>
      <c r="F210">
        <v>1</v>
      </c>
      <c r="G210">
        <v>69226</v>
      </c>
      <c r="I210">
        <v>625</v>
      </c>
      <c r="J210" t="s">
        <v>1003</v>
      </c>
      <c r="K210" s="3" t="b">
        <v>1</v>
      </c>
      <c r="M210">
        <v>624</v>
      </c>
      <c r="N210" t="s">
        <v>1003</v>
      </c>
      <c r="O210" s="3" t="b">
        <v>1</v>
      </c>
    </row>
    <row r="211" spans="1:15">
      <c r="A211">
        <v>626</v>
      </c>
      <c r="B211" t="s">
        <v>1007</v>
      </c>
      <c r="C211">
        <v>1</v>
      </c>
      <c r="D211" t="s">
        <v>1007</v>
      </c>
      <c r="E211" t="s">
        <v>231</v>
      </c>
      <c r="F211">
        <v>1</v>
      </c>
      <c r="G211">
        <v>24201</v>
      </c>
      <c r="I211">
        <v>628</v>
      </c>
      <c r="J211" t="s">
        <v>1007</v>
      </c>
      <c r="K211" s="3" t="b">
        <v>1</v>
      </c>
      <c r="M211">
        <v>627</v>
      </c>
      <c r="N211" t="s">
        <v>1007</v>
      </c>
      <c r="O211" s="3" t="b">
        <v>1</v>
      </c>
    </row>
    <row r="212" spans="1:15">
      <c r="A212">
        <v>629</v>
      </c>
      <c r="B212" t="s">
        <v>1011</v>
      </c>
      <c r="C212">
        <v>1</v>
      </c>
      <c r="D212" t="s">
        <v>1011</v>
      </c>
      <c r="E212" t="s">
        <v>232</v>
      </c>
      <c r="F212">
        <v>1</v>
      </c>
      <c r="G212">
        <v>154593</v>
      </c>
      <c r="I212">
        <v>631</v>
      </c>
      <c r="J212" t="s">
        <v>1011</v>
      </c>
      <c r="K212" s="3" t="b">
        <v>1</v>
      </c>
      <c r="M212">
        <v>630</v>
      </c>
      <c r="N212" t="s">
        <v>1011</v>
      </c>
      <c r="O212" s="3" t="b">
        <v>1</v>
      </c>
    </row>
    <row r="213" spans="1:15">
      <c r="A213">
        <v>632</v>
      </c>
      <c r="B213" t="s">
        <v>1015</v>
      </c>
      <c r="C213">
        <v>1</v>
      </c>
      <c r="D213" t="s">
        <v>1015</v>
      </c>
      <c r="E213" t="s">
        <v>233</v>
      </c>
      <c r="F213">
        <v>1</v>
      </c>
      <c r="G213">
        <v>94846</v>
      </c>
      <c r="I213">
        <v>634</v>
      </c>
      <c r="J213" t="s">
        <v>1015</v>
      </c>
      <c r="K213" s="3" t="b">
        <v>1</v>
      </c>
      <c r="M213">
        <v>633</v>
      </c>
      <c r="N213" t="s">
        <v>1015</v>
      </c>
      <c r="O213" s="3" t="b">
        <v>1</v>
      </c>
    </row>
    <row r="214" spans="1:15">
      <c r="A214">
        <v>635</v>
      </c>
      <c r="B214" t="s">
        <v>1019</v>
      </c>
      <c r="C214">
        <v>1</v>
      </c>
      <c r="D214" t="s">
        <v>1019</v>
      </c>
      <c r="E214" t="s">
        <v>234</v>
      </c>
      <c r="F214">
        <v>1</v>
      </c>
      <c r="G214">
        <v>86700</v>
      </c>
      <c r="I214">
        <v>637</v>
      </c>
      <c r="J214" t="s">
        <v>1019</v>
      </c>
      <c r="K214" s="3" t="b">
        <v>1</v>
      </c>
      <c r="M214">
        <v>636</v>
      </c>
      <c r="N214" t="s">
        <v>1019</v>
      </c>
      <c r="O214" s="3" t="b">
        <v>1</v>
      </c>
    </row>
    <row r="215" spans="1:15">
      <c r="A215">
        <v>638</v>
      </c>
      <c r="B215" t="s">
        <v>1023</v>
      </c>
      <c r="C215">
        <v>1</v>
      </c>
      <c r="D215" t="s">
        <v>1023</v>
      </c>
      <c r="E215" t="s">
        <v>235</v>
      </c>
      <c r="F215">
        <v>1</v>
      </c>
      <c r="G215">
        <v>42717</v>
      </c>
      <c r="I215">
        <v>640</v>
      </c>
      <c r="J215" t="s">
        <v>1023</v>
      </c>
      <c r="K215" s="3" t="b">
        <v>1</v>
      </c>
      <c r="M215">
        <v>639</v>
      </c>
      <c r="N215" t="s">
        <v>1023</v>
      </c>
      <c r="O215" s="3" t="b">
        <v>1</v>
      </c>
    </row>
    <row r="216" spans="1:15">
      <c r="A216">
        <v>641</v>
      </c>
      <c r="B216" t="s">
        <v>1027</v>
      </c>
      <c r="C216">
        <v>1</v>
      </c>
      <c r="D216" t="s">
        <v>1027</v>
      </c>
      <c r="E216" t="s">
        <v>236</v>
      </c>
      <c r="F216">
        <v>1</v>
      </c>
      <c r="G216">
        <v>50673</v>
      </c>
      <c r="I216">
        <v>643</v>
      </c>
      <c r="J216" t="s">
        <v>1027</v>
      </c>
      <c r="K216" s="3" t="b">
        <v>1</v>
      </c>
      <c r="M216">
        <v>642</v>
      </c>
      <c r="N216" t="s">
        <v>1027</v>
      </c>
      <c r="O216" s="3" t="b">
        <v>1</v>
      </c>
    </row>
    <row r="217" spans="1:15">
      <c r="A217">
        <v>644</v>
      </c>
      <c r="B217" t="s">
        <v>1031</v>
      </c>
      <c r="C217">
        <v>1</v>
      </c>
      <c r="D217" t="s">
        <v>1031</v>
      </c>
      <c r="E217" t="s">
        <v>237</v>
      </c>
      <c r="F217">
        <v>1</v>
      </c>
      <c r="G217">
        <v>190316</v>
      </c>
      <c r="I217">
        <v>646</v>
      </c>
      <c r="J217" t="s">
        <v>1031</v>
      </c>
      <c r="K217" s="3" t="b">
        <v>1</v>
      </c>
      <c r="M217">
        <v>645</v>
      </c>
      <c r="N217" t="s">
        <v>1031</v>
      </c>
      <c r="O217" s="3" t="b">
        <v>1</v>
      </c>
    </row>
    <row r="218" spans="1:15">
      <c r="A218">
        <v>647</v>
      </c>
      <c r="B218" t="s">
        <v>1035</v>
      </c>
      <c r="C218">
        <v>1</v>
      </c>
      <c r="D218" t="s">
        <v>1035</v>
      </c>
      <c r="E218" t="s">
        <v>238</v>
      </c>
      <c r="F218">
        <v>1</v>
      </c>
      <c r="G218">
        <v>108451</v>
      </c>
      <c r="I218">
        <v>649</v>
      </c>
      <c r="J218" t="s">
        <v>1035</v>
      </c>
      <c r="K218" s="3" t="b">
        <v>1</v>
      </c>
      <c r="M218">
        <v>648</v>
      </c>
      <c r="N218" t="s">
        <v>1035</v>
      </c>
      <c r="O218" s="3" t="b">
        <v>1</v>
      </c>
    </row>
    <row r="219" spans="1:15">
      <c r="A219">
        <v>650</v>
      </c>
      <c r="B219" t="s">
        <v>1039</v>
      </c>
      <c r="C219">
        <v>1</v>
      </c>
      <c r="D219" t="s">
        <v>1039</v>
      </c>
      <c r="E219" t="s">
        <v>239</v>
      </c>
      <c r="F219">
        <v>1</v>
      </c>
      <c r="G219">
        <v>59535</v>
      </c>
      <c r="I219">
        <v>652</v>
      </c>
      <c r="J219" t="s">
        <v>1039</v>
      </c>
      <c r="K219" s="3" t="b">
        <v>1</v>
      </c>
      <c r="M219">
        <v>651</v>
      </c>
      <c r="N219" t="s">
        <v>1039</v>
      </c>
      <c r="O219" s="3" t="b">
        <v>1</v>
      </c>
    </row>
    <row r="220" spans="1:15">
      <c r="A220">
        <v>653</v>
      </c>
      <c r="B220" t="s">
        <v>1043</v>
      </c>
      <c r="C220">
        <v>1</v>
      </c>
      <c r="D220" t="s">
        <v>1043</v>
      </c>
      <c r="E220" t="s">
        <v>240</v>
      </c>
      <c r="F220">
        <v>1</v>
      </c>
      <c r="G220">
        <v>62164</v>
      </c>
      <c r="I220">
        <v>655</v>
      </c>
      <c r="J220" t="s">
        <v>1043</v>
      </c>
      <c r="K220" s="3" t="b">
        <v>1</v>
      </c>
      <c r="M220">
        <v>654</v>
      </c>
      <c r="N220" t="s">
        <v>1043</v>
      </c>
      <c r="O220" s="3" t="b">
        <v>1</v>
      </c>
    </row>
    <row r="221" spans="1:15">
      <c r="A221">
        <v>656</v>
      </c>
      <c r="B221" t="s">
        <v>1047</v>
      </c>
      <c r="C221">
        <v>1</v>
      </c>
      <c r="D221" t="s">
        <v>1047</v>
      </c>
      <c r="E221" t="s">
        <v>241</v>
      </c>
      <c r="F221">
        <v>1</v>
      </c>
      <c r="G221">
        <v>63684</v>
      </c>
      <c r="I221">
        <v>658</v>
      </c>
      <c r="J221" t="s">
        <v>1047</v>
      </c>
      <c r="K221" s="3" t="b">
        <v>1</v>
      </c>
      <c r="M221">
        <v>657</v>
      </c>
      <c r="N221" t="s">
        <v>1047</v>
      </c>
      <c r="O221" s="3" t="b">
        <v>1</v>
      </c>
    </row>
    <row r="222" spans="1:15">
      <c r="A222">
        <v>659</v>
      </c>
      <c r="B222" t="s">
        <v>1051</v>
      </c>
      <c r="C222">
        <v>1</v>
      </c>
      <c r="D222" t="s">
        <v>1051</v>
      </c>
      <c r="E222" t="s">
        <v>242</v>
      </c>
      <c r="F222">
        <v>1</v>
      </c>
      <c r="G222">
        <v>106780</v>
      </c>
      <c r="I222">
        <v>661</v>
      </c>
      <c r="J222" t="s">
        <v>1051</v>
      </c>
      <c r="K222" s="3" t="b">
        <v>1</v>
      </c>
      <c r="M222">
        <v>660</v>
      </c>
      <c r="N222" t="s">
        <v>1051</v>
      </c>
      <c r="O222" s="3" t="b">
        <v>1</v>
      </c>
    </row>
    <row r="223" spans="1:15">
      <c r="A223">
        <v>662</v>
      </c>
      <c r="B223" t="s">
        <v>1055</v>
      </c>
      <c r="C223">
        <v>1</v>
      </c>
      <c r="D223" t="s">
        <v>1055</v>
      </c>
      <c r="E223" t="s">
        <v>243</v>
      </c>
      <c r="F223">
        <v>1</v>
      </c>
      <c r="G223">
        <v>146332</v>
      </c>
      <c r="I223">
        <v>664</v>
      </c>
      <c r="J223" t="s">
        <v>1055</v>
      </c>
      <c r="K223" s="3" t="b">
        <v>1</v>
      </c>
      <c r="M223">
        <v>663</v>
      </c>
      <c r="N223" t="s">
        <v>1055</v>
      </c>
      <c r="O223" s="3" t="b">
        <v>1</v>
      </c>
    </row>
    <row r="224" spans="1:15">
      <c r="A224">
        <v>665</v>
      </c>
      <c r="B224" t="s">
        <v>1059</v>
      </c>
      <c r="C224">
        <v>1</v>
      </c>
      <c r="D224" t="s">
        <v>1059</v>
      </c>
      <c r="E224" t="s">
        <v>244</v>
      </c>
      <c r="F224">
        <v>1</v>
      </c>
      <c r="G224">
        <v>68205</v>
      </c>
      <c r="I224">
        <v>667</v>
      </c>
      <c r="J224" t="s">
        <v>1059</v>
      </c>
      <c r="K224" s="3" t="b">
        <v>1</v>
      </c>
      <c r="M224">
        <v>666</v>
      </c>
      <c r="N224" t="s">
        <v>1059</v>
      </c>
      <c r="O224" s="3" t="b">
        <v>1</v>
      </c>
    </row>
    <row r="225" spans="1:15">
      <c r="A225">
        <v>668</v>
      </c>
      <c r="B225" t="s">
        <v>1063</v>
      </c>
      <c r="C225">
        <v>1</v>
      </c>
      <c r="D225" t="s">
        <v>1063</v>
      </c>
      <c r="E225" t="s">
        <v>245</v>
      </c>
      <c r="F225">
        <v>1</v>
      </c>
      <c r="G225">
        <v>81923</v>
      </c>
      <c r="I225">
        <v>670</v>
      </c>
      <c r="J225" t="s">
        <v>1063</v>
      </c>
      <c r="K225" s="3" t="b">
        <v>1</v>
      </c>
      <c r="M225">
        <v>669</v>
      </c>
      <c r="N225" t="s">
        <v>1063</v>
      </c>
      <c r="O225" s="3" t="b">
        <v>1</v>
      </c>
    </row>
    <row r="226" spans="1:15">
      <c r="A226">
        <v>671</v>
      </c>
      <c r="B226" t="s">
        <v>1067</v>
      </c>
      <c r="C226">
        <v>1</v>
      </c>
      <c r="D226" t="s">
        <v>1067</v>
      </c>
      <c r="E226" t="s">
        <v>246</v>
      </c>
      <c r="F226">
        <v>1</v>
      </c>
      <c r="G226">
        <v>43373</v>
      </c>
      <c r="I226">
        <v>673</v>
      </c>
      <c r="J226" t="s">
        <v>1067</v>
      </c>
      <c r="K226" s="3" t="b">
        <v>1</v>
      </c>
      <c r="M226">
        <v>672</v>
      </c>
      <c r="N226" t="s">
        <v>1067</v>
      </c>
      <c r="O226" s="3" t="b">
        <v>1</v>
      </c>
    </row>
    <row r="227" spans="1:15">
      <c r="A227">
        <v>674</v>
      </c>
      <c r="B227" t="s">
        <v>1071</v>
      </c>
      <c r="C227">
        <v>1</v>
      </c>
      <c r="D227" t="s">
        <v>1071</v>
      </c>
      <c r="E227" t="s">
        <v>247</v>
      </c>
      <c r="F227">
        <v>1</v>
      </c>
      <c r="G227">
        <v>136187</v>
      </c>
      <c r="I227">
        <v>676</v>
      </c>
      <c r="J227" t="s">
        <v>1071</v>
      </c>
      <c r="K227" s="3" t="b">
        <v>1</v>
      </c>
      <c r="M227">
        <v>675</v>
      </c>
      <c r="N227" t="s">
        <v>1071</v>
      </c>
      <c r="O227" s="3" t="b">
        <v>1</v>
      </c>
    </row>
    <row r="228" spans="1:15">
      <c r="A228">
        <v>677</v>
      </c>
      <c r="B228" t="s">
        <v>1075</v>
      </c>
      <c r="C228">
        <v>1</v>
      </c>
      <c r="D228" t="s">
        <v>1075</v>
      </c>
      <c r="E228" t="s">
        <v>248</v>
      </c>
      <c r="F228">
        <v>1</v>
      </c>
      <c r="G228">
        <v>77269</v>
      </c>
      <c r="I228">
        <v>679</v>
      </c>
      <c r="J228" t="s">
        <v>1075</v>
      </c>
      <c r="K228" s="3" t="b">
        <v>1</v>
      </c>
      <c r="M228">
        <v>678</v>
      </c>
      <c r="N228" t="s">
        <v>1075</v>
      </c>
      <c r="O228" s="3" t="b">
        <v>1</v>
      </c>
    </row>
    <row r="229" spans="1:15">
      <c r="A229">
        <v>680</v>
      </c>
      <c r="B229" t="s">
        <v>1079</v>
      </c>
      <c r="C229">
        <v>1</v>
      </c>
      <c r="D229" t="s">
        <v>1079</v>
      </c>
      <c r="E229" t="s">
        <v>249</v>
      </c>
      <c r="F229">
        <v>1</v>
      </c>
      <c r="G229">
        <v>114417</v>
      </c>
      <c r="I229">
        <v>682</v>
      </c>
      <c r="J229" t="s">
        <v>1079</v>
      </c>
      <c r="K229" s="3" t="b">
        <v>1</v>
      </c>
      <c r="M229">
        <v>681</v>
      </c>
      <c r="N229" t="s">
        <v>1079</v>
      </c>
      <c r="O229" s="3" t="b">
        <v>1</v>
      </c>
    </row>
    <row r="230" spans="1:15">
      <c r="A230">
        <v>683</v>
      </c>
      <c r="B230" t="s">
        <v>1083</v>
      </c>
      <c r="C230">
        <v>1</v>
      </c>
      <c r="D230" t="s">
        <v>1083</v>
      </c>
      <c r="E230" t="s">
        <v>250</v>
      </c>
      <c r="F230">
        <v>1</v>
      </c>
      <c r="G230">
        <v>72386</v>
      </c>
      <c r="I230">
        <v>685</v>
      </c>
      <c r="J230" t="s">
        <v>1083</v>
      </c>
      <c r="K230" s="3" t="b">
        <v>1</v>
      </c>
      <c r="M230">
        <v>684</v>
      </c>
      <c r="N230" t="s">
        <v>1083</v>
      </c>
      <c r="O230" s="3" t="b">
        <v>1</v>
      </c>
    </row>
    <row r="231" spans="1:15">
      <c r="A231">
        <v>686</v>
      </c>
      <c r="B231" t="s">
        <v>1087</v>
      </c>
      <c r="C231">
        <v>1</v>
      </c>
      <c r="D231" t="s">
        <v>1087</v>
      </c>
      <c r="E231" t="s">
        <v>251</v>
      </c>
      <c r="F231">
        <v>1</v>
      </c>
      <c r="G231">
        <v>73311</v>
      </c>
      <c r="I231">
        <v>688</v>
      </c>
      <c r="J231" t="s">
        <v>1087</v>
      </c>
      <c r="K231" s="3" t="b">
        <v>1</v>
      </c>
      <c r="M231">
        <v>687</v>
      </c>
      <c r="N231" t="s">
        <v>1087</v>
      </c>
      <c r="O231" s="3" t="b">
        <v>1</v>
      </c>
    </row>
    <row r="232" spans="1:15">
      <c r="A232">
        <v>689</v>
      </c>
      <c r="B232" t="s">
        <v>1091</v>
      </c>
      <c r="C232">
        <v>1</v>
      </c>
      <c r="D232" t="s">
        <v>1091</v>
      </c>
      <c r="E232" t="s">
        <v>252</v>
      </c>
      <c r="F232">
        <v>1</v>
      </c>
      <c r="G232">
        <v>158121</v>
      </c>
      <c r="I232">
        <v>691</v>
      </c>
      <c r="J232" t="s">
        <v>1091</v>
      </c>
      <c r="K232" s="3" t="b">
        <v>1</v>
      </c>
      <c r="M232">
        <v>690</v>
      </c>
      <c r="N232" t="s">
        <v>1091</v>
      </c>
      <c r="O232" s="3" t="b">
        <v>1</v>
      </c>
    </row>
    <row r="233" spans="1:15">
      <c r="A233">
        <v>692</v>
      </c>
      <c r="B233" t="s">
        <v>1095</v>
      </c>
      <c r="C233">
        <v>1</v>
      </c>
      <c r="D233" t="s">
        <v>1095</v>
      </c>
      <c r="E233" t="s">
        <v>253</v>
      </c>
      <c r="F233">
        <v>1</v>
      </c>
      <c r="G233">
        <v>193737</v>
      </c>
      <c r="I233">
        <v>694</v>
      </c>
      <c r="J233" t="s">
        <v>1095</v>
      </c>
      <c r="K233" s="3" t="b">
        <v>1</v>
      </c>
      <c r="M233">
        <v>693</v>
      </c>
      <c r="N233" t="s">
        <v>1095</v>
      </c>
      <c r="O233" s="3" t="b">
        <v>1</v>
      </c>
    </row>
    <row r="234" spans="1:15">
      <c r="A234">
        <v>695</v>
      </c>
      <c r="B234" t="s">
        <v>1099</v>
      </c>
      <c r="C234">
        <v>1</v>
      </c>
      <c r="D234" t="s">
        <v>1099</v>
      </c>
      <c r="E234" t="s">
        <v>254</v>
      </c>
      <c r="F234">
        <v>1</v>
      </c>
      <c r="G234">
        <v>88965</v>
      </c>
      <c r="I234">
        <v>697</v>
      </c>
      <c r="J234" t="s">
        <v>1099</v>
      </c>
      <c r="K234" s="3" t="b">
        <v>1</v>
      </c>
      <c r="M234">
        <v>696</v>
      </c>
      <c r="N234" t="s">
        <v>1099</v>
      </c>
      <c r="O234" s="3" t="b">
        <v>1</v>
      </c>
    </row>
    <row r="235" spans="1:15">
      <c r="A235">
        <v>698</v>
      </c>
      <c r="B235" t="s">
        <v>1103</v>
      </c>
      <c r="C235">
        <v>1</v>
      </c>
      <c r="D235" t="s">
        <v>1103</v>
      </c>
      <c r="E235" t="s">
        <v>255</v>
      </c>
      <c r="F235">
        <v>1</v>
      </c>
      <c r="G235">
        <v>99299</v>
      </c>
      <c r="I235">
        <v>700</v>
      </c>
      <c r="J235" t="s">
        <v>1103</v>
      </c>
      <c r="K235" s="3" t="b">
        <v>1</v>
      </c>
      <c r="M235">
        <v>699</v>
      </c>
      <c r="N235" t="s">
        <v>1103</v>
      </c>
      <c r="O235" s="3" t="b">
        <v>1</v>
      </c>
    </row>
    <row r="236" spans="1:15">
      <c r="A236">
        <v>701</v>
      </c>
      <c r="B236" t="s">
        <v>1107</v>
      </c>
      <c r="C236">
        <v>1</v>
      </c>
      <c r="D236" t="s">
        <v>1107</v>
      </c>
      <c r="E236" t="s">
        <v>256</v>
      </c>
      <c r="F236">
        <v>1</v>
      </c>
      <c r="G236">
        <v>53860</v>
      </c>
      <c r="I236">
        <v>703</v>
      </c>
      <c r="J236" t="s">
        <v>1107</v>
      </c>
      <c r="K236" s="3" t="b">
        <v>1</v>
      </c>
      <c r="M236">
        <v>702</v>
      </c>
      <c r="N236" t="s">
        <v>1107</v>
      </c>
      <c r="O236" s="3" t="b">
        <v>1</v>
      </c>
    </row>
    <row r="237" spans="1:15">
      <c r="A237">
        <v>704</v>
      </c>
      <c r="B237" t="s">
        <v>1111</v>
      </c>
      <c r="C237">
        <v>1</v>
      </c>
      <c r="D237" t="s">
        <v>1111</v>
      </c>
      <c r="E237" t="s">
        <v>257</v>
      </c>
      <c r="F237">
        <v>1</v>
      </c>
      <c r="G237">
        <v>329179</v>
      </c>
      <c r="I237">
        <v>706</v>
      </c>
      <c r="J237" t="s">
        <v>1111</v>
      </c>
      <c r="K237" s="3" t="b">
        <v>1</v>
      </c>
      <c r="M237">
        <v>705</v>
      </c>
      <c r="N237" t="s">
        <v>1111</v>
      </c>
      <c r="O237" s="3" t="b">
        <v>1</v>
      </c>
    </row>
    <row r="238" spans="1:15">
      <c r="A238">
        <v>707</v>
      </c>
      <c r="B238" t="s">
        <v>1115</v>
      </c>
      <c r="C238">
        <v>1</v>
      </c>
      <c r="D238" t="s">
        <v>1115</v>
      </c>
      <c r="E238" t="s">
        <v>258</v>
      </c>
      <c r="F238">
        <v>1</v>
      </c>
      <c r="G238">
        <v>132715</v>
      </c>
      <c r="I238">
        <v>709</v>
      </c>
      <c r="J238" t="s">
        <v>1115</v>
      </c>
      <c r="K238" s="3" t="b">
        <v>1</v>
      </c>
      <c r="M238">
        <v>708</v>
      </c>
      <c r="N238" t="s">
        <v>1115</v>
      </c>
      <c r="O238" s="3" t="b">
        <v>1</v>
      </c>
    </row>
    <row r="239" spans="1:15">
      <c r="A239">
        <v>710</v>
      </c>
      <c r="B239" t="s">
        <v>1119</v>
      </c>
      <c r="C239">
        <v>1</v>
      </c>
      <c r="D239" t="s">
        <v>1119</v>
      </c>
      <c r="E239" t="s">
        <v>259</v>
      </c>
      <c r="F239">
        <v>1</v>
      </c>
      <c r="G239">
        <v>85465</v>
      </c>
      <c r="I239">
        <v>712</v>
      </c>
      <c r="J239" t="s">
        <v>1119</v>
      </c>
      <c r="K239" s="3" t="b">
        <v>1</v>
      </c>
      <c r="M239">
        <v>711</v>
      </c>
      <c r="N239" t="s">
        <v>1119</v>
      </c>
      <c r="O239" s="3" t="b">
        <v>1</v>
      </c>
    </row>
    <row r="240" spans="1:15">
      <c r="A240">
        <v>713</v>
      </c>
      <c r="B240" t="s">
        <v>1123</v>
      </c>
      <c r="C240">
        <v>1</v>
      </c>
      <c r="D240" t="s">
        <v>1123</v>
      </c>
      <c r="E240" t="s">
        <v>260</v>
      </c>
      <c r="F240">
        <v>1</v>
      </c>
      <c r="G240">
        <v>118976</v>
      </c>
      <c r="I240">
        <v>715</v>
      </c>
      <c r="J240" t="s">
        <v>1123</v>
      </c>
      <c r="K240" s="3" t="b">
        <v>1</v>
      </c>
      <c r="M240">
        <v>714</v>
      </c>
      <c r="N240" t="s">
        <v>1123</v>
      </c>
      <c r="O240" s="3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07"/>
  <sheetViews>
    <sheetView workbookViewId="0"/>
  </sheetViews>
  <sheetFormatPr defaultRowHeight="14"/>
  <cols>
    <col min="1" max="1" width="10" customWidth="1"/>
    <col min="2" max="2" width="22" customWidth="1"/>
    <col min="3" max="3" width="11" customWidth="1"/>
    <col min="4" max="4" width="12" customWidth="1"/>
    <col min="5" max="5" width="13" customWidth="1"/>
    <col min="6" max="7" width="12" customWidth="1"/>
    <col min="8" max="8" width="13" customWidth="1"/>
    <col min="9" max="10" width="12" customWidth="1"/>
    <col min="11" max="11" width="14" customWidth="1"/>
    <col min="12" max="14" width="13" customWidth="1"/>
    <col min="15" max="15" width="12" customWidth="1"/>
    <col min="16" max="16" width="13" customWidth="1"/>
    <col min="17" max="17" width="14" customWidth="1"/>
    <col min="18" max="18" width="13" customWidth="1"/>
    <col min="19" max="19" width="12" customWidth="1"/>
    <col min="20" max="20" width="28" customWidth="1"/>
    <col min="21" max="21" width="18" customWidth="1"/>
    <col min="22" max="22" width="20" customWidth="1"/>
  </cols>
  <sheetData>
    <row r="1" spans="1:22">
      <c r="A1" s="1" t="s">
        <v>5</v>
      </c>
      <c r="B1" s="1" t="s">
        <v>1162</v>
      </c>
      <c r="C1" s="1" t="s">
        <v>1163</v>
      </c>
      <c r="D1" s="1" t="s">
        <v>1164</v>
      </c>
      <c r="E1" s="1" t="s">
        <v>1165</v>
      </c>
      <c r="F1" s="1" t="s">
        <v>1166</v>
      </c>
      <c r="G1" s="1" t="s">
        <v>1167</v>
      </c>
      <c r="H1" s="1" t="s">
        <v>1168</v>
      </c>
      <c r="I1" s="1" t="s">
        <v>1169</v>
      </c>
      <c r="J1" s="1" t="s">
        <v>1170</v>
      </c>
      <c r="K1" s="1" t="s">
        <v>1171</v>
      </c>
      <c r="L1" s="1" t="s">
        <v>1172</v>
      </c>
      <c r="M1" s="1" t="s">
        <v>1173</v>
      </c>
      <c r="N1" s="1" t="s">
        <v>1174</v>
      </c>
      <c r="O1" s="1" t="s">
        <v>1175</v>
      </c>
      <c r="P1" s="1" t="s">
        <v>1176</v>
      </c>
      <c r="Q1" s="1" t="s">
        <v>1177</v>
      </c>
      <c r="R1" s="1" t="s">
        <v>1178</v>
      </c>
      <c r="S1" s="1" t="s">
        <v>1179</v>
      </c>
      <c r="T1" s="1" t="s">
        <v>1180</v>
      </c>
      <c r="U1" s="1" t="s">
        <v>1181</v>
      </c>
      <c r="V1" s="1" t="s">
        <v>1182</v>
      </c>
    </row>
    <row r="2" spans="1:22">
      <c r="A2" t="s">
        <v>15</v>
      </c>
      <c r="B2" t="s">
        <v>16</v>
      </c>
      <c r="C2">
        <v>31</v>
      </c>
      <c r="D2">
        <f>Data!J2</f>
        <v>784</v>
      </c>
      <c r="E2">
        <f>Data!B3</f>
        <v>792.3814697265625</v>
      </c>
      <c r="F2" s="4">
        <f t="shared" ref="F2:F65" si="0">IF(E2="","",IFERROR(E2/D2-1,""))</f>
        <v>1.069065016143167E-2</v>
      </c>
      <c r="G2">
        <f>Data!D3</f>
        <v>2.4586789608001709</v>
      </c>
      <c r="H2">
        <f>Data!B4</f>
        <v>832.48455810546875</v>
      </c>
      <c r="I2" s="4">
        <f t="shared" ref="I2:I65" si="1">IF(H2="","",IFERROR(H2/D2-1,""))</f>
        <v>6.1842548603914249E-2</v>
      </c>
      <c r="J2">
        <f>Data!D4</f>
        <v>3.484200000762939</v>
      </c>
      <c r="K2">
        <f>Data!B2</f>
        <v>833.01885986328125</v>
      </c>
      <c r="L2" s="4">
        <f t="shared" ref="L2:L65" si="2">IF(K2="","",IFERROR(K2/D2-1,""))</f>
        <v>6.2524055948062873E-2</v>
      </c>
      <c r="M2">
        <f>Data!D2</f>
        <v>3.240628719329834</v>
      </c>
      <c r="N2">
        <f t="shared" ref="N2:N65" si="3">MIN(E2,H2,K2)</f>
        <v>792.3814697265625</v>
      </c>
      <c r="O2" s="4">
        <f t="shared" ref="O2:O65" si="4">MIN(F2,I2,L2)</f>
        <v>1.069065016143167E-2</v>
      </c>
      <c r="P2" t="str">
        <f t="shared" ref="P2:P65" si="5">IF(N2=E2,"vrp_20",IF(N2=H2,"vrp_50","vrp_100"))</f>
        <v>vrp_20</v>
      </c>
      <c r="Q2">
        <f t="shared" ref="Q2:Q65" si="6">SUM(G2,J2,M2)</f>
        <v>9.1835076808929443</v>
      </c>
      <c r="R2" t="str">
        <f t="shared" ref="R2:R65" si="7">IF(C2&lt;=50,"≤50",IF(C2&lt;=100,"51-100",IF(C2&lt;=200,"101-200",IF(C2&lt;=500,"201-500","&gt;500"))))</f>
        <v>≤50</v>
      </c>
      <c r="S2" t="str">
        <f t="shared" ref="S2:S65" si="8">IF(O2&lt;=0,"≤0%",IF(O2&lt;=0.01,"0-1%",IF(O2&lt;=0.02,"1-2%",IF(O2&lt;=0.05,"2-5%",IF(O2&lt;=0.1,"5-10%","&gt;10%")))))</f>
        <v>1-2%</v>
      </c>
      <c r="T2" t="str">
        <f t="shared" ref="T2:T65" si="9">IF(O2&lt;0,"VERIFICAR: gap &lt; 0",IF(O2&gt;0.2,"ATENÇÃO: gap &gt; 20%",""))</f>
        <v/>
      </c>
      <c r="U2">
        <f t="shared" ref="U2:U65" si="10">IF(P2="vrp_20",G2,IF(P2="vrp_50",J2,M2))</f>
        <v>2.4586789608001709</v>
      </c>
      <c r="V2" s="4">
        <f t="shared" ref="V2:V65" si="11">L2-O2</f>
        <v>5.1833405786631204E-2</v>
      </c>
    </row>
    <row r="3" spans="1:22">
      <c r="A3" t="s">
        <v>15</v>
      </c>
      <c r="B3" t="s">
        <v>17</v>
      </c>
      <c r="C3">
        <v>32</v>
      </c>
      <c r="D3">
        <f>Data!J5</f>
        <v>661</v>
      </c>
      <c r="E3">
        <f>Data!B7</f>
        <v>674.8570556640625</v>
      </c>
      <c r="F3" s="4">
        <f t="shared" si="0"/>
        <v>2.0963775588596745E-2</v>
      </c>
      <c r="G3">
        <f>Data!D7</f>
        <v>1.9951877593994141</v>
      </c>
      <c r="H3">
        <f>Data!B9</f>
        <v>674.11651611328125</v>
      </c>
      <c r="I3" s="4">
        <f t="shared" si="1"/>
        <v>1.9843443439154784E-2</v>
      </c>
      <c r="J3">
        <f>Data!D9</f>
        <v>3.6535589694976811</v>
      </c>
      <c r="K3">
        <f>Data!B5</f>
        <v>730.66632080078125</v>
      </c>
      <c r="L3" s="4">
        <f t="shared" si="2"/>
        <v>0.10539534160481279</v>
      </c>
      <c r="M3">
        <f>Data!D5</f>
        <v>3.5166168212890621</v>
      </c>
      <c r="N3">
        <f t="shared" si="3"/>
        <v>674.11651611328125</v>
      </c>
      <c r="O3" s="4">
        <f t="shared" si="4"/>
        <v>1.9843443439154784E-2</v>
      </c>
      <c r="P3" t="str">
        <f t="shared" si="5"/>
        <v>vrp_50</v>
      </c>
      <c r="Q3">
        <f t="shared" si="6"/>
        <v>9.1653635501861572</v>
      </c>
      <c r="R3" t="str">
        <f t="shared" si="7"/>
        <v>≤50</v>
      </c>
      <c r="S3" t="str">
        <f t="shared" si="8"/>
        <v>1-2%</v>
      </c>
      <c r="T3" t="str">
        <f t="shared" si="9"/>
        <v/>
      </c>
      <c r="U3">
        <f t="shared" si="10"/>
        <v>3.6535589694976811</v>
      </c>
      <c r="V3" s="4">
        <f t="shared" si="11"/>
        <v>8.5551898165658002E-2</v>
      </c>
    </row>
    <row r="4" spans="1:22">
      <c r="A4" t="s">
        <v>15</v>
      </c>
      <c r="B4" t="s">
        <v>18</v>
      </c>
      <c r="C4">
        <v>32</v>
      </c>
      <c r="D4">
        <f>Data!J6</f>
        <v>742</v>
      </c>
      <c r="E4">
        <f>Data!B8</f>
        <v>762.57525634765625</v>
      </c>
      <c r="F4" s="4">
        <f t="shared" si="0"/>
        <v>2.7729455994145891E-2</v>
      </c>
      <c r="G4">
        <f>Data!D8</f>
        <v>1.9951877593994141</v>
      </c>
      <c r="H4">
        <f>Data!B10</f>
        <v>744.564453125</v>
      </c>
      <c r="I4" s="4">
        <f t="shared" si="1"/>
        <v>3.4561362870619838E-3</v>
      </c>
      <c r="J4">
        <f>Data!D10</f>
        <v>3.6535589694976811</v>
      </c>
      <c r="K4">
        <f>Data!B6</f>
        <v>777.43853759765625</v>
      </c>
      <c r="L4" s="4">
        <f t="shared" si="2"/>
        <v>4.7760832341854798E-2</v>
      </c>
      <c r="M4">
        <f>Data!D6</f>
        <v>3.5166168212890621</v>
      </c>
      <c r="N4">
        <f t="shared" si="3"/>
        <v>744.564453125</v>
      </c>
      <c r="O4" s="4">
        <f t="shared" si="4"/>
        <v>3.4561362870619838E-3</v>
      </c>
      <c r="P4" t="str">
        <f t="shared" si="5"/>
        <v>vrp_50</v>
      </c>
      <c r="Q4">
        <f t="shared" si="6"/>
        <v>9.1653635501861572</v>
      </c>
      <c r="R4" t="str">
        <f t="shared" si="7"/>
        <v>≤50</v>
      </c>
      <c r="S4" t="str">
        <f t="shared" si="8"/>
        <v>0-1%</v>
      </c>
      <c r="T4" t="str">
        <f t="shared" si="9"/>
        <v/>
      </c>
      <c r="U4">
        <f t="shared" si="10"/>
        <v>3.6535589694976811</v>
      </c>
      <c r="V4" s="4">
        <f t="shared" si="11"/>
        <v>4.4304696054792814E-2</v>
      </c>
    </row>
    <row r="5" spans="1:22">
      <c r="A5" t="s">
        <v>15</v>
      </c>
      <c r="B5" t="s">
        <v>19</v>
      </c>
      <c r="C5">
        <v>33</v>
      </c>
      <c r="D5">
        <f>Data!J11</f>
        <v>778</v>
      </c>
      <c r="E5">
        <f>Data!B12</f>
        <v>802.7908935546875</v>
      </c>
      <c r="F5" s="4">
        <f t="shared" si="0"/>
        <v>3.1864901741243568E-2</v>
      </c>
      <c r="G5">
        <f>Data!D12</f>
        <v>1.9882326126098631</v>
      </c>
      <c r="H5">
        <f>Data!B13</f>
        <v>790.220947265625</v>
      </c>
      <c r="I5" s="4">
        <f t="shared" si="1"/>
        <v>1.5708158439106779E-2</v>
      </c>
      <c r="J5">
        <f>Data!D13</f>
        <v>3.712980985641479</v>
      </c>
      <c r="K5">
        <f>Data!B11</f>
        <v>787.430419921875</v>
      </c>
      <c r="L5" s="4">
        <f t="shared" si="2"/>
        <v>1.212136236744854E-2</v>
      </c>
      <c r="M5">
        <f>Data!D11</f>
        <v>3.6198651790618901</v>
      </c>
      <c r="N5">
        <f t="shared" si="3"/>
        <v>787.430419921875</v>
      </c>
      <c r="O5" s="4">
        <f t="shared" si="4"/>
        <v>1.212136236744854E-2</v>
      </c>
      <c r="P5" t="str">
        <f t="shared" si="5"/>
        <v>vrp_100</v>
      </c>
      <c r="Q5">
        <f t="shared" si="6"/>
        <v>9.3210787773132324</v>
      </c>
      <c r="R5" t="str">
        <f t="shared" si="7"/>
        <v>≤50</v>
      </c>
      <c r="S5" t="str">
        <f t="shared" si="8"/>
        <v>1-2%</v>
      </c>
      <c r="T5" t="str">
        <f t="shared" si="9"/>
        <v/>
      </c>
      <c r="U5">
        <f t="shared" si="10"/>
        <v>3.6198651790618901</v>
      </c>
      <c r="V5" s="4">
        <f t="shared" si="11"/>
        <v>0</v>
      </c>
    </row>
    <row r="6" spans="1:22">
      <c r="A6" t="s">
        <v>15</v>
      </c>
      <c r="B6" t="s">
        <v>20</v>
      </c>
      <c r="C6">
        <v>35</v>
      </c>
      <c r="D6">
        <f>Data!J14</f>
        <v>799</v>
      </c>
      <c r="E6">
        <f>Data!B15</f>
        <v>821.14111328125</v>
      </c>
      <c r="F6" s="4">
        <f t="shared" si="0"/>
        <v>2.7711030389549363E-2</v>
      </c>
      <c r="G6">
        <f>Data!D15</f>
        <v>2.2774310111999512</v>
      </c>
      <c r="H6">
        <f>Data!B16</f>
        <v>868.5882568359375</v>
      </c>
      <c r="I6" s="4">
        <f t="shared" si="1"/>
        <v>8.709418878089803E-2</v>
      </c>
      <c r="J6">
        <f>Data!D16</f>
        <v>3.8794634342193599</v>
      </c>
      <c r="K6">
        <f>Data!B14</f>
        <v>810.07080078125</v>
      </c>
      <c r="L6" s="4">
        <f t="shared" si="2"/>
        <v>1.3855820752503023E-2</v>
      </c>
      <c r="M6">
        <f>Data!D14</f>
        <v>3.788451194763184</v>
      </c>
      <c r="N6">
        <f t="shared" si="3"/>
        <v>810.07080078125</v>
      </c>
      <c r="O6" s="4">
        <f t="shared" si="4"/>
        <v>1.3855820752503023E-2</v>
      </c>
      <c r="P6" t="str">
        <f t="shared" si="5"/>
        <v>vrp_100</v>
      </c>
      <c r="Q6">
        <f t="shared" si="6"/>
        <v>9.9453456401824951</v>
      </c>
      <c r="R6" t="str">
        <f t="shared" si="7"/>
        <v>≤50</v>
      </c>
      <c r="S6" t="str">
        <f t="shared" si="8"/>
        <v>1-2%</v>
      </c>
      <c r="T6" t="str">
        <f t="shared" si="9"/>
        <v/>
      </c>
      <c r="U6">
        <f t="shared" si="10"/>
        <v>3.788451194763184</v>
      </c>
      <c r="V6" s="4">
        <f t="shared" si="11"/>
        <v>0</v>
      </c>
    </row>
    <row r="7" spans="1:22">
      <c r="A7" t="s">
        <v>15</v>
      </c>
      <c r="B7" t="s">
        <v>21</v>
      </c>
      <c r="C7">
        <v>36</v>
      </c>
      <c r="D7">
        <f>Data!J17</f>
        <v>669</v>
      </c>
      <c r="E7">
        <f>Data!B19</f>
        <v>697.43798828125</v>
      </c>
      <c r="F7" s="4">
        <f t="shared" si="0"/>
        <v>4.2508203708893966E-2</v>
      </c>
      <c r="G7">
        <f>Data!D19</f>
        <v>4.4269788265228271</v>
      </c>
      <c r="H7">
        <f>Data!B21</f>
        <v>698.95751953125</v>
      </c>
      <c r="I7" s="4">
        <f t="shared" si="1"/>
        <v>4.4779550868834006E-2</v>
      </c>
      <c r="J7">
        <f>Data!D21</f>
        <v>3.9273240566253662</v>
      </c>
      <c r="K7">
        <f>Data!B17</f>
        <v>740.3463134765625</v>
      </c>
      <c r="L7" s="4">
        <f t="shared" si="2"/>
        <v>0.10664620848514583</v>
      </c>
      <c r="M7">
        <f>Data!D17</f>
        <v>3.6620552539825439</v>
      </c>
      <c r="N7">
        <f t="shared" si="3"/>
        <v>697.43798828125</v>
      </c>
      <c r="O7" s="4">
        <f t="shared" si="4"/>
        <v>4.2508203708893966E-2</v>
      </c>
      <c r="P7" t="str">
        <f t="shared" si="5"/>
        <v>vrp_20</v>
      </c>
      <c r="Q7">
        <f t="shared" si="6"/>
        <v>12.016358137130737</v>
      </c>
      <c r="R7" t="str">
        <f t="shared" si="7"/>
        <v>≤50</v>
      </c>
      <c r="S7" t="str">
        <f t="shared" si="8"/>
        <v>2-5%</v>
      </c>
      <c r="T7" t="str">
        <f t="shared" si="9"/>
        <v/>
      </c>
      <c r="U7">
        <f t="shared" si="10"/>
        <v>4.4269788265228271</v>
      </c>
      <c r="V7" s="4">
        <f t="shared" si="11"/>
        <v>6.4138004776251867E-2</v>
      </c>
    </row>
    <row r="8" spans="1:22">
      <c r="A8" t="s">
        <v>15</v>
      </c>
      <c r="B8" t="s">
        <v>22</v>
      </c>
      <c r="C8">
        <v>36</v>
      </c>
      <c r="D8">
        <f>Data!J18</f>
        <v>949</v>
      </c>
      <c r="E8">
        <f>Data!B20</f>
        <v>981.7393798828125</v>
      </c>
      <c r="F8" s="4">
        <f t="shared" si="0"/>
        <v>3.4498819686841431E-2</v>
      </c>
      <c r="G8">
        <f>Data!D20</f>
        <v>4.4269788265228271</v>
      </c>
      <c r="H8">
        <f>Data!B22</f>
        <v>957.02978515625</v>
      </c>
      <c r="I8" s="4">
        <f t="shared" si="1"/>
        <v>8.4613120719179147E-3</v>
      </c>
      <c r="J8">
        <f>Data!D22</f>
        <v>3.9273240566253662</v>
      </c>
      <c r="K8">
        <f>Data!B18</f>
        <v>956.743896484375</v>
      </c>
      <c r="L8" s="4">
        <f t="shared" si="2"/>
        <v>8.1600595198894066E-3</v>
      </c>
      <c r="M8">
        <f>Data!D18</f>
        <v>3.6620552539825439</v>
      </c>
      <c r="N8">
        <f t="shared" si="3"/>
        <v>956.743896484375</v>
      </c>
      <c r="O8" s="4">
        <f t="shared" si="4"/>
        <v>8.1600595198894066E-3</v>
      </c>
      <c r="P8" t="str">
        <f t="shared" si="5"/>
        <v>vrp_100</v>
      </c>
      <c r="Q8">
        <f t="shared" si="6"/>
        <v>12.016358137130737</v>
      </c>
      <c r="R8" t="str">
        <f t="shared" si="7"/>
        <v>≤50</v>
      </c>
      <c r="S8" t="str">
        <f t="shared" si="8"/>
        <v>0-1%</v>
      </c>
      <c r="T8" t="str">
        <f t="shared" si="9"/>
        <v/>
      </c>
      <c r="U8">
        <f t="shared" si="10"/>
        <v>3.6620552539825439</v>
      </c>
      <c r="V8" s="4">
        <f t="shared" si="11"/>
        <v>0</v>
      </c>
    </row>
    <row r="9" spans="1:22">
      <c r="A9" t="s">
        <v>15</v>
      </c>
      <c r="B9" t="s">
        <v>23</v>
      </c>
      <c r="C9">
        <v>37</v>
      </c>
      <c r="D9">
        <f>Data!J23</f>
        <v>730</v>
      </c>
      <c r="E9">
        <f>Data!B24</f>
        <v>739.62750244140625</v>
      </c>
      <c r="F9" s="4">
        <f t="shared" si="0"/>
        <v>1.3188359508775616E-2</v>
      </c>
      <c r="G9">
        <f>Data!D24</f>
        <v>4.0925168991088867</v>
      </c>
      <c r="H9">
        <f>Data!B25</f>
        <v>773.6005859375</v>
      </c>
      <c r="I9" s="4">
        <f t="shared" si="1"/>
        <v>5.9726830051369806E-2</v>
      </c>
      <c r="J9">
        <f>Data!D25</f>
        <v>3.6349518299102779</v>
      </c>
      <c r="K9">
        <f>Data!B23</f>
        <v>756.9669189453125</v>
      </c>
      <c r="L9" s="4">
        <f t="shared" si="2"/>
        <v>3.6940984856592474E-2</v>
      </c>
      <c r="M9">
        <f>Data!D23</f>
        <v>3.7448992729187012</v>
      </c>
      <c r="N9">
        <f t="shared" si="3"/>
        <v>739.62750244140625</v>
      </c>
      <c r="O9" s="4">
        <f t="shared" si="4"/>
        <v>1.3188359508775616E-2</v>
      </c>
      <c r="P9" t="str">
        <f t="shared" si="5"/>
        <v>vrp_20</v>
      </c>
      <c r="Q9">
        <f t="shared" si="6"/>
        <v>11.472368001937866</v>
      </c>
      <c r="R9" t="str">
        <f t="shared" si="7"/>
        <v>≤50</v>
      </c>
      <c r="S9" t="str">
        <f t="shared" si="8"/>
        <v>1-2%</v>
      </c>
      <c r="T9" t="str">
        <f t="shared" si="9"/>
        <v/>
      </c>
      <c r="U9">
        <f t="shared" si="10"/>
        <v>4.0925168991088867</v>
      </c>
      <c r="V9" s="4">
        <f t="shared" si="11"/>
        <v>2.3752625347816858E-2</v>
      </c>
    </row>
    <row r="10" spans="1:22">
      <c r="A10" t="s">
        <v>15</v>
      </c>
      <c r="B10" t="s">
        <v>24</v>
      </c>
      <c r="C10">
        <v>38</v>
      </c>
      <c r="D10">
        <f>Data!J26</f>
        <v>822</v>
      </c>
      <c r="E10">
        <f>Data!B28</f>
        <v>839.70086669921875</v>
      </c>
      <c r="F10" s="4">
        <f t="shared" si="0"/>
        <v>2.1533901093940155E-2</v>
      </c>
      <c r="G10">
        <f>Data!D28</f>
        <v>3.0453658103942871</v>
      </c>
      <c r="H10">
        <f>Data!B30</f>
        <v>833.415283203125</v>
      </c>
      <c r="I10" s="4">
        <f t="shared" si="1"/>
        <v>1.3887205843217787E-2</v>
      </c>
      <c r="J10">
        <f>Data!D30</f>
        <v>0.19466853141784671</v>
      </c>
      <c r="K10">
        <f>Data!B26</f>
        <v>854.5550537109375</v>
      </c>
      <c r="L10" s="4">
        <f t="shared" si="2"/>
        <v>3.9604688212819372E-2</v>
      </c>
      <c r="M10">
        <f>Data!D26</f>
        <v>3.7533278465271001</v>
      </c>
      <c r="N10">
        <f t="shared" si="3"/>
        <v>833.415283203125</v>
      </c>
      <c r="O10" s="4">
        <f t="shared" si="4"/>
        <v>1.3887205843217787E-2</v>
      </c>
      <c r="P10" t="str">
        <f t="shared" si="5"/>
        <v>vrp_50</v>
      </c>
      <c r="Q10">
        <f t="shared" si="6"/>
        <v>6.9933621883392334</v>
      </c>
      <c r="R10" t="str">
        <f t="shared" si="7"/>
        <v>≤50</v>
      </c>
      <c r="S10" t="str">
        <f t="shared" si="8"/>
        <v>1-2%</v>
      </c>
      <c r="T10" t="str">
        <f t="shared" si="9"/>
        <v/>
      </c>
      <c r="U10">
        <f t="shared" si="10"/>
        <v>0.19466853141784671</v>
      </c>
      <c r="V10" s="4">
        <f t="shared" si="11"/>
        <v>2.5717482369601585E-2</v>
      </c>
    </row>
    <row r="11" spans="1:22">
      <c r="A11" t="s">
        <v>15</v>
      </c>
      <c r="B11" t="s">
        <v>25</v>
      </c>
      <c r="C11">
        <v>38</v>
      </c>
      <c r="D11">
        <f>Data!J27</f>
        <v>831</v>
      </c>
      <c r="E11">
        <f>Data!B29</f>
        <v>836.56390380859375</v>
      </c>
      <c r="F11" s="4">
        <f t="shared" si="0"/>
        <v>6.6954317792944362E-3</v>
      </c>
      <c r="G11">
        <f>Data!D29</f>
        <v>3.0453658103942871</v>
      </c>
      <c r="H11">
        <f>Data!B31</f>
        <v>835.282958984375</v>
      </c>
      <c r="I11" s="4">
        <f t="shared" si="1"/>
        <v>5.1539819306558599E-3</v>
      </c>
      <c r="J11">
        <f>Data!D31</f>
        <v>0.19466853141784671</v>
      </c>
      <c r="K11">
        <f>Data!B27</f>
        <v>878.1119384765625</v>
      </c>
      <c r="L11" s="4">
        <f t="shared" si="2"/>
        <v>5.6693066758799704E-2</v>
      </c>
      <c r="M11">
        <f>Data!D27</f>
        <v>3.7533278465271001</v>
      </c>
      <c r="N11">
        <f t="shared" si="3"/>
        <v>835.282958984375</v>
      </c>
      <c r="O11" s="4">
        <f t="shared" si="4"/>
        <v>5.1539819306558599E-3</v>
      </c>
      <c r="P11" t="str">
        <f t="shared" si="5"/>
        <v>vrp_50</v>
      </c>
      <c r="Q11">
        <f t="shared" si="6"/>
        <v>6.9933621883392334</v>
      </c>
      <c r="R11" t="str">
        <f t="shared" si="7"/>
        <v>≤50</v>
      </c>
      <c r="S11" t="str">
        <f t="shared" si="8"/>
        <v>0-1%</v>
      </c>
      <c r="T11" t="str">
        <f t="shared" si="9"/>
        <v/>
      </c>
      <c r="U11">
        <f t="shared" si="10"/>
        <v>0.19466853141784671</v>
      </c>
      <c r="V11" s="4">
        <f t="shared" si="11"/>
        <v>5.1539084828143844E-2</v>
      </c>
    </row>
    <row r="12" spans="1:22">
      <c r="A12" t="s">
        <v>15</v>
      </c>
      <c r="B12" t="s">
        <v>26</v>
      </c>
      <c r="C12">
        <v>43</v>
      </c>
      <c r="D12">
        <f>Data!J32</f>
        <v>937</v>
      </c>
      <c r="E12">
        <f>Data!B33</f>
        <v>959.2703857421875</v>
      </c>
      <c r="F12" s="4">
        <f t="shared" si="0"/>
        <v>2.3767754260605622E-2</v>
      </c>
      <c r="G12">
        <f>Data!D33</f>
        <v>2.453539133071899</v>
      </c>
      <c r="H12">
        <f>Data!B34</f>
        <v>956.1190185546875</v>
      </c>
      <c r="I12" s="4">
        <f t="shared" si="1"/>
        <v>2.0404502192836071E-2</v>
      </c>
      <c r="J12">
        <f>Data!D34</f>
        <v>4.325840950012207</v>
      </c>
      <c r="K12">
        <f>Data!B32</f>
        <v>966.24603271484375</v>
      </c>
      <c r="L12" s="4">
        <f t="shared" si="2"/>
        <v>3.1212414850420256E-2</v>
      </c>
      <c r="M12">
        <f>Data!D32</f>
        <v>3.6464450359344478</v>
      </c>
      <c r="N12">
        <f t="shared" si="3"/>
        <v>956.1190185546875</v>
      </c>
      <c r="O12" s="4">
        <f t="shared" si="4"/>
        <v>2.0404502192836071E-2</v>
      </c>
      <c r="P12" t="str">
        <f t="shared" si="5"/>
        <v>vrp_50</v>
      </c>
      <c r="Q12">
        <f t="shared" si="6"/>
        <v>10.425825119018555</v>
      </c>
      <c r="R12" t="str">
        <f t="shared" si="7"/>
        <v>≤50</v>
      </c>
      <c r="S12" t="str">
        <f t="shared" si="8"/>
        <v>2-5%</v>
      </c>
      <c r="T12" t="str">
        <f t="shared" si="9"/>
        <v/>
      </c>
      <c r="U12">
        <f t="shared" si="10"/>
        <v>4.325840950012207</v>
      </c>
      <c r="V12" s="4">
        <f t="shared" si="11"/>
        <v>1.0807912657584184E-2</v>
      </c>
    </row>
    <row r="13" spans="1:22">
      <c r="A13" t="s">
        <v>15</v>
      </c>
      <c r="B13" t="s">
        <v>27</v>
      </c>
      <c r="C13">
        <v>44</v>
      </c>
      <c r="D13">
        <f>Data!J35</f>
        <v>944</v>
      </c>
      <c r="E13">
        <f>Data!B37</f>
        <v>992.28863525390625</v>
      </c>
      <c r="F13" s="4">
        <f t="shared" si="0"/>
        <v>5.1153215311341427E-2</v>
      </c>
      <c r="G13">
        <f>Data!D37</f>
        <v>2.6176249980926509</v>
      </c>
      <c r="H13">
        <f>Data!B39</f>
        <v>991.62860107421875</v>
      </c>
      <c r="I13" s="4">
        <f t="shared" si="1"/>
        <v>5.0454026561672416E-2</v>
      </c>
      <c r="J13">
        <f>Data!D39</f>
        <v>4.8942861557006836</v>
      </c>
      <c r="K13">
        <f>Data!B35</f>
        <v>994.2628173828125</v>
      </c>
      <c r="L13" s="4">
        <f t="shared" si="2"/>
        <v>5.3244509939420093E-2</v>
      </c>
      <c r="M13">
        <f>Data!D35</f>
        <v>3.7981927394866939</v>
      </c>
      <c r="N13">
        <f t="shared" si="3"/>
        <v>991.62860107421875</v>
      </c>
      <c r="O13" s="4">
        <f t="shared" si="4"/>
        <v>5.0454026561672416E-2</v>
      </c>
      <c r="P13" t="str">
        <f t="shared" si="5"/>
        <v>vrp_50</v>
      </c>
      <c r="Q13">
        <f t="shared" si="6"/>
        <v>11.310103893280029</v>
      </c>
      <c r="R13" t="str">
        <f t="shared" si="7"/>
        <v>≤50</v>
      </c>
      <c r="S13" t="str">
        <f t="shared" si="8"/>
        <v>5-10%</v>
      </c>
      <c r="T13" t="str">
        <f t="shared" si="9"/>
        <v/>
      </c>
      <c r="U13">
        <f t="shared" si="10"/>
        <v>4.8942861557006836</v>
      </c>
      <c r="V13" s="4">
        <f t="shared" si="11"/>
        <v>2.7904833777476767E-3</v>
      </c>
    </row>
    <row r="14" spans="1:22">
      <c r="A14" t="s">
        <v>15</v>
      </c>
      <c r="B14" t="s">
        <v>28</v>
      </c>
      <c r="C14">
        <v>44</v>
      </c>
      <c r="D14">
        <f>Data!J36</f>
        <v>1146</v>
      </c>
      <c r="E14">
        <f>Data!B38</f>
        <v>1179.936645507812</v>
      </c>
      <c r="F14" s="4">
        <f t="shared" si="0"/>
        <v>2.9613128715368253E-2</v>
      </c>
      <c r="G14">
        <f>Data!D38</f>
        <v>2.6176249980926509</v>
      </c>
      <c r="H14">
        <f>Data!B40</f>
        <v>1159.505493164062</v>
      </c>
      <c r="I14" s="4">
        <f t="shared" si="1"/>
        <v>1.178489804891969E-2</v>
      </c>
      <c r="J14">
        <f>Data!D40</f>
        <v>4.8942861557006836</v>
      </c>
      <c r="K14">
        <f>Data!B36</f>
        <v>1182.26025390625</v>
      </c>
      <c r="L14" s="4">
        <f t="shared" si="2"/>
        <v>3.164071021487791E-2</v>
      </c>
      <c r="M14">
        <f>Data!D36</f>
        <v>3.7981927394866939</v>
      </c>
      <c r="N14">
        <f t="shared" si="3"/>
        <v>1159.505493164062</v>
      </c>
      <c r="O14" s="4">
        <f t="shared" si="4"/>
        <v>1.178489804891969E-2</v>
      </c>
      <c r="P14" t="str">
        <f t="shared" si="5"/>
        <v>vrp_50</v>
      </c>
      <c r="Q14">
        <f t="shared" si="6"/>
        <v>11.310103893280029</v>
      </c>
      <c r="R14" t="str">
        <f t="shared" si="7"/>
        <v>≤50</v>
      </c>
      <c r="S14" t="str">
        <f t="shared" si="8"/>
        <v>1-2%</v>
      </c>
      <c r="T14" t="str">
        <f t="shared" si="9"/>
        <v/>
      </c>
      <c r="U14">
        <f t="shared" si="10"/>
        <v>4.8942861557006836</v>
      </c>
      <c r="V14" s="4">
        <f t="shared" si="11"/>
        <v>1.985581216595822E-2</v>
      </c>
    </row>
    <row r="15" spans="1:22">
      <c r="A15" t="s">
        <v>15</v>
      </c>
      <c r="B15" t="s">
        <v>29</v>
      </c>
      <c r="C15">
        <v>45</v>
      </c>
      <c r="D15">
        <f>Data!J41</f>
        <v>914</v>
      </c>
      <c r="E15">
        <f>Data!B42</f>
        <v>927.62164306640625</v>
      </c>
      <c r="F15" s="4">
        <f t="shared" si="0"/>
        <v>1.4903329394317488E-2</v>
      </c>
      <c r="G15">
        <f>Data!D42</f>
        <v>3.9908440113067631</v>
      </c>
      <c r="H15">
        <f>Data!B43</f>
        <v>924.70831298828125</v>
      </c>
      <c r="I15" s="4">
        <f t="shared" si="1"/>
        <v>1.1715878542977398E-2</v>
      </c>
      <c r="J15">
        <f>Data!D43</f>
        <v>5.3477339744567871</v>
      </c>
      <c r="K15">
        <f>Data!B41</f>
        <v>988.17242431640625</v>
      </c>
      <c r="L15" s="4">
        <f t="shared" si="2"/>
        <v>8.1151448923858061E-2</v>
      </c>
      <c r="M15">
        <f>Data!D41</f>
        <v>3.7958471775054932</v>
      </c>
      <c r="N15">
        <f t="shared" si="3"/>
        <v>924.70831298828125</v>
      </c>
      <c r="O15" s="4">
        <f t="shared" si="4"/>
        <v>1.1715878542977398E-2</v>
      </c>
      <c r="P15" t="str">
        <f t="shared" si="5"/>
        <v>vrp_50</v>
      </c>
      <c r="Q15">
        <f t="shared" si="6"/>
        <v>13.134425163269043</v>
      </c>
      <c r="R15" t="str">
        <f t="shared" si="7"/>
        <v>≤50</v>
      </c>
      <c r="S15" t="str">
        <f t="shared" si="8"/>
        <v>1-2%</v>
      </c>
      <c r="T15" t="str">
        <f t="shared" si="9"/>
        <v/>
      </c>
      <c r="U15">
        <f t="shared" si="10"/>
        <v>5.3477339744567871</v>
      </c>
      <c r="V15" s="4">
        <f t="shared" si="11"/>
        <v>6.9435570380880662E-2</v>
      </c>
    </row>
    <row r="16" spans="1:22">
      <c r="A16" t="s">
        <v>15</v>
      </c>
      <c r="B16" t="s">
        <v>30</v>
      </c>
      <c r="C16">
        <v>47</v>
      </c>
      <c r="D16">
        <f>Data!J44</f>
        <v>1073</v>
      </c>
      <c r="E16">
        <f>Data!B45</f>
        <v>1109.669311523438</v>
      </c>
      <c r="F16" s="4">
        <f t="shared" si="0"/>
        <v>3.4174568055394206E-2</v>
      </c>
      <c r="G16">
        <f>Data!D45</f>
        <v>3.5602278709411621</v>
      </c>
      <c r="H16">
        <f>Data!B46</f>
        <v>1103.542114257812</v>
      </c>
      <c r="I16" s="4">
        <f t="shared" si="1"/>
        <v>2.8464225776152929E-2</v>
      </c>
      <c r="J16">
        <f>Data!D46</f>
        <v>3.5708775520324711</v>
      </c>
      <c r="K16">
        <f>Data!B44</f>
        <v>1082.0380859375</v>
      </c>
      <c r="L16" s="4">
        <f t="shared" si="2"/>
        <v>8.4231928588069938E-3</v>
      </c>
      <c r="M16">
        <f>Data!D44</f>
        <v>3.7709934711456299</v>
      </c>
      <c r="N16">
        <f t="shared" si="3"/>
        <v>1082.0380859375</v>
      </c>
      <c r="O16" s="4">
        <f t="shared" si="4"/>
        <v>8.4231928588069938E-3</v>
      </c>
      <c r="P16" t="str">
        <f t="shared" si="5"/>
        <v>vrp_100</v>
      </c>
      <c r="Q16">
        <f t="shared" si="6"/>
        <v>10.902098894119263</v>
      </c>
      <c r="R16" t="str">
        <f t="shared" si="7"/>
        <v>≤50</v>
      </c>
      <c r="S16" t="str">
        <f t="shared" si="8"/>
        <v>0-1%</v>
      </c>
      <c r="T16" t="str">
        <f t="shared" si="9"/>
        <v/>
      </c>
      <c r="U16">
        <f t="shared" si="10"/>
        <v>3.7709934711456299</v>
      </c>
      <c r="V16" s="4">
        <f t="shared" si="11"/>
        <v>0</v>
      </c>
    </row>
    <row r="17" spans="1:22">
      <c r="A17" t="s">
        <v>15</v>
      </c>
      <c r="B17" t="s">
        <v>31</v>
      </c>
      <c r="C17">
        <v>52</v>
      </c>
      <c r="D17">
        <f>Data!J47</f>
        <v>1010</v>
      </c>
      <c r="E17">
        <f>Data!B48</f>
        <v>1023.731262207031</v>
      </c>
      <c r="F17" s="4">
        <f t="shared" si="0"/>
        <v>1.3595309115872256E-2</v>
      </c>
      <c r="G17">
        <f>Data!D48</f>
        <v>3.8916928768157959</v>
      </c>
      <c r="H17">
        <f>Data!B49</f>
        <v>1091.898193359375</v>
      </c>
      <c r="I17" s="4">
        <f t="shared" si="1"/>
        <v>8.1087320157797071E-2</v>
      </c>
      <c r="J17">
        <f>Data!D49</f>
        <v>3.5289092063903809</v>
      </c>
      <c r="K17">
        <f>Data!B47</f>
        <v>1076.16455078125</v>
      </c>
      <c r="L17" s="4">
        <f t="shared" si="2"/>
        <v>6.5509456219059459E-2</v>
      </c>
      <c r="M17">
        <f>Data!D47</f>
        <v>3.944493293762207</v>
      </c>
      <c r="N17">
        <f t="shared" si="3"/>
        <v>1023.731262207031</v>
      </c>
      <c r="O17" s="4">
        <f t="shared" si="4"/>
        <v>1.3595309115872256E-2</v>
      </c>
      <c r="P17" t="str">
        <f t="shared" si="5"/>
        <v>vrp_20</v>
      </c>
      <c r="Q17">
        <f t="shared" si="6"/>
        <v>11.365095376968384</v>
      </c>
      <c r="R17" t="str">
        <f t="shared" si="7"/>
        <v>51-100</v>
      </c>
      <c r="S17" t="str">
        <f t="shared" si="8"/>
        <v>1-2%</v>
      </c>
      <c r="T17" t="str">
        <f t="shared" si="9"/>
        <v/>
      </c>
      <c r="U17">
        <f t="shared" si="10"/>
        <v>3.8916928768157959</v>
      </c>
      <c r="V17" s="4">
        <f t="shared" si="11"/>
        <v>5.1914147103187203E-2</v>
      </c>
    </row>
    <row r="18" spans="1:22">
      <c r="A18" t="s">
        <v>15</v>
      </c>
      <c r="B18" t="s">
        <v>32</v>
      </c>
      <c r="C18">
        <v>53</v>
      </c>
      <c r="D18">
        <f>Data!J50</f>
        <v>1167</v>
      </c>
      <c r="E18">
        <f>Data!B51</f>
        <v>1219.542724609375</v>
      </c>
      <c r="F18" s="4">
        <f t="shared" si="0"/>
        <v>4.5023757163132005E-2</v>
      </c>
      <c r="G18">
        <f>Data!D51</f>
        <v>3.784945964813232</v>
      </c>
      <c r="H18">
        <f>Data!B52</f>
        <v>1173.316650390625</v>
      </c>
      <c r="I18" s="4">
        <f t="shared" si="1"/>
        <v>5.4127252704583295E-3</v>
      </c>
      <c r="J18">
        <f>Data!D52</f>
        <v>3.562185525894165</v>
      </c>
      <c r="K18">
        <f>Data!B50</f>
        <v>1191.337036132812</v>
      </c>
      <c r="L18" s="4">
        <f t="shared" si="2"/>
        <v>2.0854358297182518E-2</v>
      </c>
      <c r="M18">
        <f>Data!D50</f>
        <v>3.8616569042205811</v>
      </c>
      <c r="N18">
        <f t="shared" si="3"/>
        <v>1173.316650390625</v>
      </c>
      <c r="O18" s="4">
        <f t="shared" si="4"/>
        <v>5.4127252704583295E-3</v>
      </c>
      <c r="P18" t="str">
        <f t="shared" si="5"/>
        <v>vrp_50</v>
      </c>
      <c r="Q18">
        <f t="shared" si="6"/>
        <v>11.208788394927979</v>
      </c>
      <c r="R18" t="str">
        <f t="shared" si="7"/>
        <v>51-100</v>
      </c>
      <c r="S18" t="str">
        <f t="shared" si="8"/>
        <v>0-1%</v>
      </c>
      <c r="T18" t="str">
        <f t="shared" si="9"/>
        <v/>
      </c>
      <c r="U18">
        <f t="shared" si="10"/>
        <v>3.562185525894165</v>
      </c>
      <c r="V18" s="4">
        <f t="shared" si="11"/>
        <v>1.5441633026724189E-2</v>
      </c>
    </row>
    <row r="19" spans="1:22">
      <c r="A19" t="s">
        <v>15</v>
      </c>
      <c r="B19" t="s">
        <v>33</v>
      </c>
      <c r="C19">
        <v>54</v>
      </c>
      <c r="D19">
        <f>Data!J53</f>
        <v>1073</v>
      </c>
      <c r="E19">
        <f>Data!B54</f>
        <v>1146.597900390625</v>
      </c>
      <c r="F19" s="4">
        <f t="shared" si="0"/>
        <v>6.8590773896202162E-2</v>
      </c>
      <c r="G19">
        <f>Data!D54</f>
        <v>4.8907830715179443</v>
      </c>
      <c r="H19">
        <f>Data!B55</f>
        <v>1092.651489257812</v>
      </c>
      <c r="I19" s="4">
        <f t="shared" si="1"/>
        <v>1.8314528665248853E-2</v>
      </c>
      <c r="J19">
        <f>Data!D55</f>
        <v>3.595403909683228</v>
      </c>
      <c r="K19">
        <f>Data!B53</f>
        <v>1145.215942382812</v>
      </c>
      <c r="L19" s="4">
        <f t="shared" si="2"/>
        <v>6.7302835398706407E-2</v>
      </c>
      <c r="M19">
        <f>Data!D53</f>
        <v>3.9414515495300289</v>
      </c>
      <c r="N19">
        <f t="shared" si="3"/>
        <v>1092.651489257812</v>
      </c>
      <c r="O19" s="4">
        <f t="shared" si="4"/>
        <v>1.8314528665248853E-2</v>
      </c>
      <c r="P19" t="str">
        <f t="shared" si="5"/>
        <v>vrp_50</v>
      </c>
      <c r="Q19">
        <f t="shared" si="6"/>
        <v>12.427638530731201</v>
      </c>
      <c r="R19" t="str">
        <f t="shared" si="7"/>
        <v>51-100</v>
      </c>
      <c r="S19" t="str">
        <f t="shared" si="8"/>
        <v>1-2%</v>
      </c>
      <c r="T19" t="str">
        <f t="shared" si="9"/>
        <v/>
      </c>
      <c r="U19">
        <f t="shared" si="10"/>
        <v>3.595403909683228</v>
      </c>
      <c r="V19" s="4">
        <f t="shared" si="11"/>
        <v>4.8988306733457554E-2</v>
      </c>
    </row>
    <row r="20" spans="1:22">
      <c r="A20" t="s">
        <v>15</v>
      </c>
      <c r="B20" t="s">
        <v>34</v>
      </c>
      <c r="C20">
        <v>59</v>
      </c>
      <c r="D20">
        <f>Data!J56</f>
        <v>1354</v>
      </c>
      <c r="E20">
        <f>Data!B57</f>
        <v>1410.30859375</v>
      </c>
      <c r="F20" s="4">
        <f t="shared" si="0"/>
        <v>4.1586849150664795E-2</v>
      </c>
      <c r="G20">
        <f>Data!D57</f>
        <v>3.8256223201751709</v>
      </c>
      <c r="H20">
        <f>Data!B58</f>
        <v>1385.635986328125</v>
      </c>
      <c r="I20" s="4">
        <f t="shared" si="1"/>
        <v>2.3364834806591572E-2</v>
      </c>
      <c r="J20">
        <f>Data!D58</f>
        <v>3.4479377269744869</v>
      </c>
      <c r="K20">
        <f>Data!B56</f>
        <v>1379.546875</v>
      </c>
      <c r="L20" s="4">
        <f t="shared" si="2"/>
        <v>1.8867706794682526E-2</v>
      </c>
      <c r="M20">
        <f>Data!D56</f>
        <v>3.9028751850128169</v>
      </c>
      <c r="N20">
        <f t="shared" si="3"/>
        <v>1379.546875</v>
      </c>
      <c r="O20" s="4">
        <f t="shared" si="4"/>
        <v>1.8867706794682526E-2</v>
      </c>
      <c r="P20" t="str">
        <f t="shared" si="5"/>
        <v>vrp_100</v>
      </c>
      <c r="Q20">
        <f t="shared" si="6"/>
        <v>11.176435232162476</v>
      </c>
      <c r="R20" t="str">
        <f t="shared" si="7"/>
        <v>51-100</v>
      </c>
      <c r="S20" t="str">
        <f t="shared" si="8"/>
        <v>1-2%</v>
      </c>
      <c r="T20" t="str">
        <f t="shared" si="9"/>
        <v/>
      </c>
      <c r="U20">
        <f t="shared" si="10"/>
        <v>3.9028751850128169</v>
      </c>
      <c r="V20" s="4">
        <f t="shared" si="11"/>
        <v>0</v>
      </c>
    </row>
    <row r="21" spans="1:22">
      <c r="A21" t="s">
        <v>15</v>
      </c>
      <c r="B21" t="s">
        <v>35</v>
      </c>
      <c r="C21">
        <v>60</v>
      </c>
      <c r="D21">
        <f>Data!J59</f>
        <v>1034</v>
      </c>
      <c r="E21">
        <f>Data!B60</f>
        <v>1073.7109375</v>
      </c>
      <c r="F21" s="4">
        <f t="shared" si="0"/>
        <v>3.8405161992262959E-2</v>
      </c>
      <c r="G21">
        <f>Data!D60</f>
        <v>3.8462729454040532</v>
      </c>
      <c r="H21">
        <f>Data!B61</f>
        <v>1074.198608398438</v>
      </c>
      <c r="I21" s="4">
        <f t="shared" si="1"/>
        <v>3.887679729055904E-2</v>
      </c>
      <c r="J21">
        <f>Data!D61</f>
        <v>4.1932976245880127</v>
      </c>
      <c r="K21">
        <f>Data!B59</f>
        <v>1088.163818359375</v>
      </c>
      <c r="L21" s="4">
        <f t="shared" si="2"/>
        <v>5.238280305548848E-2</v>
      </c>
      <c r="M21">
        <f>Data!D59</f>
        <v>3.3696689605712891</v>
      </c>
      <c r="N21">
        <f t="shared" si="3"/>
        <v>1073.7109375</v>
      </c>
      <c r="O21" s="4">
        <f t="shared" si="4"/>
        <v>3.8405161992262959E-2</v>
      </c>
      <c r="P21" t="str">
        <f t="shared" si="5"/>
        <v>vrp_20</v>
      </c>
      <c r="Q21">
        <f t="shared" si="6"/>
        <v>11.409239530563354</v>
      </c>
      <c r="R21" t="str">
        <f t="shared" si="7"/>
        <v>51-100</v>
      </c>
      <c r="S21" t="str">
        <f t="shared" si="8"/>
        <v>2-5%</v>
      </c>
      <c r="T21" t="str">
        <f t="shared" si="9"/>
        <v/>
      </c>
      <c r="U21">
        <f t="shared" si="10"/>
        <v>3.8462729454040532</v>
      </c>
      <c r="V21" s="4">
        <f t="shared" si="11"/>
        <v>1.3977641063225521E-2</v>
      </c>
    </row>
    <row r="22" spans="1:22">
      <c r="A22" t="s">
        <v>15</v>
      </c>
      <c r="B22" t="s">
        <v>36</v>
      </c>
      <c r="C22">
        <v>61</v>
      </c>
      <c r="D22">
        <f>Data!J62</f>
        <v>1288</v>
      </c>
      <c r="E22">
        <f>Data!B63</f>
        <v>1364.384643554688</v>
      </c>
      <c r="F22" s="4">
        <f t="shared" si="0"/>
        <v>5.93048474803477E-2</v>
      </c>
      <c r="G22">
        <f>Data!D63</f>
        <v>4.0444791316986084</v>
      </c>
      <c r="H22">
        <f>Data!B64</f>
        <v>1328.68115234375</v>
      </c>
      <c r="I22" s="4">
        <f t="shared" si="1"/>
        <v>3.1584745608501663E-2</v>
      </c>
      <c r="J22">
        <f>Data!D64</f>
        <v>3.1809606552124019</v>
      </c>
      <c r="K22">
        <f>Data!B62</f>
        <v>1337.793334960938</v>
      </c>
      <c r="L22" s="4">
        <f t="shared" si="2"/>
        <v>3.8659421553523199E-2</v>
      </c>
      <c r="M22">
        <f>Data!D62</f>
        <v>3.1158251762390141</v>
      </c>
      <c r="N22">
        <f t="shared" si="3"/>
        <v>1328.68115234375</v>
      </c>
      <c r="O22" s="4">
        <f t="shared" si="4"/>
        <v>3.1584745608501663E-2</v>
      </c>
      <c r="P22" t="str">
        <f t="shared" si="5"/>
        <v>vrp_50</v>
      </c>
      <c r="Q22">
        <f t="shared" si="6"/>
        <v>10.341264963150024</v>
      </c>
      <c r="R22" t="str">
        <f t="shared" si="7"/>
        <v>51-100</v>
      </c>
      <c r="S22" t="str">
        <f t="shared" si="8"/>
        <v>2-5%</v>
      </c>
      <c r="T22" t="str">
        <f t="shared" si="9"/>
        <v/>
      </c>
      <c r="U22">
        <f t="shared" si="10"/>
        <v>3.1809606552124019</v>
      </c>
      <c r="V22" s="4">
        <f t="shared" si="11"/>
        <v>7.0746759450215357E-3</v>
      </c>
    </row>
    <row r="23" spans="1:22">
      <c r="A23" t="s">
        <v>15</v>
      </c>
      <c r="B23" t="s">
        <v>37</v>
      </c>
      <c r="C23">
        <v>62</v>
      </c>
      <c r="D23">
        <f>Data!J66</f>
        <v>1314</v>
      </c>
      <c r="E23">
        <f>Data!B68</f>
        <v>1354.197265625</v>
      </c>
      <c r="F23" s="4">
        <f t="shared" si="0"/>
        <v>3.0591526350837173E-2</v>
      </c>
      <c r="G23">
        <f>Data!D68</f>
        <v>6.9907917976379386</v>
      </c>
      <c r="H23">
        <f>Data!B70</f>
        <v>1358.572021484375</v>
      </c>
      <c r="I23" s="4">
        <f t="shared" si="1"/>
        <v>3.3920868709570007E-2</v>
      </c>
      <c r="J23">
        <f>Data!D70</f>
        <v>6.7272059917449951</v>
      </c>
      <c r="K23">
        <f>Data!B66</f>
        <v>1343.335327148438</v>
      </c>
      <c r="L23" s="4">
        <f t="shared" si="2"/>
        <v>2.2325210919663663E-2</v>
      </c>
      <c r="M23">
        <f>Data!D66</f>
        <v>5.441810131072998</v>
      </c>
      <c r="N23">
        <f t="shared" si="3"/>
        <v>1343.335327148438</v>
      </c>
      <c r="O23" s="4">
        <f t="shared" si="4"/>
        <v>2.2325210919663663E-2</v>
      </c>
      <c r="P23" t="str">
        <f t="shared" si="5"/>
        <v>vrp_100</v>
      </c>
      <c r="Q23">
        <f t="shared" si="6"/>
        <v>19.159807920455933</v>
      </c>
      <c r="R23" t="str">
        <f t="shared" si="7"/>
        <v>51-100</v>
      </c>
      <c r="S23" t="str">
        <f t="shared" si="8"/>
        <v>2-5%</v>
      </c>
      <c r="T23" t="str">
        <f t="shared" si="9"/>
        <v/>
      </c>
      <c r="U23">
        <f t="shared" si="10"/>
        <v>5.441810131072998</v>
      </c>
      <c r="V23" s="4">
        <f t="shared" si="11"/>
        <v>0</v>
      </c>
    </row>
    <row r="24" spans="1:22">
      <c r="A24" t="s">
        <v>15</v>
      </c>
      <c r="B24" t="s">
        <v>38</v>
      </c>
      <c r="C24">
        <v>62</v>
      </c>
      <c r="D24">
        <f>Data!J65</f>
        <v>1616</v>
      </c>
      <c r="E24">
        <f>Data!B67</f>
        <v>1666.69970703125</v>
      </c>
      <c r="F24" s="4">
        <f t="shared" si="0"/>
        <v>3.1373581083694368E-2</v>
      </c>
      <c r="G24">
        <f>Data!D67</f>
        <v>6.9907917976379386</v>
      </c>
      <c r="H24">
        <f>Data!B69</f>
        <v>1677.605590820312</v>
      </c>
      <c r="I24" s="4">
        <f t="shared" si="1"/>
        <v>3.8122271547222697E-2</v>
      </c>
      <c r="J24">
        <f>Data!D69</f>
        <v>6.7272059917449951</v>
      </c>
      <c r="K24">
        <f>Data!B65</f>
        <v>1640.254516601562</v>
      </c>
      <c r="L24" s="4">
        <f t="shared" si="2"/>
        <v>1.5008983045521118E-2</v>
      </c>
      <c r="M24">
        <f>Data!D65</f>
        <v>5.441810131072998</v>
      </c>
      <c r="N24">
        <f t="shared" si="3"/>
        <v>1640.254516601562</v>
      </c>
      <c r="O24" s="4">
        <f t="shared" si="4"/>
        <v>1.5008983045521118E-2</v>
      </c>
      <c r="P24" t="str">
        <f t="shared" si="5"/>
        <v>vrp_100</v>
      </c>
      <c r="Q24">
        <f t="shared" si="6"/>
        <v>19.159807920455933</v>
      </c>
      <c r="R24" t="str">
        <f t="shared" si="7"/>
        <v>51-100</v>
      </c>
      <c r="S24" t="str">
        <f t="shared" si="8"/>
        <v>1-2%</v>
      </c>
      <c r="T24" t="str">
        <f t="shared" si="9"/>
        <v/>
      </c>
      <c r="U24">
        <f t="shared" si="10"/>
        <v>5.441810131072998</v>
      </c>
      <c r="V24" s="4">
        <f t="shared" si="11"/>
        <v>0</v>
      </c>
    </row>
    <row r="25" spans="1:22">
      <c r="A25" t="s">
        <v>15</v>
      </c>
      <c r="B25" t="s">
        <v>39</v>
      </c>
      <c r="C25">
        <v>63</v>
      </c>
      <c r="D25">
        <f>Data!J71</f>
        <v>1401</v>
      </c>
      <c r="E25">
        <f>Data!B72</f>
        <v>1475</v>
      </c>
      <c r="F25" s="4">
        <f t="shared" si="0"/>
        <v>5.2819414703783041E-2</v>
      </c>
      <c r="G25">
        <f>Data!D72</f>
        <v>3.8166863918304439</v>
      </c>
      <c r="H25">
        <f>Data!B73</f>
        <v>1445.006591796875</v>
      </c>
      <c r="I25" s="4">
        <f t="shared" si="1"/>
        <v>3.1410843538097755E-2</v>
      </c>
      <c r="J25">
        <f>Data!D73</f>
        <v>3.7508985996246338</v>
      </c>
      <c r="K25">
        <f>Data!B71</f>
        <v>1434.93017578125</v>
      </c>
      <c r="L25" s="4">
        <f t="shared" si="2"/>
        <v>2.4218540885974305E-2</v>
      </c>
      <c r="M25">
        <f>Data!D71</f>
        <v>3.3372197151184082</v>
      </c>
      <c r="N25">
        <f t="shared" si="3"/>
        <v>1434.93017578125</v>
      </c>
      <c r="O25" s="4">
        <f t="shared" si="4"/>
        <v>2.4218540885974305E-2</v>
      </c>
      <c r="P25" t="str">
        <f t="shared" si="5"/>
        <v>vrp_100</v>
      </c>
      <c r="Q25">
        <f t="shared" si="6"/>
        <v>10.904804706573486</v>
      </c>
      <c r="R25" t="str">
        <f t="shared" si="7"/>
        <v>51-100</v>
      </c>
      <c r="S25" t="str">
        <f t="shared" si="8"/>
        <v>2-5%</v>
      </c>
      <c r="T25" t="str">
        <f t="shared" si="9"/>
        <v/>
      </c>
      <c r="U25">
        <f t="shared" si="10"/>
        <v>3.3372197151184082</v>
      </c>
      <c r="V25" s="4">
        <f t="shared" si="11"/>
        <v>0</v>
      </c>
    </row>
    <row r="26" spans="1:22">
      <c r="A26" t="s">
        <v>15</v>
      </c>
      <c r="B26" t="s">
        <v>40</v>
      </c>
      <c r="C26">
        <v>64</v>
      </c>
      <c r="D26">
        <f>Data!J74</f>
        <v>1174</v>
      </c>
      <c r="E26">
        <f>Data!B75</f>
        <v>1236.221923828125</v>
      </c>
      <c r="F26" s="4">
        <f t="shared" si="0"/>
        <v>5.299993511765333E-2</v>
      </c>
      <c r="G26">
        <f>Data!D75</f>
        <v>3.9622659683227539</v>
      </c>
      <c r="H26">
        <f>Data!B76</f>
        <v>1230.29296875</v>
      </c>
      <c r="I26" s="4">
        <f t="shared" si="1"/>
        <v>4.7949717844974371E-2</v>
      </c>
      <c r="J26">
        <f>Data!D76</f>
        <v>3.5521543025970459</v>
      </c>
      <c r="K26">
        <f>Data!B74</f>
        <v>1227.872314453125</v>
      </c>
      <c r="L26" s="4">
        <f t="shared" si="2"/>
        <v>4.5887831731793005E-2</v>
      </c>
      <c r="M26">
        <f>Data!D74</f>
        <v>3.3213315010070801</v>
      </c>
      <c r="N26">
        <f t="shared" si="3"/>
        <v>1227.872314453125</v>
      </c>
      <c r="O26" s="4">
        <f t="shared" si="4"/>
        <v>4.5887831731793005E-2</v>
      </c>
      <c r="P26" t="str">
        <f t="shared" si="5"/>
        <v>vrp_100</v>
      </c>
      <c r="Q26">
        <f t="shared" si="6"/>
        <v>10.83575177192688</v>
      </c>
      <c r="R26" t="str">
        <f t="shared" si="7"/>
        <v>51-100</v>
      </c>
      <c r="S26" t="str">
        <f t="shared" si="8"/>
        <v>2-5%</v>
      </c>
      <c r="T26" t="str">
        <f t="shared" si="9"/>
        <v/>
      </c>
      <c r="U26">
        <f t="shared" si="10"/>
        <v>3.3213315010070801</v>
      </c>
      <c r="V26" s="4">
        <f t="shared" si="11"/>
        <v>0</v>
      </c>
    </row>
    <row r="27" spans="1:22">
      <c r="A27" t="s">
        <v>15</v>
      </c>
      <c r="B27" t="s">
        <v>41</v>
      </c>
      <c r="C27">
        <v>68</v>
      </c>
      <c r="D27">
        <f>Data!J77</f>
        <v>1159</v>
      </c>
      <c r="E27">
        <f>Data!B78</f>
        <v>1212.928833007812</v>
      </c>
      <c r="F27" s="4">
        <f t="shared" si="0"/>
        <v>4.6530485770329699E-2</v>
      </c>
      <c r="G27">
        <f>Data!D78</f>
        <v>5.1308720111846924</v>
      </c>
      <c r="H27">
        <f>Data!B79</f>
        <v>1185.170654296875</v>
      </c>
      <c r="I27" s="4">
        <f t="shared" si="1"/>
        <v>2.2580374716889562E-2</v>
      </c>
      <c r="J27">
        <f>Data!D79</f>
        <v>4.4177951812744141</v>
      </c>
      <c r="K27">
        <f>Data!B77</f>
        <v>1194.282104492188</v>
      </c>
      <c r="L27" s="4">
        <f t="shared" si="2"/>
        <v>3.0441850295244155E-2</v>
      </c>
      <c r="M27">
        <f>Data!D77</f>
        <v>4.2214803695678711</v>
      </c>
      <c r="N27">
        <f t="shared" si="3"/>
        <v>1185.170654296875</v>
      </c>
      <c r="O27" s="4">
        <f t="shared" si="4"/>
        <v>2.2580374716889562E-2</v>
      </c>
      <c r="P27" t="str">
        <f t="shared" si="5"/>
        <v>vrp_50</v>
      </c>
      <c r="Q27">
        <f t="shared" si="6"/>
        <v>13.770147562026978</v>
      </c>
      <c r="R27" t="str">
        <f t="shared" si="7"/>
        <v>51-100</v>
      </c>
      <c r="S27" t="str">
        <f t="shared" si="8"/>
        <v>2-5%</v>
      </c>
      <c r="T27" t="str">
        <f t="shared" si="9"/>
        <v/>
      </c>
      <c r="U27">
        <f t="shared" si="10"/>
        <v>4.4177951812744141</v>
      </c>
      <c r="V27" s="4">
        <f t="shared" si="11"/>
        <v>7.8614755783545931E-3</v>
      </c>
    </row>
    <row r="28" spans="1:22">
      <c r="A28" t="s">
        <v>15</v>
      </c>
      <c r="B28" t="s">
        <v>42</v>
      </c>
      <c r="C28">
        <v>79</v>
      </c>
      <c r="D28">
        <f>Data!J80</f>
        <v>1763</v>
      </c>
      <c r="E28">
        <f>Data!B81</f>
        <v>1869.994995117188</v>
      </c>
      <c r="F28" s="4">
        <f t="shared" si="0"/>
        <v>6.0689163424383352E-2</v>
      </c>
      <c r="G28">
        <f>Data!D81</f>
        <v>3.908066987991333</v>
      </c>
      <c r="H28">
        <f>Data!B82</f>
        <v>1834.66943359375</v>
      </c>
      <c r="I28" s="4">
        <f t="shared" si="1"/>
        <v>4.065197594654002E-2</v>
      </c>
      <c r="J28">
        <f>Data!D82</f>
        <v>2.5883650779724121</v>
      </c>
      <c r="K28">
        <f>Data!B80</f>
        <v>1815.926879882812</v>
      </c>
      <c r="L28" s="4">
        <f t="shared" si="2"/>
        <v>3.0020918821787923E-2</v>
      </c>
      <c r="M28">
        <f>Data!D80</f>
        <v>3.2986466884613042</v>
      </c>
      <c r="N28">
        <f t="shared" si="3"/>
        <v>1815.926879882812</v>
      </c>
      <c r="O28" s="4">
        <f t="shared" si="4"/>
        <v>3.0020918821787923E-2</v>
      </c>
      <c r="P28" t="str">
        <f t="shared" si="5"/>
        <v>vrp_100</v>
      </c>
      <c r="Q28">
        <f t="shared" si="6"/>
        <v>9.7950787544250488</v>
      </c>
      <c r="R28" t="str">
        <f t="shared" si="7"/>
        <v>51-100</v>
      </c>
      <c r="S28" t="str">
        <f t="shared" si="8"/>
        <v>2-5%</v>
      </c>
      <c r="T28" t="str">
        <f t="shared" si="9"/>
        <v/>
      </c>
      <c r="U28">
        <f t="shared" si="10"/>
        <v>3.2986466884613042</v>
      </c>
      <c r="V28" s="4">
        <f t="shared" si="11"/>
        <v>0</v>
      </c>
    </row>
    <row r="29" spans="1:22">
      <c r="A29" t="s">
        <v>43</v>
      </c>
      <c r="B29" t="s">
        <v>44</v>
      </c>
      <c r="C29">
        <v>30</v>
      </c>
      <c r="D29">
        <f>Data!J83</f>
        <v>672</v>
      </c>
      <c r="E29">
        <f>Data!B84</f>
        <v>697.275634765625</v>
      </c>
      <c r="F29" s="4">
        <f t="shared" si="0"/>
        <v>3.7612551734560906E-2</v>
      </c>
      <c r="G29">
        <f>Data!D84</f>
        <v>2.8668181896209721</v>
      </c>
      <c r="H29">
        <f>Data!B85</f>
        <v>701.4149169921875</v>
      </c>
      <c r="I29" s="4">
        <f t="shared" si="1"/>
        <v>4.3772197905040944E-2</v>
      </c>
      <c r="J29">
        <f>Data!D85</f>
        <v>3.1799638271331792</v>
      </c>
      <c r="K29">
        <f>Data!B83</f>
        <v>705.36749267578125</v>
      </c>
      <c r="L29" s="4">
        <f t="shared" si="2"/>
        <v>4.9654006958007813E-2</v>
      </c>
      <c r="M29">
        <f>Data!D83</f>
        <v>3.9129023551940918</v>
      </c>
      <c r="N29">
        <f t="shared" si="3"/>
        <v>697.275634765625</v>
      </c>
      <c r="O29" s="4">
        <f t="shared" si="4"/>
        <v>3.7612551734560906E-2</v>
      </c>
      <c r="P29" t="str">
        <f t="shared" si="5"/>
        <v>vrp_20</v>
      </c>
      <c r="Q29">
        <f t="shared" si="6"/>
        <v>9.9596843719482422</v>
      </c>
      <c r="R29" t="str">
        <f t="shared" si="7"/>
        <v>≤50</v>
      </c>
      <c r="S29" t="str">
        <f t="shared" si="8"/>
        <v>2-5%</v>
      </c>
      <c r="T29" t="str">
        <f t="shared" si="9"/>
        <v/>
      </c>
      <c r="U29">
        <f t="shared" si="10"/>
        <v>2.8668181896209721</v>
      </c>
      <c r="V29" s="4">
        <f t="shared" si="11"/>
        <v>1.2041455223446906E-2</v>
      </c>
    </row>
    <row r="30" spans="1:22">
      <c r="A30" t="s">
        <v>43</v>
      </c>
      <c r="B30" t="s">
        <v>45</v>
      </c>
      <c r="C30">
        <v>33</v>
      </c>
      <c r="D30">
        <f>Data!J86</f>
        <v>788</v>
      </c>
      <c r="E30">
        <f>Data!B87</f>
        <v>795.0443115234375</v>
      </c>
      <c r="F30" s="4">
        <f t="shared" si="0"/>
        <v>8.9394816287278189E-3</v>
      </c>
      <c r="G30">
        <f>Data!D87</f>
        <v>2.7891561985015869</v>
      </c>
      <c r="H30">
        <f>Data!B88</f>
        <v>794.892578125</v>
      </c>
      <c r="I30" s="4">
        <f t="shared" si="1"/>
        <v>8.746926554568546E-3</v>
      </c>
      <c r="J30">
        <f>Data!D88</f>
        <v>3.0680019855499272</v>
      </c>
      <c r="K30">
        <f>Data!B86</f>
        <v>800.85382080078125</v>
      </c>
      <c r="L30" s="4">
        <f t="shared" si="2"/>
        <v>1.6311955330940764E-2</v>
      </c>
      <c r="M30">
        <f>Data!D86</f>
        <v>3.8479690551757808</v>
      </c>
      <c r="N30">
        <f t="shared" si="3"/>
        <v>794.892578125</v>
      </c>
      <c r="O30" s="4">
        <f t="shared" si="4"/>
        <v>8.746926554568546E-3</v>
      </c>
      <c r="P30" t="str">
        <f t="shared" si="5"/>
        <v>vrp_50</v>
      </c>
      <c r="Q30">
        <f t="shared" si="6"/>
        <v>9.7051272392272949</v>
      </c>
      <c r="R30" t="str">
        <f t="shared" si="7"/>
        <v>≤50</v>
      </c>
      <c r="S30" t="str">
        <f t="shared" si="8"/>
        <v>0-1%</v>
      </c>
      <c r="T30" t="str">
        <f t="shared" si="9"/>
        <v/>
      </c>
      <c r="U30">
        <f t="shared" si="10"/>
        <v>3.0680019855499272</v>
      </c>
      <c r="V30" s="4">
        <f t="shared" si="11"/>
        <v>7.5650287763722179E-3</v>
      </c>
    </row>
    <row r="31" spans="1:22">
      <c r="A31" t="s">
        <v>43</v>
      </c>
      <c r="B31" t="s">
        <v>46</v>
      </c>
      <c r="C31">
        <v>34</v>
      </c>
      <c r="D31">
        <f>Data!J89</f>
        <v>955</v>
      </c>
      <c r="E31">
        <f>Data!B90</f>
        <v>971.1785888671875</v>
      </c>
      <c r="F31" s="4">
        <f t="shared" si="0"/>
        <v>1.6940930750981575E-2</v>
      </c>
      <c r="G31">
        <f>Data!D90</f>
        <v>2.50319504737854</v>
      </c>
      <c r="H31">
        <f>Data!B91</f>
        <v>995.89642333984375</v>
      </c>
      <c r="I31" s="4">
        <f t="shared" si="1"/>
        <v>4.2823479937009079E-2</v>
      </c>
      <c r="J31">
        <f>Data!D91</f>
        <v>3.5872988700866699</v>
      </c>
      <c r="K31">
        <f>Data!B89</f>
        <v>1002.603637695312</v>
      </c>
      <c r="L31" s="4">
        <f t="shared" si="2"/>
        <v>4.9846741042211651E-2</v>
      </c>
      <c r="M31">
        <f>Data!D89</f>
        <v>3.7359077930450439</v>
      </c>
      <c r="N31">
        <f t="shared" si="3"/>
        <v>971.1785888671875</v>
      </c>
      <c r="O31" s="4">
        <f t="shared" si="4"/>
        <v>1.6940930750981575E-2</v>
      </c>
      <c r="P31" t="str">
        <f t="shared" si="5"/>
        <v>vrp_20</v>
      </c>
      <c r="Q31">
        <f t="shared" si="6"/>
        <v>9.8264017105102539</v>
      </c>
      <c r="R31" t="str">
        <f t="shared" si="7"/>
        <v>≤50</v>
      </c>
      <c r="S31" t="str">
        <f t="shared" si="8"/>
        <v>1-2%</v>
      </c>
      <c r="T31" t="str">
        <f t="shared" si="9"/>
        <v/>
      </c>
      <c r="U31">
        <f t="shared" si="10"/>
        <v>2.50319504737854</v>
      </c>
      <c r="V31" s="4">
        <f t="shared" si="11"/>
        <v>3.2905810291230075E-2</v>
      </c>
    </row>
    <row r="32" spans="1:22">
      <c r="A32" t="s">
        <v>43</v>
      </c>
      <c r="B32" t="s">
        <v>47</v>
      </c>
      <c r="C32">
        <v>37</v>
      </c>
      <c r="D32">
        <f>Data!J92</f>
        <v>805</v>
      </c>
      <c r="E32">
        <f>Data!B93</f>
        <v>819.34228515625</v>
      </c>
      <c r="F32" s="4">
        <f t="shared" si="0"/>
        <v>1.7816503299689535E-2</v>
      </c>
      <c r="G32">
        <f>Data!D93</f>
        <v>2.6201272010803218</v>
      </c>
      <c r="H32">
        <f>Data!B94</f>
        <v>820.84844970703125</v>
      </c>
      <c r="I32" s="4">
        <f t="shared" si="1"/>
        <v>1.9687515164013902E-2</v>
      </c>
      <c r="J32">
        <f>Data!D94</f>
        <v>3.613498210906982</v>
      </c>
      <c r="K32">
        <f>Data!B92</f>
        <v>818.05218505859375</v>
      </c>
      <c r="L32" s="4">
        <f t="shared" si="2"/>
        <v>1.6213894482725255E-2</v>
      </c>
      <c r="M32">
        <f>Data!D92</f>
        <v>3.6562399864196782</v>
      </c>
      <c r="N32">
        <f t="shared" si="3"/>
        <v>818.05218505859375</v>
      </c>
      <c r="O32" s="4">
        <f t="shared" si="4"/>
        <v>1.6213894482725255E-2</v>
      </c>
      <c r="P32" t="str">
        <f t="shared" si="5"/>
        <v>vrp_100</v>
      </c>
      <c r="Q32">
        <f t="shared" si="6"/>
        <v>9.8898653984069824</v>
      </c>
      <c r="R32" t="str">
        <f t="shared" si="7"/>
        <v>≤50</v>
      </c>
      <c r="S32" t="str">
        <f t="shared" si="8"/>
        <v>1-2%</v>
      </c>
      <c r="T32" t="str">
        <f t="shared" si="9"/>
        <v/>
      </c>
      <c r="U32">
        <f t="shared" si="10"/>
        <v>3.6562399864196782</v>
      </c>
      <c r="V32" s="4">
        <f t="shared" si="11"/>
        <v>0</v>
      </c>
    </row>
    <row r="33" spans="1:22">
      <c r="A33" t="s">
        <v>43</v>
      </c>
      <c r="B33" t="s">
        <v>48</v>
      </c>
      <c r="C33">
        <v>38</v>
      </c>
      <c r="D33">
        <f>Data!J95</f>
        <v>549</v>
      </c>
      <c r="E33">
        <f>Data!B96</f>
        <v>571.857177734375</v>
      </c>
      <c r="F33" s="4">
        <f t="shared" si="0"/>
        <v>4.1634203523451818E-2</v>
      </c>
      <c r="G33">
        <f>Data!D96</f>
        <v>3.0233440399169922</v>
      </c>
      <c r="H33">
        <f>Data!B97</f>
        <v>564.70635986328125</v>
      </c>
      <c r="I33" s="4">
        <f t="shared" si="1"/>
        <v>2.8609034359346586E-2</v>
      </c>
      <c r="J33">
        <f>Data!D97</f>
        <v>3.7525219917297359</v>
      </c>
      <c r="K33">
        <f>Data!B95</f>
        <v>602.88543701171875</v>
      </c>
      <c r="L33" s="4">
        <f t="shared" si="2"/>
        <v>9.815197998491576E-2</v>
      </c>
      <c r="M33">
        <f>Data!D95</f>
        <v>3.508039236068726</v>
      </c>
      <c r="N33">
        <f t="shared" si="3"/>
        <v>564.70635986328125</v>
      </c>
      <c r="O33" s="4">
        <f t="shared" si="4"/>
        <v>2.8609034359346586E-2</v>
      </c>
      <c r="P33" t="str">
        <f t="shared" si="5"/>
        <v>vrp_50</v>
      </c>
      <c r="Q33">
        <f t="shared" si="6"/>
        <v>10.283905267715454</v>
      </c>
      <c r="R33" t="str">
        <f t="shared" si="7"/>
        <v>≤50</v>
      </c>
      <c r="S33" t="str">
        <f t="shared" si="8"/>
        <v>2-5%</v>
      </c>
      <c r="T33" t="str">
        <f t="shared" si="9"/>
        <v/>
      </c>
      <c r="U33">
        <f t="shared" si="10"/>
        <v>3.7525219917297359</v>
      </c>
      <c r="V33" s="4">
        <f t="shared" si="11"/>
        <v>6.9542945625569175E-2</v>
      </c>
    </row>
    <row r="34" spans="1:22">
      <c r="A34" t="s">
        <v>43</v>
      </c>
      <c r="B34" t="s">
        <v>49</v>
      </c>
      <c r="C34">
        <v>40</v>
      </c>
      <c r="D34">
        <f>Data!J98</f>
        <v>829</v>
      </c>
      <c r="E34">
        <f>Data!B99</f>
        <v>848.2359619140625</v>
      </c>
      <c r="F34" s="4">
        <f t="shared" si="0"/>
        <v>2.3203814130352773E-2</v>
      </c>
      <c r="G34">
        <f>Data!D99</f>
        <v>2.909859418869019</v>
      </c>
      <c r="H34">
        <f>Data!B100</f>
        <v>857.0443115234375</v>
      </c>
      <c r="I34" s="4">
        <f t="shared" si="1"/>
        <v>3.3829085070491649E-2</v>
      </c>
      <c r="J34">
        <f>Data!D100</f>
        <v>3.8631899356842041</v>
      </c>
      <c r="K34">
        <f>Data!B98</f>
        <v>861.25933837890625</v>
      </c>
      <c r="L34" s="4">
        <f t="shared" si="2"/>
        <v>3.8913556548740846E-2</v>
      </c>
      <c r="M34">
        <f>Data!D98</f>
        <v>3.8638322353363042</v>
      </c>
      <c r="N34">
        <f t="shared" si="3"/>
        <v>848.2359619140625</v>
      </c>
      <c r="O34" s="4">
        <f t="shared" si="4"/>
        <v>2.3203814130352773E-2</v>
      </c>
      <c r="P34" t="str">
        <f t="shared" si="5"/>
        <v>vrp_20</v>
      </c>
      <c r="Q34">
        <f t="shared" si="6"/>
        <v>10.636881589889526</v>
      </c>
      <c r="R34" t="str">
        <f t="shared" si="7"/>
        <v>≤50</v>
      </c>
      <c r="S34" t="str">
        <f t="shared" si="8"/>
        <v>2-5%</v>
      </c>
      <c r="T34" t="str">
        <f t="shared" si="9"/>
        <v/>
      </c>
      <c r="U34">
        <f t="shared" si="10"/>
        <v>2.909859418869019</v>
      </c>
      <c r="V34" s="4">
        <f t="shared" si="11"/>
        <v>1.5709742418388073E-2</v>
      </c>
    </row>
    <row r="35" spans="1:22">
      <c r="A35" t="s">
        <v>43</v>
      </c>
      <c r="B35" t="s">
        <v>50</v>
      </c>
      <c r="C35">
        <v>42</v>
      </c>
      <c r="D35">
        <f>Data!J101</f>
        <v>742</v>
      </c>
      <c r="E35">
        <f>Data!B102</f>
        <v>748.9908447265625</v>
      </c>
      <c r="F35" s="4">
        <f t="shared" si="0"/>
        <v>9.4216236207040893E-3</v>
      </c>
      <c r="G35">
        <f>Data!D102</f>
        <v>3.418607234954834</v>
      </c>
      <c r="H35">
        <f>Data!B103</f>
        <v>749.64813232421875</v>
      </c>
      <c r="I35" s="4">
        <f t="shared" si="1"/>
        <v>1.0307455962558887E-2</v>
      </c>
      <c r="J35">
        <f>Data!D103</f>
        <v>3.7118439674377441</v>
      </c>
      <c r="K35">
        <f>Data!B101</f>
        <v>751.5009765625</v>
      </c>
      <c r="L35" s="4">
        <f t="shared" si="2"/>
        <v>1.2804550623315425E-2</v>
      </c>
      <c r="M35">
        <f>Data!D101</f>
        <v>5.9448745250701904</v>
      </c>
      <c r="N35">
        <f t="shared" si="3"/>
        <v>748.9908447265625</v>
      </c>
      <c r="O35" s="4">
        <f t="shared" si="4"/>
        <v>9.4216236207040893E-3</v>
      </c>
      <c r="P35" t="str">
        <f t="shared" si="5"/>
        <v>vrp_20</v>
      </c>
      <c r="Q35">
        <f t="shared" si="6"/>
        <v>13.075325727462769</v>
      </c>
      <c r="R35" t="str">
        <f t="shared" si="7"/>
        <v>≤50</v>
      </c>
      <c r="S35" t="str">
        <f t="shared" si="8"/>
        <v>0-1%</v>
      </c>
      <c r="T35" t="str">
        <f t="shared" si="9"/>
        <v/>
      </c>
      <c r="U35">
        <f t="shared" si="10"/>
        <v>3.418607234954834</v>
      </c>
      <c r="V35" s="4">
        <f t="shared" si="11"/>
        <v>3.3829270026113356E-3</v>
      </c>
    </row>
    <row r="36" spans="1:22">
      <c r="A36" t="s">
        <v>43</v>
      </c>
      <c r="B36" t="s">
        <v>51</v>
      </c>
      <c r="C36">
        <v>43</v>
      </c>
      <c r="D36">
        <f>Data!J104</f>
        <v>909</v>
      </c>
      <c r="E36">
        <f>Data!B105</f>
        <v>933.74188232421875</v>
      </c>
      <c r="F36" s="4">
        <f t="shared" si="0"/>
        <v>2.7218792435884209E-2</v>
      </c>
      <c r="G36">
        <f>Data!D105</f>
        <v>3.6912741661071782</v>
      </c>
      <c r="H36">
        <f>Data!B106</f>
        <v>934.8466796875</v>
      </c>
      <c r="I36" s="4">
        <f t="shared" si="1"/>
        <v>2.8434191075357607E-2</v>
      </c>
      <c r="J36">
        <f>Data!D106</f>
        <v>3.8044168949127202</v>
      </c>
      <c r="K36">
        <f>Data!B104</f>
        <v>952.891845703125</v>
      </c>
      <c r="L36" s="4">
        <f t="shared" si="2"/>
        <v>4.828585885932335E-2</v>
      </c>
      <c r="M36">
        <f>Data!D104</f>
        <v>3.5976326465606689</v>
      </c>
      <c r="N36">
        <f t="shared" si="3"/>
        <v>933.74188232421875</v>
      </c>
      <c r="O36" s="4">
        <f t="shared" si="4"/>
        <v>2.7218792435884209E-2</v>
      </c>
      <c r="P36" t="str">
        <f t="shared" si="5"/>
        <v>vrp_20</v>
      </c>
      <c r="Q36">
        <f t="shared" si="6"/>
        <v>11.093323707580566</v>
      </c>
      <c r="R36" t="str">
        <f t="shared" si="7"/>
        <v>≤50</v>
      </c>
      <c r="S36" t="str">
        <f t="shared" si="8"/>
        <v>2-5%</v>
      </c>
      <c r="T36" t="str">
        <f t="shared" si="9"/>
        <v/>
      </c>
      <c r="U36">
        <f t="shared" si="10"/>
        <v>3.6912741661071782</v>
      </c>
      <c r="V36" s="4">
        <f t="shared" si="11"/>
        <v>2.106706642343914E-2</v>
      </c>
    </row>
    <row r="37" spans="1:22">
      <c r="A37" t="s">
        <v>43</v>
      </c>
      <c r="B37" t="s">
        <v>52</v>
      </c>
      <c r="C37">
        <v>44</v>
      </c>
      <c r="D37">
        <f>Data!J107</f>
        <v>751</v>
      </c>
      <c r="E37">
        <f>Data!B109</f>
        <v>765.96649169921875</v>
      </c>
      <c r="F37" s="4">
        <f t="shared" si="0"/>
        <v>1.9928750598160683E-2</v>
      </c>
      <c r="G37">
        <f>Data!D109</f>
        <v>3.921587228775024</v>
      </c>
      <c r="H37">
        <f>Data!B111</f>
        <v>775.99224853515625</v>
      </c>
      <c r="I37" s="4">
        <f t="shared" si="1"/>
        <v>3.3278626544815282E-2</v>
      </c>
      <c r="J37">
        <f>Data!D111</f>
        <v>3.777878999710083</v>
      </c>
      <c r="K37">
        <f>Data!B107</f>
        <v>767.58392333984375</v>
      </c>
      <c r="L37" s="4">
        <f t="shared" si="2"/>
        <v>2.208245451377322E-2</v>
      </c>
      <c r="M37">
        <f>Data!D107</f>
        <v>3.5613007545471191</v>
      </c>
      <c r="N37">
        <f t="shared" si="3"/>
        <v>765.96649169921875</v>
      </c>
      <c r="O37" s="4">
        <f t="shared" si="4"/>
        <v>1.9928750598160683E-2</v>
      </c>
      <c r="P37" t="str">
        <f t="shared" si="5"/>
        <v>vrp_20</v>
      </c>
      <c r="Q37">
        <f t="shared" si="6"/>
        <v>11.260766983032227</v>
      </c>
      <c r="R37" t="str">
        <f t="shared" si="7"/>
        <v>≤50</v>
      </c>
      <c r="S37" t="str">
        <f t="shared" si="8"/>
        <v>1-2%</v>
      </c>
      <c r="T37" t="str">
        <f t="shared" si="9"/>
        <v/>
      </c>
      <c r="U37">
        <f t="shared" si="10"/>
        <v>3.921587228775024</v>
      </c>
      <c r="V37" s="4">
        <f t="shared" si="11"/>
        <v>2.153703915612537E-3</v>
      </c>
    </row>
    <row r="38" spans="1:22">
      <c r="A38" t="s">
        <v>43</v>
      </c>
      <c r="B38" t="s">
        <v>53</v>
      </c>
      <c r="C38">
        <v>44</v>
      </c>
      <c r="D38">
        <f>Data!J108</f>
        <v>678</v>
      </c>
      <c r="E38">
        <f>Data!B110</f>
        <v>731.46734619140625</v>
      </c>
      <c r="F38" s="4">
        <f t="shared" si="0"/>
        <v>7.8860392612693619E-2</v>
      </c>
      <c r="G38">
        <f>Data!D110</f>
        <v>3.921587228775024</v>
      </c>
      <c r="H38">
        <f>Data!B112</f>
        <v>724.060302734375</v>
      </c>
      <c r="I38" s="4">
        <f t="shared" si="1"/>
        <v>6.7935549755715252E-2</v>
      </c>
      <c r="J38">
        <f>Data!D112</f>
        <v>3.777878999710083</v>
      </c>
      <c r="K38">
        <f>Data!B108</f>
        <v>721.7486572265625</v>
      </c>
      <c r="L38" s="4">
        <f t="shared" si="2"/>
        <v>6.4526043107024256E-2</v>
      </c>
      <c r="M38">
        <f>Data!D108</f>
        <v>3.5613007545471191</v>
      </c>
      <c r="N38">
        <f t="shared" si="3"/>
        <v>721.7486572265625</v>
      </c>
      <c r="O38" s="4">
        <f t="shared" si="4"/>
        <v>6.4526043107024256E-2</v>
      </c>
      <c r="P38" t="str">
        <f t="shared" si="5"/>
        <v>vrp_100</v>
      </c>
      <c r="Q38">
        <f t="shared" si="6"/>
        <v>11.260766983032227</v>
      </c>
      <c r="R38" t="str">
        <f t="shared" si="7"/>
        <v>≤50</v>
      </c>
      <c r="S38" t="str">
        <f t="shared" si="8"/>
        <v>5-10%</v>
      </c>
      <c r="T38" t="str">
        <f t="shared" si="9"/>
        <v/>
      </c>
      <c r="U38">
        <f t="shared" si="10"/>
        <v>3.5613007545471191</v>
      </c>
      <c r="V38" s="4">
        <f t="shared" si="11"/>
        <v>0</v>
      </c>
    </row>
    <row r="39" spans="1:22">
      <c r="A39" t="s">
        <v>43</v>
      </c>
      <c r="B39" t="s">
        <v>54</v>
      </c>
      <c r="C39">
        <v>49</v>
      </c>
      <c r="D39">
        <f>Data!J113</f>
        <v>741</v>
      </c>
      <c r="E39">
        <f>Data!B115</f>
        <v>766.98590087890625</v>
      </c>
      <c r="F39" s="4">
        <f t="shared" si="0"/>
        <v>3.5068692144272884E-2</v>
      </c>
      <c r="G39">
        <f>Data!D115</f>
        <v>3.7842364311218262</v>
      </c>
      <c r="H39">
        <f>Data!B117</f>
        <v>765.8094482421875</v>
      </c>
      <c r="I39" s="4">
        <f t="shared" si="1"/>
        <v>3.3481036764085648E-2</v>
      </c>
      <c r="J39">
        <f>Data!D117</f>
        <v>3.7969024181365971</v>
      </c>
      <c r="K39">
        <f>Data!B113</f>
        <v>755.06353759765625</v>
      </c>
      <c r="L39" s="4">
        <f t="shared" si="2"/>
        <v>1.8979133060264886E-2</v>
      </c>
      <c r="M39">
        <f>Data!D113</f>
        <v>3.7319321632385249</v>
      </c>
      <c r="N39">
        <f t="shared" si="3"/>
        <v>755.06353759765625</v>
      </c>
      <c r="O39" s="4">
        <f t="shared" si="4"/>
        <v>1.8979133060264886E-2</v>
      </c>
      <c r="P39" t="str">
        <f t="shared" si="5"/>
        <v>vrp_100</v>
      </c>
      <c r="Q39">
        <f t="shared" si="6"/>
        <v>11.313071012496948</v>
      </c>
      <c r="R39" t="str">
        <f t="shared" si="7"/>
        <v>≤50</v>
      </c>
      <c r="S39" t="str">
        <f t="shared" si="8"/>
        <v>1-2%</v>
      </c>
      <c r="T39" t="str">
        <f t="shared" si="9"/>
        <v/>
      </c>
      <c r="U39">
        <f t="shared" si="10"/>
        <v>3.7319321632385249</v>
      </c>
      <c r="V39" s="4">
        <f t="shared" si="11"/>
        <v>0</v>
      </c>
    </row>
    <row r="40" spans="1:22">
      <c r="A40" t="s">
        <v>43</v>
      </c>
      <c r="B40" t="s">
        <v>55</v>
      </c>
      <c r="C40">
        <v>49</v>
      </c>
      <c r="D40">
        <f>Data!J114</f>
        <v>1312</v>
      </c>
      <c r="E40">
        <f>Data!B116</f>
        <v>1321.339599609375</v>
      </c>
      <c r="F40" s="4">
        <f t="shared" si="0"/>
        <v>7.1185972632430428E-3</v>
      </c>
      <c r="G40">
        <f>Data!D116</f>
        <v>3.7842364311218262</v>
      </c>
      <c r="H40">
        <f>Data!B118</f>
        <v>1319.377685546875</v>
      </c>
      <c r="I40" s="4">
        <f t="shared" si="1"/>
        <v>5.6232359351180428E-3</v>
      </c>
      <c r="J40">
        <f>Data!D118</f>
        <v>3.7969024181365971</v>
      </c>
      <c r="K40">
        <f>Data!B114</f>
        <v>1377.877685546875</v>
      </c>
      <c r="L40" s="4">
        <f t="shared" si="2"/>
        <v>5.0211650569264465E-2</v>
      </c>
      <c r="M40">
        <f>Data!D114</f>
        <v>3.7319321632385249</v>
      </c>
      <c r="N40">
        <f t="shared" si="3"/>
        <v>1319.377685546875</v>
      </c>
      <c r="O40" s="4">
        <f t="shared" si="4"/>
        <v>5.6232359351180428E-3</v>
      </c>
      <c r="P40" t="str">
        <f t="shared" si="5"/>
        <v>vrp_50</v>
      </c>
      <c r="Q40">
        <f t="shared" si="6"/>
        <v>11.313071012496948</v>
      </c>
      <c r="R40" t="str">
        <f t="shared" si="7"/>
        <v>≤50</v>
      </c>
      <c r="S40" t="str">
        <f t="shared" si="8"/>
        <v>0-1%</v>
      </c>
      <c r="T40" t="str">
        <f t="shared" si="9"/>
        <v/>
      </c>
      <c r="U40">
        <f t="shared" si="10"/>
        <v>3.7969024181365971</v>
      </c>
      <c r="V40" s="4">
        <f t="shared" si="11"/>
        <v>4.4588414634146423E-2</v>
      </c>
    </row>
    <row r="41" spans="1:22">
      <c r="A41" t="s">
        <v>43</v>
      </c>
      <c r="B41" t="s">
        <v>56</v>
      </c>
      <c r="C41">
        <v>50</v>
      </c>
      <c r="D41">
        <f>Data!J119</f>
        <v>1032</v>
      </c>
      <c r="E41">
        <f>Data!B120</f>
        <v>1032</v>
      </c>
      <c r="F41" s="4">
        <f t="shared" si="0"/>
        <v>0</v>
      </c>
      <c r="G41">
        <f>Data!D120</f>
        <v>3.9761064052581792</v>
      </c>
      <c r="H41">
        <f>Data!B121</f>
        <v>1086.526000976562</v>
      </c>
      <c r="I41" s="4">
        <f t="shared" si="1"/>
        <v>5.2835272264110555E-2</v>
      </c>
      <c r="J41">
        <f>Data!D121</f>
        <v>3.9197759628295898</v>
      </c>
      <c r="K41">
        <f>Data!B119</f>
        <v>1075.782104492188</v>
      </c>
      <c r="L41" s="4">
        <f t="shared" si="2"/>
        <v>4.2424519856771203E-2</v>
      </c>
      <c r="M41">
        <f>Data!D119</f>
        <v>3.636492252349854</v>
      </c>
      <c r="N41">
        <f t="shared" si="3"/>
        <v>1032</v>
      </c>
      <c r="O41" s="4">
        <f t="shared" si="4"/>
        <v>0</v>
      </c>
      <c r="P41" t="str">
        <f t="shared" si="5"/>
        <v>vrp_20</v>
      </c>
      <c r="Q41">
        <f t="shared" si="6"/>
        <v>11.532374620437622</v>
      </c>
      <c r="R41" t="str">
        <f t="shared" si="7"/>
        <v>≤50</v>
      </c>
      <c r="S41" t="str">
        <f t="shared" si="8"/>
        <v>≤0%</v>
      </c>
      <c r="T41" t="str">
        <f t="shared" si="9"/>
        <v/>
      </c>
      <c r="U41">
        <f t="shared" si="10"/>
        <v>3.9761064052581792</v>
      </c>
      <c r="V41" s="4">
        <f t="shared" si="11"/>
        <v>4.2424519856771203E-2</v>
      </c>
    </row>
    <row r="42" spans="1:22">
      <c r="A42" t="s">
        <v>43</v>
      </c>
      <c r="B42" t="s">
        <v>57</v>
      </c>
      <c r="C42">
        <v>51</v>
      </c>
      <c r="D42">
        <f>Data!J122</f>
        <v>747</v>
      </c>
      <c r="E42">
        <f>Data!B123</f>
        <v>770.35040283203125</v>
      </c>
      <c r="F42" s="4">
        <f t="shared" si="0"/>
        <v>3.1258906066976344E-2</v>
      </c>
      <c r="G42">
        <f>Data!D123</f>
        <v>3.771407842636108</v>
      </c>
      <c r="H42">
        <f>Data!B124</f>
        <v>758.03424072265625</v>
      </c>
      <c r="I42" s="4">
        <f t="shared" si="1"/>
        <v>1.477140658990117E-2</v>
      </c>
      <c r="J42">
        <f>Data!D124</f>
        <v>4.0659630298614502</v>
      </c>
      <c r="K42">
        <f>Data!B122</f>
        <v>765.9571533203125</v>
      </c>
      <c r="L42" s="4">
        <f t="shared" si="2"/>
        <v>2.537771528823618E-2</v>
      </c>
      <c r="M42">
        <f>Data!D122</f>
        <v>3.5856132507324219</v>
      </c>
      <c r="N42">
        <f t="shared" si="3"/>
        <v>758.03424072265625</v>
      </c>
      <c r="O42" s="4">
        <f t="shared" si="4"/>
        <v>1.477140658990117E-2</v>
      </c>
      <c r="P42" t="str">
        <f t="shared" si="5"/>
        <v>vrp_50</v>
      </c>
      <c r="Q42">
        <f t="shared" si="6"/>
        <v>11.42298412322998</v>
      </c>
      <c r="R42" t="str">
        <f t="shared" si="7"/>
        <v>51-100</v>
      </c>
      <c r="S42" t="str">
        <f t="shared" si="8"/>
        <v>1-2%</v>
      </c>
      <c r="T42" t="str">
        <f t="shared" si="9"/>
        <v/>
      </c>
      <c r="U42">
        <f t="shared" si="10"/>
        <v>4.0659630298614502</v>
      </c>
      <c r="V42" s="4">
        <f t="shared" si="11"/>
        <v>1.060630869833501E-2</v>
      </c>
    </row>
    <row r="43" spans="1:22">
      <c r="A43" t="s">
        <v>43</v>
      </c>
      <c r="B43" t="s">
        <v>58</v>
      </c>
      <c r="C43">
        <v>55</v>
      </c>
      <c r="D43">
        <f>Data!J125</f>
        <v>707</v>
      </c>
      <c r="E43">
        <f>Data!B126</f>
        <v>747.7633056640625</v>
      </c>
      <c r="F43" s="4">
        <f t="shared" si="0"/>
        <v>5.765672654039955E-2</v>
      </c>
      <c r="G43">
        <f>Data!D126</f>
        <v>4.1702108383178711</v>
      </c>
      <c r="H43">
        <f>Data!B127</f>
        <v>745.91302490234375</v>
      </c>
      <c r="I43" s="4">
        <f t="shared" si="1"/>
        <v>5.5039639182947298E-2</v>
      </c>
      <c r="J43">
        <f>Data!D127</f>
        <v>3.977002859115601</v>
      </c>
      <c r="K43">
        <f>Data!B125</f>
        <v>735.464599609375</v>
      </c>
      <c r="L43" s="4">
        <f t="shared" si="2"/>
        <v>4.0261102700671847E-2</v>
      </c>
      <c r="M43">
        <f>Data!D125</f>
        <v>4.7463269233703613</v>
      </c>
      <c r="N43">
        <f t="shared" si="3"/>
        <v>735.464599609375</v>
      </c>
      <c r="O43" s="4">
        <f t="shared" si="4"/>
        <v>4.0261102700671847E-2</v>
      </c>
      <c r="P43" t="str">
        <f t="shared" si="5"/>
        <v>vrp_100</v>
      </c>
      <c r="Q43">
        <f t="shared" si="6"/>
        <v>12.893540620803833</v>
      </c>
      <c r="R43" t="str">
        <f t="shared" si="7"/>
        <v>51-100</v>
      </c>
      <c r="S43" t="str">
        <f t="shared" si="8"/>
        <v>2-5%</v>
      </c>
      <c r="T43" t="str">
        <f t="shared" si="9"/>
        <v/>
      </c>
      <c r="U43">
        <f t="shared" si="10"/>
        <v>4.7463269233703613</v>
      </c>
      <c r="V43" s="4">
        <f t="shared" si="11"/>
        <v>0</v>
      </c>
    </row>
    <row r="44" spans="1:22">
      <c r="A44" t="s">
        <v>43</v>
      </c>
      <c r="B44" t="s">
        <v>59</v>
      </c>
      <c r="C44">
        <v>56</v>
      </c>
      <c r="D44">
        <f>Data!J128</f>
        <v>1153</v>
      </c>
      <c r="E44">
        <f>Data!B130</f>
        <v>1258.650146484375</v>
      </c>
      <c r="F44" s="4">
        <f t="shared" si="0"/>
        <v>9.1630656100932351E-2</v>
      </c>
      <c r="G44">
        <f>Data!D130</f>
        <v>6.1280777454376221</v>
      </c>
      <c r="H44">
        <f>Data!B132</f>
        <v>1158.048583984375</v>
      </c>
      <c r="I44" s="4">
        <f t="shared" si="1"/>
        <v>4.3786504634648615E-3</v>
      </c>
      <c r="J44">
        <f>Data!D132</f>
        <v>6.0994689464569092</v>
      </c>
      <c r="K44">
        <f>Data!B128</f>
        <v>1154.673461914062</v>
      </c>
      <c r="L44" s="4">
        <f t="shared" si="2"/>
        <v>1.4513980173997965E-3</v>
      </c>
      <c r="M44">
        <f>Data!D128</f>
        <v>6.7441813945770264</v>
      </c>
      <c r="N44">
        <f t="shared" si="3"/>
        <v>1154.673461914062</v>
      </c>
      <c r="O44" s="4">
        <f t="shared" si="4"/>
        <v>1.4513980173997965E-3</v>
      </c>
      <c r="P44" t="str">
        <f t="shared" si="5"/>
        <v>vrp_100</v>
      </c>
      <c r="Q44">
        <f t="shared" si="6"/>
        <v>18.971728086471558</v>
      </c>
      <c r="R44" t="str">
        <f t="shared" si="7"/>
        <v>51-100</v>
      </c>
      <c r="S44" t="str">
        <f t="shared" si="8"/>
        <v>0-1%</v>
      </c>
      <c r="T44" t="str">
        <f t="shared" si="9"/>
        <v/>
      </c>
      <c r="U44">
        <f t="shared" si="10"/>
        <v>6.7441813945770264</v>
      </c>
      <c r="V44" s="4">
        <f t="shared" si="11"/>
        <v>0</v>
      </c>
    </row>
    <row r="45" spans="1:22">
      <c r="A45" t="s">
        <v>43</v>
      </c>
      <c r="B45" t="s">
        <v>60</v>
      </c>
      <c r="C45">
        <v>56</v>
      </c>
      <c r="D45">
        <f>Data!J129</f>
        <v>1598</v>
      </c>
      <c r="E45">
        <f>Data!B131</f>
        <v>1634.6865234375</v>
      </c>
      <c r="F45" s="4">
        <f t="shared" si="0"/>
        <v>2.2957774366395567E-2</v>
      </c>
      <c r="G45">
        <f>Data!D131</f>
        <v>6.1280777454376221</v>
      </c>
      <c r="H45">
        <f>Data!B133</f>
        <v>1674.2548828125</v>
      </c>
      <c r="I45" s="4">
        <f t="shared" si="1"/>
        <v>4.7718950445869934E-2</v>
      </c>
      <c r="J45">
        <f>Data!D133</f>
        <v>6.0994689464569092</v>
      </c>
      <c r="K45">
        <f>Data!B129</f>
        <v>1645.4404296875</v>
      </c>
      <c r="L45" s="4">
        <f t="shared" si="2"/>
        <v>2.9687377776908663E-2</v>
      </c>
      <c r="M45">
        <f>Data!D129</f>
        <v>6.7441813945770264</v>
      </c>
      <c r="N45">
        <f t="shared" si="3"/>
        <v>1634.6865234375</v>
      </c>
      <c r="O45" s="4">
        <f t="shared" si="4"/>
        <v>2.2957774366395567E-2</v>
      </c>
      <c r="P45" t="str">
        <f t="shared" si="5"/>
        <v>vrp_20</v>
      </c>
      <c r="Q45">
        <f t="shared" si="6"/>
        <v>18.971728086471558</v>
      </c>
      <c r="R45" t="str">
        <f t="shared" si="7"/>
        <v>51-100</v>
      </c>
      <c r="S45" t="str">
        <f t="shared" si="8"/>
        <v>2-5%</v>
      </c>
      <c r="T45" t="str">
        <f t="shared" si="9"/>
        <v/>
      </c>
      <c r="U45">
        <f t="shared" si="10"/>
        <v>6.1280777454376221</v>
      </c>
      <c r="V45" s="4">
        <f t="shared" si="11"/>
        <v>6.7296034105130964E-3</v>
      </c>
    </row>
    <row r="46" spans="1:22">
      <c r="A46" t="s">
        <v>43</v>
      </c>
      <c r="B46" t="s">
        <v>61</v>
      </c>
      <c r="C46">
        <v>62</v>
      </c>
      <c r="D46">
        <f>Data!J134</f>
        <v>1496</v>
      </c>
      <c r="E46">
        <f>Data!B135</f>
        <v>1599.09033203125</v>
      </c>
      <c r="F46" s="4">
        <f t="shared" si="0"/>
        <v>6.8910649753509468E-2</v>
      </c>
      <c r="G46">
        <f>Data!D135</f>
        <v>4.073063850402832</v>
      </c>
      <c r="H46">
        <f>Data!B136</f>
        <v>1560.762084960938</v>
      </c>
      <c r="I46" s="4">
        <f t="shared" si="1"/>
        <v>4.3290163743942456E-2</v>
      </c>
      <c r="J46">
        <f>Data!D136</f>
        <v>4.015559196472168</v>
      </c>
      <c r="K46">
        <f>Data!B134</f>
        <v>1594.927978515625</v>
      </c>
      <c r="L46" s="4">
        <f t="shared" si="2"/>
        <v>6.6128327884775961E-2</v>
      </c>
      <c r="M46">
        <f>Data!D134</f>
        <v>3.4211945533752441</v>
      </c>
      <c r="N46">
        <f t="shared" si="3"/>
        <v>1560.762084960938</v>
      </c>
      <c r="O46" s="4">
        <f t="shared" si="4"/>
        <v>4.3290163743942456E-2</v>
      </c>
      <c r="P46" t="str">
        <f t="shared" si="5"/>
        <v>vrp_50</v>
      </c>
      <c r="Q46">
        <f t="shared" si="6"/>
        <v>11.509817600250244</v>
      </c>
      <c r="R46" t="str">
        <f t="shared" si="7"/>
        <v>51-100</v>
      </c>
      <c r="S46" t="str">
        <f t="shared" si="8"/>
        <v>2-5%</v>
      </c>
      <c r="T46" t="str">
        <f t="shared" si="9"/>
        <v/>
      </c>
      <c r="U46">
        <f t="shared" si="10"/>
        <v>4.015559196472168</v>
      </c>
      <c r="V46" s="4">
        <f t="shared" si="11"/>
        <v>2.2838164140833506E-2</v>
      </c>
    </row>
    <row r="47" spans="1:22">
      <c r="A47" t="s">
        <v>43</v>
      </c>
      <c r="B47" t="s">
        <v>62</v>
      </c>
      <c r="C47">
        <v>63</v>
      </c>
      <c r="D47">
        <f>Data!J137</f>
        <v>861</v>
      </c>
      <c r="E47">
        <f>Data!B138</f>
        <v>904.2711181640625</v>
      </c>
      <c r="F47" s="4">
        <f t="shared" si="0"/>
        <v>5.025681552155925E-2</v>
      </c>
      <c r="G47">
        <f>Data!D138</f>
        <v>3.9955954551696782</v>
      </c>
      <c r="H47">
        <f>Data!B139</f>
        <v>923.8909912109375</v>
      </c>
      <c r="I47" s="4">
        <f t="shared" si="1"/>
        <v>7.3044124519091147E-2</v>
      </c>
      <c r="J47">
        <f>Data!D139</f>
        <v>4.0414919853210449</v>
      </c>
      <c r="K47">
        <f>Data!B137</f>
        <v>1011.741943359375</v>
      </c>
      <c r="L47" s="4">
        <f t="shared" si="2"/>
        <v>0.17507775070775256</v>
      </c>
      <c r="M47">
        <f>Data!D137</f>
        <v>3.1968626976013179</v>
      </c>
      <c r="N47">
        <f t="shared" si="3"/>
        <v>904.2711181640625</v>
      </c>
      <c r="O47" s="4">
        <f t="shared" si="4"/>
        <v>5.025681552155925E-2</v>
      </c>
      <c r="P47" t="str">
        <f t="shared" si="5"/>
        <v>vrp_20</v>
      </c>
      <c r="Q47">
        <f t="shared" si="6"/>
        <v>11.233950138092041</v>
      </c>
      <c r="R47" t="str">
        <f t="shared" si="7"/>
        <v>51-100</v>
      </c>
      <c r="S47" t="str">
        <f t="shared" si="8"/>
        <v>5-10%</v>
      </c>
      <c r="T47" t="str">
        <f t="shared" si="9"/>
        <v/>
      </c>
      <c r="U47">
        <f t="shared" si="10"/>
        <v>3.9955954551696782</v>
      </c>
      <c r="V47" s="4">
        <f t="shared" si="11"/>
        <v>0.1248209351861933</v>
      </c>
    </row>
    <row r="48" spans="1:22">
      <c r="A48" t="s">
        <v>43</v>
      </c>
      <c r="B48" t="s">
        <v>63</v>
      </c>
      <c r="C48">
        <v>65</v>
      </c>
      <c r="D48">
        <f>Data!J140</f>
        <v>1316</v>
      </c>
      <c r="E48">
        <f>Data!B141</f>
        <v>1403.8740234375</v>
      </c>
      <c r="F48" s="4">
        <f t="shared" si="0"/>
        <v>6.6773574040653427E-2</v>
      </c>
      <c r="G48">
        <f>Data!D141</f>
        <v>3.9513182640075679</v>
      </c>
      <c r="H48">
        <f>Data!B142</f>
        <v>1345.113037109375</v>
      </c>
      <c r="I48" s="4">
        <f t="shared" si="1"/>
        <v>2.2122368624145183E-2</v>
      </c>
      <c r="J48">
        <f>Data!D142</f>
        <v>3.7631993293762211</v>
      </c>
      <c r="K48">
        <f>Data!B140</f>
        <v>1352.983154296875</v>
      </c>
      <c r="L48" s="4">
        <f t="shared" si="2"/>
        <v>2.8102700833491534E-2</v>
      </c>
      <c r="M48">
        <f>Data!D140</f>
        <v>3.208794116973877</v>
      </c>
      <c r="N48">
        <f t="shared" si="3"/>
        <v>1345.113037109375</v>
      </c>
      <c r="O48" s="4">
        <f t="shared" si="4"/>
        <v>2.2122368624145183E-2</v>
      </c>
      <c r="P48" t="str">
        <f t="shared" si="5"/>
        <v>vrp_50</v>
      </c>
      <c r="Q48">
        <f t="shared" si="6"/>
        <v>10.923311710357666</v>
      </c>
      <c r="R48" t="str">
        <f t="shared" si="7"/>
        <v>51-100</v>
      </c>
      <c r="S48" t="str">
        <f t="shared" si="8"/>
        <v>2-5%</v>
      </c>
      <c r="T48" t="str">
        <f t="shared" si="9"/>
        <v/>
      </c>
      <c r="U48">
        <f t="shared" si="10"/>
        <v>3.7631993293762211</v>
      </c>
      <c r="V48" s="4">
        <f t="shared" si="11"/>
        <v>5.9803322093463507E-3</v>
      </c>
    </row>
    <row r="49" spans="1:22">
      <c r="A49" t="s">
        <v>43</v>
      </c>
      <c r="B49" t="s">
        <v>64</v>
      </c>
      <c r="C49">
        <v>66</v>
      </c>
      <c r="D49">
        <f>Data!J143</f>
        <v>1032</v>
      </c>
      <c r="E49">
        <f>Data!B144</f>
        <v>1080.079223632812</v>
      </c>
      <c r="F49" s="4">
        <f t="shared" si="0"/>
        <v>4.6588394993035021E-2</v>
      </c>
      <c r="G49">
        <f>Data!D144</f>
        <v>6.5571582317352286</v>
      </c>
      <c r="H49">
        <f>Data!B145</f>
        <v>1061.993408203125</v>
      </c>
      <c r="I49" s="4">
        <f t="shared" si="1"/>
        <v>2.9063380041787878E-2</v>
      </c>
      <c r="J49">
        <f>Data!D145</f>
        <v>5.2495715618133536</v>
      </c>
      <c r="K49">
        <f>Data!B143</f>
        <v>1101.571533203125</v>
      </c>
      <c r="L49" s="4">
        <f t="shared" si="2"/>
        <v>6.7414276359617276E-2</v>
      </c>
      <c r="M49">
        <f>Data!D143</f>
        <v>3.4797782897949219</v>
      </c>
      <c r="N49">
        <f t="shared" si="3"/>
        <v>1061.993408203125</v>
      </c>
      <c r="O49" s="4">
        <f t="shared" si="4"/>
        <v>2.9063380041787878E-2</v>
      </c>
      <c r="P49" t="str">
        <f t="shared" si="5"/>
        <v>vrp_50</v>
      </c>
      <c r="Q49">
        <f t="shared" si="6"/>
        <v>15.286508083343504</v>
      </c>
      <c r="R49" t="str">
        <f t="shared" si="7"/>
        <v>51-100</v>
      </c>
      <c r="S49" t="str">
        <f t="shared" si="8"/>
        <v>2-5%</v>
      </c>
      <c r="T49" t="str">
        <f t="shared" si="9"/>
        <v/>
      </c>
      <c r="U49">
        <f t="shared" si="10"/>
        <v>5.2495715618133536</v>
      </c>
      <c r="V49" s="4">
        <f t="shared" si="11"/>
        <v>3.8350896317829397E-2</v>
      </c>
    </row>
    <row r="50" spans="1:22">
      <c r="A50" t="s">
        <v>43</v>
      </c>
      <c r="B50" t="s">
        <v>65</v>
      </c>
      <c r="C50">
        <v>67</v>
      </c>
      <c r="D50">
        <f>Data!J146</f>
        <v>1272</v>
      </c>
      <c r="E50">
        <f>Data!B147</f>
        <v>1340.501953125</v>
      </c>
      <c r="F50" s="4">
        <f t="shared" si="0"/>
        <v>5.3853736733490587E-2</v>
      </c>
      <c r="G50">
        <f>Data!D147</f>
        <v>4.0182969570159912</v>
      </c>
      <c r="H50">
        <f>Data!B148</f>
        <v>1305.340698242188</v>
      </c>
      <c r="I50" s="4">
        <f t="shared" si="1"/>
        <v>2.6211240756436993E-2</v>
      </c>
      <c r="J50">
        <f>Data!D148</f>
        <v>3.0500977039337158</v>
      </c>
      <c r="K50">
        <f>Data!B146</f>
        <v>1308.436157226562</v>
      </c>
      <c r="L50" s="4">
        <f t="shared" si="2"/>
        <v>2.8644777693838108E-2</v>
      </c>
      <c r="M50">
        <f>Data!D146</f>
        <v>3.266353845596313</v>
      </c>
      <c r="N50">
        <f t="shared" si="3"/>
        <v>1305.340698242188</v>
      </c>
      <c r="O50" s="4">
        <f t="shared" si="4"/>
        <v>2.6211240756436993E-2</v>
      </c>
      <c r="P50" t="str">
        <f t="shared" si="5"/>
        <v>vrp_50</v>
      </c>
      <c r="Q50">
        <f t="shared" si="6"/>
        <v>10.334748506546021</v>
      </c>
      <c r="R50" t="str">
        <f t="shared" si="7"/>
        <v>51-100</v>
      </c>
      <c r="S50" t="str">
        <f t="shared" si="8"/>
        <v>2-5%</v>
      </c>
      <c r="T50" t="str">
        <f t="shared" si="9"/>
        <v/>
      </c>
      <c r="U50">
        <f t="shared" si="10"/>
        <v>3.0500977039337158</v>
      </c>
      <c r="V50" s="4">
        <f t="shared" si="11"/>
        <v>2.4335369374011151E-3</v>
      </c>
    </row>
    <row r="51" spans="1:22">
      <c r="A51" t="s">
        <v>43</v>
      </c>
      <c r="B51" t="s">
        <v>66</v>
      </c>
      <c r="C51">
        <v>77</v>
      </c>
      <c r="D51">
        <f>Data!J149</f>
        <v>1221</v>
      </c>
      <c r="E51">
        <f>Data!B150</f>
        <v>1325.377197265625</v>
      </c>
      <c r="F51" s="4">
        <f t="shared" si="0"/>
        <v>8.5485010045556864E-2</v>
      </c>
      <c r="G51">
        <f>Data!D150</f>
        <v>4.1240174770355216</v>
      </c>
      <c r="H51">
        <f>Data!B151</f>
        <v>1267.255981445312</v>
      </c>
      <c r="I51" s="4">
        <f t="shared" si="1"/>
        <v>3.7883686687397278E-2</v>
      </c>
      <c r="J51">
        <f>Data!D151</f>
        <v>3.4489834308624272</v>
      </c>
      <c r="K51">
        <f>Data!B149</f>
        <v>1267.1171875</v>
      </c>
      <c r="L51" s="4">
        <f t="shared" si="2"/>
        <v>3.7770014332514368E-2</v>
      </c>
      <c r="M51">
        <f>Data!D149</f>
        <v>3.1024689674377441</v>
      </c>
      <c r="N51">
        <f t="shared" si="3"/>
        <v>1267.1171875</v>
      </c>
      <c r="O51" s="4">
        <f t="shared" si="4"/>
        <v>3.7770014332514368E-2</v>
      </c>
      <c r="P51" t="str">
        <f t="shared" si="5"/>
        <v>vrp_100</v>
      </c>
      <c r="Q51">
        <f t="shared" si="6"/>
        <v>10.675469875335693</v>
      </c>
      <c r="R51" t="str">
        <f t="shared" si="7"/>
        <v>51-100</v>
      </c>
      <c r="S51" t="str">
        <f t="shared" si="8"/>
        <v>2-5%</v>
      </c>
      <c r="T51" t="str">
        <f t="shared" si="9"/>
        <v/>
      </c>
      <c r="U51">
        <f t="shared" si="10"/>
        <v>3.1024689674377441</v>
      </c>
      <c r="V51" s="4">
        <f t="shared" si="11"/>
        <v>0</v>
      </c>
    </row>
    <row r="52" spans="1:22">
      <c r="A52" t="s">
        <v>67</v>
      </c>
      <c r="B52" t="s">
        <v>68</v>
      </c>
      <c r="C52">
        <v>100</v>
      </c>
      <c r="D52">
        <f>Data!J153</f>
        <v>1067</v>
      </c>
      <c r="E52">
        <f>Data!B155</f>
        <v>1172.764892578125</v>
      </c>
      <c r="F52" s="4">
        <f t="shared" si="0"/>
        <v>9.9123610663659711E-2</v>
      </c>
      <c r="G52">
        <f>Data!D155</f>
        <v>7.1416208744049072</v>
      </c>
      <c r="H52">
        <f>Data!B157</f>
        <v>1139.248168945312</v>
      </c>
      <c r="I52" s="4">
        <f t="shared" si="1"/>
        <v>6.7711498542935455E-2</v>
      </c>
      <c r="J52">
        <f>Data!D157</f>
        <v>7.0132906436920166</v>
      </c>
      <c r="K52">
        <f>Data!B153</f>
        <v>1115.660034179688</v>
      </c>
      <c r="L52" s="4">
        <f t="shared" si="2"/>
        <v>4.5604530627636253E-2</v>
      </c>
      <c r="M52">
        <f>Data!D153</f>
        <v>6.2138028144836426</v>
      </c>
      <c r="N52">
        <f t="shared" si="3"/>
        <v>1115.660034179688</v>
      </c>
      <c r="O52" s="4">
        <f t="shared" si="4"/>
        <v>4.5604530627636253E-2</v>
      </c>
      <c r="P52" t="str">
        <f t="shared" si="5"/>
        <v>vrp_100</v>
      </c>
      <c r="Q52">
        <f t="shared" si="6"/>
        <v>20.368714332580566</v>
      </c>
      <c r="R52" t="str">
        <f t="shared" si="7"/>
        <v>51-100</v>
      </c>
      <c r="S52" t="str">
        <f t="shared" si="8"/>
        <v>2-5%</v>
      </c>
      <c r="T52" t="str">
        <f t="shared" si="9"/>
        <v/>
      </c>
      <c r="U52">
        <f t="shared" si="10"/>
        <v>6.2138028144836426</v>
      </c>
      <c r="V52" s="4">
        <f t="shared" si="11"/>
        <v>0</v>
      </c>
    </row>
    <row r="53" spans="1:22">
      <c r="A53" t="s">
        <v>67</v>
      </c>
      <c r="B53" t="s">
        <v>69</v>
      </c>
      <c r="C53">
        <v>100</v>
      </c>
      <c r="D53">
        <f>Data!J152</f>
        <v>815</v>
      </c>
      <c r="E53">
        <f>Data!B154</f>
        <v>878.36865234375</v>
      </c>
      <c r="F53" s="4">
        <f t="shared" si="0"/>
        <v>7.7752947661043015E-2</v>
      </c>
      <c r="G53">
        <f>Data!D154</f>
        <v>7.1416208744049072</v>
      </c>
      <c r="H53">
        <f>Data!B156</f>
        <v>846.1767578125</v>
      </c>
      <c r="I53" s="4">
        <f t="shared" si="1"/>
        <v>3.8253690567484622E-2</v>
      </c>
      <c r="J53">
        <f>Data!D156</f>
        <v>7.0132906436920166</v>
      </c>
      <c r="K53">
        <f>Data!B152</f>
        <v>857.6243896484375</v>
      </c>
      <c r="L53" s="4">
        <f t="shared" si="2"/>
        <v>5.2299864599309798E-2</v>
      </c>
      <c r="M53">
        <f>Data!D152</f>
        <v>6.2138028144836426</v>
      </c>
      <c r="N53">
        <f t="shared" si="3"/>
        <v>846.1767578125</v>
      </c>
      <c r="O53" s="4">
        <f t="shared" si="4"/>
        <v>3.8253690567484622E-2</v>
      </c>
      <c r="P53" t="str">
        <f t="shared" si="5"/>
        <v>vrp_50</v>
      </c>
      <c r="Q53">
        <f t="shared" si="6"/>
        <v>20.368714332580566</v>
      </c>
      <c r="R53" t="str">
        <f t="shared" si="7"/>
        <v>51-100</v>
      </c>
      <c r="S53" t="str">
        <f t="shared" si="8"/>
        <v>2-5%</v>
      </c>
      <c r="T53" t="str">
        <f t="shared" si="9"/>
        <v/>
      </c>
      <c r="U53">
        <f t="shared" si="10"/>
        <v>7.0132906436920166</v>
      </c>
      <c r="V53" s="4">
        <f t="shared" si="11"/>
        <v>1.4046174031825176E-2</v>
      </c>
    </row>
    <row r="54" spans="1:22">
      <c r="A54" t="s">
        <v>67</v>
      </c>
      <c r="B54" t="s">
        <v>70</v>
      </c>
      <c r="C54">
        <v>21</v>
      </c>
      <c r="D54">
        <f>Data!J158</f>
        <v>375</v>
      </c>
      <c r="E54">
        <f>Data!B159</f>
        <v>395.63583374023438</v>
      </c>
      <c r="F54" s="4">
        <f t="shared" si="0"/>
        <v>5.5028889973958384E-2</v>
      </c>
      <c r="G54">
        <f>Data!D159</f>
        <v>2.808930397033691</v>
      </c>
      <c r="H54">
        <f>Data!B160</f>
        <v>383.516845703125</v>
      </c>
      <c r="I54" s="4">
        <f t="shared" si="1"/>
        <v>2.2711588541666661E-2</v>
      </c>
      <c r="J54">
        <f>Data!D160</f>
        <v>3.8758857250213619</v>
      </c>
      <c r="K54">
        <f>Data!B158</f>
        <v>375.27978515625</v>
      </c>
      <c r="L54" s="4">
        <f t="shared" si="2"/>
        <v>7.4609374999989875E-4</v>
      </c>
      <c r="M54">
        <f>Data!D158</f>
        <v>2.960870504379272</v>
      </c>
      <c r="N54">
        <f t="shared" si="3"/>
        <v>375.27978515625</v>
      </c>
      <c r="O54" s="4">
        <f t="shared" si="4"/>
        <v>7.4609374999989875E-4</v>
      </c>
      <c r="P54" t="str">
        <f t="shared" si="5"/>
        <v>vrp_100</v>
      </c>
      <c r="Q54">
        <f t="shared" si="6"/>
        <v>9.6456866264343244</v>
      </c>
      <c r="R54" t="str">
        <f t="shared" si="7"/>
        <v>≤50</v>
      </c>
      <c r="S54" t="str">
        <f t="shared" si="8"/>
        <v>0-1%</v>
      </c>
      <c r="T54" t="str">
        <f t="shared" si="9"/>
        <v/>
      </c>
      <c r="U54">
        <f t="shared" si="10"/>
        <v>2.960870504379272</v>
      </c>
      <c r="V54" s="4">
        <f t="shared" si="11"/>
        <v>0</v>
      </c>
    </row>
    <row r="55" spans="1:22">
      <c r="A55" t="s">
        <v>67</v>
      </c>
      <c r="B55" t="s">
        <v>71</v>
      </c>
      <c r="C55">
        <v>22</v>
      </c>
      <c r="D55">
        <f>Data!J161</f>
        <v>569</v>
      </c>
      <c r="E55">
        <f>Data!B162</f>
        <v>569.88458251953125</v>
      </c>
      <c r="F55" s="4">
        <f t="shared" si="0"/>
        <v>1.5546265721111396E-3</v>
      </c>
      <c r="G55">
        <f>Data!D162</f>
        <v>2.823676586151123</v>
      </c>
      <c r="H55">
        <f>Data!B163</f>
        <v>591.361328125</v>
      </c>
      <c r="I55" s="4">
        <f t="shared" si="1"/>
        <v>3.9299346441124872E-2</v>
      </c>
      <c r="J55">
        <f>Data!D163</f>
        <v>0.1012251377105713</v>
      </c>
      <c r="K55">
        <f>Data!B161</f>
        <v>569.8846435546875</v>
      </c>
      <c r="L55" s="4">
        <f t="shared" si="2"/>
        <v>1.5547338395209831E-3</v>
      </c>
      <c r="M55">
        <f>Data!D161</f>
        <v>3.0543448925018311</v>
      </c>
      <c r="N55">
        <f t="shared" si="3"/>
        <v>569.88458251953125</v>
      </c>
      <c r="O55" s="4">
        <f t="shared" si="4"/>
        <v>1.5546265721111396E-3</v>
      </c>
      <c r="P55" t="str">
        <f t="shared" si="5"/>
        <v>vrp_20</v>
      </c>
      <c r="Q55">
        <f t="shared" si="6"/>
        <v>5.9792466163635254</v>
      </c>
      <c r="R55" t="str">
        <f t="shared" si="7"/>
        <v>≤50</v>
      </c>
      <c r="S55" t="str">
        <f t="shared" si="8"/>
        <v>0-1%</v>
      </c>
      <c r="T55" t="str">
        <f t="shared" si="9"/>
        <v/>
      </c>
      <c r="U55">
        <f t="shared" si="10"/>
        <v>2.823676586151123</v>
      </c>
      <c r="V55" s="4">
        <f t="shared" si="11"/>
        <v>1.0726740984345895E-7</v>
      </c>
    </row>
    <row r="56" spans="1:22">
      <c r="A56" t="s">
        <v>67</v>
      </c>
      <c r="B56" t="s">
        <v>72</v>
      </c>
      <c r="C56">
        <v>29</v>
      </c>
      <c r="D56">
        <f>Data!J164</f>
        <v>534</v>
      </c>
      <c r="E56">
        <f>Data!B165</f>
        <v>534</v>
      </c>
      <c r="F56" s="4">
        <f t="shared" si="0"/>
        <v>0</v>
      </c>
      <c r="G56">
        <f>Data!D165</f>
        <v>0.14350652694702151</v>
      </c>
      <c r="H56">
        <f>Data!B166</f>
        <v>534</v>
      </c>
      <c r="I56" s="4">
        <f t="shared" si="1"/>
        <v>0</v>
      </c>
      <c r="J56">
        <f>Data!D166</f>
        <v>0.14496064186096189</v>
      </c>
      <c r="K56">
        <f>Data!B164</f>
        <v>534</v>
      </c>
      <c r="L56" s="4">
        <f t="shared" si="2"/>
        <v>0</v>
      </c>
      <c r="M56">
        <f>Data!D164</f>
        <v>4.2691621780395508</v>
      </c>
      <c r="N56">
        <f t="shared" si="3"/>
        <v>534</v>
      </c>
      <c r="O56" s="4">
        <f t="shared" si="4"/>
        <v>0</v>
      </c>
      <c r="P56" t="str">
        <f t="shared" si="5"/>
        <v>vrp_20</v>
      </c>
      <c r="Q56">
        <f t="shared" si="6"/>
        <v>4.5576293468475342</v>
      </c>
      <c r="R56" t="str">
        <f t="shared" si="7"/>
        <v>≤50</v>
      </c>
      <c r="S56" t="str">
        <f t="shared" si="8"/>
        <v>≤0%</v>
      </c>
      <c r="T56" t="str">
        <f t="shared" si="9"/>
        <v/>
      </c>
      <c r="U56">
        <f t="shared" si="10"/>
        <v>0.14350652694702151</v>
      </c>
      <c r="V56" s="4">
        <f t="shared" si="11"/>
        <v>0</v>
      </c>
    </row>
    <row r="57" spans="1:22">
      <c r="A57" t="s">
        <v>67</v>
      </c>
      <c r="B57" t="s">
        <v>73</v>
      </c>
      <c r="C57">
        <v>32</v>
      </c>
      <c r="D57">
        <f>Data!J167</f>
        <v>835</v>
      </c>
      <c r="E57">
        <f>Data!B168</f>
        <v>846.34765625</v>
      </c>
      <c r="F57" s="4">
        <f t="shared" si="0"/>
        <v>1.359000748502992E-2</v>
      </c>
      <c r="G57">
        <f>Data!D168</f>
        <v>2.570203542709351</v>
      </c>
      <c r="H57">
        <f>Data!B169</f>
        <v>842.511962890625</v>
      </c>
      <c r="I57" s="4">
        <f t="shared" si="1"/>
        <v>8.9963627432634308E-3</v>
      </c>
      <c r="J57">
        <f>Data!D169</f>
        <v>3.2686004638671879</v>
      </c>
      <c r="K57">
        <f>Data!B167</f>
        <v>841.1573486328125</v>
      </c>
      <c r="L57" s="4">
        <f t="shared" si="2"/>
        <v>7.374070218937101E-3</v>
      </c>
      <c r="M57">
        <f>Data!D167</f>
        <v>6.1486499309539786</v>
      </c>
      <c r="N57">
        <f t="shared" si="3"/>
        <v>841.1573486328125</v>
      </c>
      <c r="O57" s="4">
        <f t="shared" si="4"/>
        <v>7.374070218937101E-3</v>
      </c>
      <c r="P57" t="str">
        <f t="shared" si="5"/>
        <v>vrp_100</v>
      </c>
      <c r="Q57">
        <f t="shared" si="6"/>
        <v>11.987453937530518</v>
      </c>
      <c r="R57" t="str">
        <f t="shared" si="7"/>
        <v>≤50</v>
      </c>
      <c r="S57" t="str">
        <f t="shared" si="8"/>
        <v>0-1%</v>
      </c>
      <c r="T57" t="str">
        <f t="shared" si="9"/>
        <v/>
      </c>
      <c r="U57">
        <f t="shared" si="10"/>
        <v>6.1486499309539786</v>
      </c>
      <c r="V57" s="4">
        <f t="shared" si="11"/>
        <v>0</v>
      </c>
    </row>
    <row r="58" spans="1:22">
      <c r="A58" t="s">
        <v>67</v>
      </c>
      <c r="B58" t="s">
        <v>74</v>
      </c>
      <c r="C58">
        <v>50</v>
      </c>
      <c r="D58">
        <f>Data!J170</f>
        <v>521</v>
      </c>
      <c r="E58">
        <f>Data!B171</f>
        <v>530.17828369140625</v>
      </c>
      <c r="F58" s="4">
        <f t="shared" si="0"/>
        <v>1.7616667353946847E-2</v>
      </c>
      <c r="G58">
        <f>Data!D171</f>
        <v>3.1492335796356201</v>
      </c>
      <c r="H58">
        <f>Data!B172</f>
        <v>524.9268798828125</v>
      </c>
      <c r="I58" s="4">
        <f t="shared" si="1"/>
        <v>7.5371974718090318E-3</v>
      </c>
      <c r="J58">
        <f>Data!D172</f>
        <v>3.0208299160003662</v>
      </c>
      <c r="K58">
        <f>Data!B170</f>
        <v>565.0142822265625</v>
      </c>
      <c r="L58" s="4">
        <f t="shared" si="2"/>
        <v>8.4480388150791841E-2</v>
      </c>
      <c r="M58">
        <f>Data!D170</f>
        <v>5.100142240524292</v>
      </c>
      <c r="N58">
        <f t="shared" si="3"/>
        <v>524.9268798828125</v>
      </c>
      <c r="O58" s="4">
        <f t="shared" si="4"/>
        <v>7.5371974718090318E-3</v>
      </c>
      <c r="P58" t="str">
        <f t="shared" si="5"/>
        <v>vrp_50</v>
      </c>
      <c r="Q58">
        <f t="shared" si="6"/>
        <v>11.270205736160278</v>
      </c>
      <c r="R58" t="str">
        <f t="shared" si="7"/>
        <v>≤50</v>
      </c>
      <c r="S58" t="str">
        <f t="shared" si="8"/>
        <v>0-1%</v>
      </c>
      <c r="T58" t="str">
        <f t="shared" si="9"/>
        <v/>
      </c>
      <c r="U58">
        <f t="shared" si="10"/>
        <v>3.0208299160003662</v>
      </c>
      <c r="V58" s="4">
        <f t="shared" si="11"/>
        <v>7.6943190678982809E-2</v>
      </c>
    </row>
    <row r="59" spans="1:22">
      <c r="A59" t="s">
        <v>67</v>
      </c>
      <c r="B59" t="s">
        <v>75</v>
      </c>
      <c r="C59">
        <v>75</v>
      </c>
      <c r="D59">
        <f>Data!J175</f>
        <v>830</v>
      </c>
      <c r="E59">
        <f>Data!B179</f>
        <v>875.9486083984375</v>
      </c>
      <c r="F59" s="4">
        <f t="shared" si="0"/>
        <v>5.5359769154744054E-2</v>
      </c>
      <c r="G59">
        <f>Data!D179</f>
        <v>9.238555908203125</v>
      </c>
      <c r="H59">
        <f>Data!B183</f>
        <v>856.62200927734375</v>
      </c>
      <c r="I59" s="4">
        <f t="shared" si="1"/>
        <v>3.207470997270323E-2</v>
      </c>
      <c r="J59">
        <f>Data!D183</f>
        <v>13.106418132781981</v>
      </c>
      <c r="K59">
        <f>Data!B175</f>
        <v>856.5809326171875</v>
      </c>
      <c r="L59" s="4">
        <f t="shared" si="2"/>
        <v>3.2025220020707845E-2</v>
      </c>
      <c r="M59">
        <f>Data!D175</f>
        <v>9.9216756820678711</v>
      </c>
      <c r="N59">
        <f t="shared" si="3"/>
        <v>856.5809326171875</v>
      </c>
      <c r="O59" s="4">
        <f t="shared" si="4"/>
        <v>3.2025220020707845E-2</v>
      </c>
      <c r="P59" t="str">
        <f t="shared" si="5"/>
        <v>vrp_100</v>
      </c>
      <c r="Q59">
        <f t="shared" si="6"/>
        <v>32.266649723052979</v>
      </c>
      <c r="R59" t="str">
        <f t="shared" si="7"/>
        <v>51-100</v>
      </c>
      <c r="S59" t="str">
        <f t="shared" si="8"/>
        <v>2-5%</v>
      </c>
      <c r="T59" t="str">
        <f t="shared" si="9"/>
        <v/>
      </c>
      <c r="U59">
        <f t="shared" si="10"/>
        <v>9.9216756820678711</v>
      </c>
      <c r="V59" s="4">
        <f t="shared" si="11"/>
        <v>0</v>
      </c>
    </row>
    <row r="60" spans="1:22">
      <c r="A60" t="s">
        <v>67</v>
      </c>
      <c r="B60" t="s">
        <v>76</v>
      </c>
      <c r="C60">
        <v>75</v>
      </c>
      <c r="D60">
        <f>Data!J176</f>
        <v>1021</v>
      </c>
      <c r="E60">
        <f>Data!B180</f>
        <v>1054.9541015625</v>
      </c>
      <c r="F60" s="4">
        <f t="shared" si="0"/>
        <v>3.3255731207149752E-2</v>
      </c>
      <c r="G60">
        <f>Data!D180</f>
        <v>9.238555908203125</v>
      </c>
      <c r="H60">
        <f>Data!B184</f>
        <v>1057.482421875</v>
      </c>
      <c r="I60" s="4">
        <f t="shared" si="1"/>
        <v>3.5732048849167475E-2</v>
      </c>
      <c r="J60">
        <f>Data!D184</f>
        <v>13.106418132781981</v>
      </c>
      <c r="K60">
        <f>Data!B176</f>
        <v>1056.47021484375</v>
      </c>
      <c r="L60" s="4">
        <f t="shared" si="2"/>
        <v>3.4740660963516135E-2</v>
      </c>
      <c r="M60">
        <f>Data!D176</f>
        <v>9.9216756820678711</v>
      </c>
      <c r="N60">
        <f t="shared" si="3"/>
        <v>1054.9541015625</v>
      </c>
      <c r="O60" s="4">
        <f t="shared" si="4"/>
        <v>3.3255731207149752E-2</v>
      </c>
      <c r="P60" t="str">
        <f t="shared" si="5"/>
        <v>vrp_20</v>
      </c>
      <c r="Q60">
        <f t="shared" si="6"/>
        <v>32.266649723052979</v>
      </c>
      <c r="R60" t="str">
        <f t="shared" si="7"/>
        <v>51-100</v>
      </c>
      <c r="S60" t="str">
        <f t="shared" si="8"/>
        <v>2-5%</v>
      </c>
      <c r="T60" t="str">
        <f t="shared" si="9"/>
        <v/>
      </c>
      <c r="U60">
        <f t="shared" si="10"/>
        <v>9.238555908203125</v>
      </c>
      <c r="V60" s="4">
        <f t="shared" si="11"/>
        <v>1.4849297563663821E-3</v>
      </c>
    </row>
    <row r="61" spans="1:22">
      <c r="A61" t="s">
        <v>67</v>
      </c>
      <c r="B61" t="s">
        <v>77</v>
      </c>
      <c r="C61">
        <v>75</v>
      </c>
      <c r="D61">
        <f>Data!J173</f>
        <v>682</v>
      </c>
      <c r="E61">
        <f>Data!B177</f>
        <v>729.9522705078125</v>
      </c>
      <c r="F61" s="4">
        <f t="shared" si="0"/>
        <v>7.0311247078904016E-2</v>
      </c>
      <c r="G61">
        <f>Data!D177</f>
        <v>9.238555908203125</v>
      </c>
      <c r="H61">
        <f>Data!B181</f>
        <v>708.42987060546875</v>
      </c>
      <c r="I61" s="4">
        <f t="shared" si="1"/>
        <v>3.8753475961097905E-2</v>
      </c>
      <c r="J61">
        <f>Data!D181</f>
        <v>13.106418132781981</v>
      </c>
      <c r="K61">
        <f>Data!B173</f>
        <v>720.15234375</v>
      </c>
      <c r="L61" s="4">
        <f t="shared" si="2"/>
        <v>5.5941853005865072E-2</v>
      </c>
      <c r="M61">
        <f>Data!D173</f>
        <v>9.9216756820678711</v>
      </c>
      <c r="N61">
        <f t="shared" si="3"/>
        <v>708.42987060546875</v>
      </c>
      <c r="O61" s="4">
        <f t="shared" si="4"/>
        <v>3.8753475961097905E-2</v>
      </c>
      <c r="P61" t="str">
        <f t="shared" si="5"/>
        <v>vrp_50</v>
      </c>
      <c r="Q61">
        <f t="shared" si="6"/>
        <v>32.266649723052979</v>
      </c>
      <c r="R61" t="str">
        <f t="shared" si="7"/>
        <v>51-100</v>
      </c>
      <c r="S61" t="str">
        <f t="shared" si="8"/>
        <v>2-5%</v>
      </c>
      <c r="T61" t="str">
        <f t="shared" si="9"/>
        <v/>
      </c>
      <c r="U61">
        <f t="shared" si="10"/>
        <v>13.106418132781981</v>
      </c>
      <c r="V61" s="4">
        <f t="shared" si="11"/>
        <v>1.7188377044767167E-2</v>
      </c>
    </row>
    <row r="62" spans="1:22">
      <c r="A62" t="s">
        <v>67</v>
      </c>
      <c r="B62" t="s">
        <v>78</v>
      </c>
      <c r="C62">
        <v>75</v>
      </c>
      <c r="D62">
        <f>Data!J174</f>
        <v>735</v>
      </c>
      <c r="E62">
        <f>Data!B178</f>
        <v>781.0142822265625</v>
      </c>
      <c r="F62" s="4">
        <f t="shared" si="0"/>
        <v>6.2604465614370719E-2</v>
      </c>
      <c r="G62">
        <f>Data!D178</f>
        <v>9.238555908203125</v>
      </c>
      <c r="H62">
        <f>Data!B182</f>
        <v>757.4769287109375</v>
      </c>
      <c r="I62" s="4">
        <f t="shared" si="1"/>
        <v>3.0580855389030548E-2</v>
      </c>
      <c r="J62">
        <f>Data!D182</f>
        <v>13.106418132781981</v>
      </c>
      <c r="K62">
        <f>Data!B174</f>
        <v>749.0667724609375</v>
      </c>
      <c r="L62" s="4">
        <f t="shared" si="2"/>
        <v>1.9138465933248305E-2</v>
      </c>
      <c r="M62">
        <f>Data!D174</f>
        <v>9.9216756820678711</v>
      </c>
      <c r="N62">
        <f t="shared" si="3"/>
        <v>749.0667724609375</v>
      </c>
      <c r="O62" s="4">
        <f t="shared" si="4"/>
        <v>1.9138465933248305E-2</v>
      </c>
      <c r="P62" t="str">
        <f t="shared" si="5"/>
        <v>vrp_100</v>
      </c>
      <c r="Q62">
        <f t="shared" si="6"/>
        <v>32.266649723052979</v>
      </c>
      <c r="R62" t="str">
        <f t="shared" si="7"/>
        <v>51-100</v>
      </c>
      <c r="S62" t="str">
        <f t="shared" si="8"/>
        <v>1-2%</v>
      </c>
      <c r="T62" t="str">
        <f t="shared" si="9"/>
        <v/>
      </c>
      <c r="U62">
        <f t="shared" si="10"/>
        <v>9.9216756820678711</v>
      </c>
      <c r="V62" s="4">
        <f t="shared" si="11"/>
        <v>0</v>
      </c>
    </row>
    <row r="63" spans="1:22">
      <c r="A63" t="s">
        <v>79</v>
      </c>
      <c r="B63" t="s">
        <v>80</v>
      </c>
      <c r="C63">
        <v>134</v>
      </c>
      <c r="D63">
        <f>Data!J185</f>
        <v>1162</v>
      </c>
      <c r="E63">
        <f>Data!B186</f>
        <v>2029.828491210938</v>
      </c>
      <c r="F63" s="4">
        <f t="shared" si="0"/>
        <v>0.7468403538820465</v>
      </c>
      <c r="G63">
        <f>Data!D186</f>
        <v>17.93290209770203</v>
      </c>
      <c r="H63">
        <f>Data!B187</f>
        <v>1326.867431640625</v>
      </c>
      <c r="I63" s="4">
        <f t="shared" si="1"/>
        <v>0.14188247129141573</v>
      </c>
      <c r="J63">
        <f>Data!D187</f>
        <v>8.8636538982391357</v>
      </c>
      <c r="K63">
        <f>Data!B185</f>
        <v>1496.851806640625</v>
      </c>
      <c r="L63" s="4">
        <f t="shared" si="2"/>
        <v>0.28816850829657925</v>
      </c>
      <c r="M63">
        <f>Data!D185</f>
        <v>7.1104977130889893</v>
      </c>
      <c r="N63">
        <f t="shared" si="3"/>
        <v>1326.867431640625</v>
      </c>
      <c r="O63" s="4">
        <f t="shared" si="4"/>
        <v>0.14188247129141573</v>
      </c>
      <c r="P63" t="str">
        <f t="shared" si="5"/>
        <v>vrp_50</v>
      </c>
      <c r="Q63">
        <f t="shared" si="6"/>
        <v>33.907053709030151</v>
      </c>
      <c r="R63" t="str">
        <f t="shared" si="7"/>
        <v>101-200</v>
      </c>
      <c r="S63" t="str">
        <f t="shared" si="8"/>
        <v>&gt;10%</v>
      </c>
      <c r="T63" t="str">
        <f t="shared" si="9"/>
        <v/>
      </c>
      <c r="U63">
        <f t="shared" si="10"/>
        <v>8.8636538982391357</v>
      </c>
      <c r="V63" s="4">
        <f t="shared" si="11"/>
        <v>0.14628603700516352</v>
      </c>
    </row>
    <row r="64" spans="1:22">
      <c r="A64" t="s">
        <v>79</v>
      </c>
      <c r="B64" t="s">
        <v>81</v>
      </c>
      <c r="C64">
        <v>44</v>
      </c>
      <c r="D64">
        <f>Data!J188</f>
        <v>724</v>
      </c>
      <c r="E64">
        <f>Data!B189</f>
        <v>759.9327392578125</v>
      </c>
      <c r="F64" s="4">
        <f t="shared" si="0"/>
        <v>4.9630855328470336E-2</v>
      </c>
      <c r="G64">
        <f>Data!D189</f>
        <v>5.5181245803833008</v>
      </c>
      <c r="H64">
        <f>Data!B190</f>
        <v>727.746337890625</v>
      </c>
      <c r="I64" s="4">
        <f t="shared" si="1"/>
        <v>5.1744998489295924E-3</v>
      </c>
      <c r="J64">
        <f>Data!D190</f>
        <v>2.655626773834229</v>
      </c>
      <c r="K64">
        <f>Data!B188</f>
        <v>734.70269775390625</v>
      </c>
      <c r="L64" s="4">
        <f t="shared" si="2"/>
        <v>1.4782731704290342E-2</v>
      </c>
      <c r="M64">
        <f>Data!D188</f>
        <v>3.447107315063477</v>
      </c>
      <c r="N64">
        <f t="shared" si="3"/>
        <v>727.746337890625</v>
      </c>
      <c r="O64" s="4">
        <f t="shared" si="4"/>
        <v>5.1744998489295924E-3</v>
      </c>
      <c r="P64" t="str">
        <f t="shared" si="5"/>
        <v>vrp_50</v>
      </c>
      <c r="Q64">
        <f t="shared" si="6"/>
        <v>11.620858669281006</v>
      </c>
      <c r="R64" t="str">
        <f t="shared" si="7"/>
        <v>≤50</v>
      </c>
      <c r="S64" t="str">
        <f t="shared" si="8"/>
        <v>0-1%</v>
      </c>
      <c r="T64" t="str">
        <f t="shared" si="9"/>
        <v/>
      </c>
      <c r="U64">
        <f t="shared" si="10"/>
        <v>2.655626773834229</v>
      </c>
      <c r="V64" s="4">
        <f t="shared" si="11"/>
        <v>9.6082318553607493E-3</v>
      </c>
    </row>
    <row r="65" spans="1:22">
      <c r="A65" t="s">
        <v>79</v>
      </c>
      <c r="B65" t="s">
        <v>82</v>
      </c>
      <c r="C65">
        <v>71</v>
      </c>
      <c r="D65">
        <f>Data!J191</f>
        <v>237</v>
      </c>
      <c r="E65">
        <f>Data!B192</f>
        <v>259.22314453125</v>
      </c>
      <c r="F65" s="4">
        <f t="shared" si="0"/>
        <v>9.3768542325949333E-2</v>
      </c>
      <c r="G65">
        <f>Data!D192</f>
        <v>5.6005246639251709</v>
      </c>
      <c r="H65">
        <f>Data!B193</f>
        <v>257.1578369140625</v>
      </c>
      <c r="I65" s="4">
        <f t="shared" si="1"/>
        <v>8.5054164194356519E-2</v>
      </c>
      <c r="J65">
        <f>Data!D193</f>
        <v>4.8395190238952637</v>
      </c>
      <c r="K65">
        <f>Data!B191</f>
        <v>254.5649108886719</v>
      </c>
      <c r="L65" s="4">
        <f t="shared" si="2"/>
        <v>7.4113548053468037E-2</v>
      </c>
      <c r="M65">
        <f>Data!D191</f>
        <v>3.9620788097381592</v>
      </c>
      <c r="N65">
        <f t="shared" si="3"/>
        <v>254.5649108886719</v>
      </c>
      <c r="O65" s="4">
        <f t="shared" si="4"/>
        <v>7.4113548053468037E-2</v>
      </c>
      <c r="P65" t="str">
        <f t="shared" si="5"/>
        <v>vrp_100</v>
      </c>
      <c r="Q65">
        <f t="shared" si="6"/>
        <v>14.402122497558594</v>
      </c>
      <c r="R65" t="str">
        <f t="shared" si="7"/>
        <v>51-100</v>
      </c>
      <c r="S65" t="str">
        <f t="shared" si="8"/>
        <v>5-10%</v>
      </c>
      <c r="T65" t="str">
        <f t="shared" si="9"/>
        <v/>
      </c>
      <c r="U65">
        <f t="shared" si="10"/>
        <v>3.9620788097381592</v>
      </c>
      <c r="V65" s="4">
        <f t="shared" si="11"/>
        <v>0</v>
      </c>
    </row>
    <row r="66" spans="1:22">
      <c r="A66" t="s">
        <v>115</v>
      </c>
      <c r="B66" t="s">
        <v>116</v>
      </c>
      <c r="C66">
        <v>100</v>
      </c>
      <c r="D66">
        <f>Data!J194</f>
        <v>820</v>
      </c>
      <c r="E66">
        <f>Data!B195</f>
        <v>1001.439575195312</v>
      </c>
      <c r="F66" s="4">
        <f t="shared" ref="F66:F97" si="12">IF(E66="","",IFERROR(E66/D66-1,""))</f>
        <v>0.22126777462842928</v>
      </c>
      <c r="G66">
        <f>Data!D195</f>
        <v>2.5660290718078609</v>
      </c>
      <c r="H66">
        <f>Data!B196</f>
        <v>832.8746337890625</v>
      </c>
      <c r="I66" s="4">
        <f t="shared" ref="I66:I97" si="13">IF(H66="","",IFERROR(H66/D66-1,""))</f>
        <v>1.5700772913490812E-2</v>
      </c>
      <c r="J66">
        <f>Data!D196</f>
        <v>2.506531953811646</v>
      </c>
      <c r="K66">
        <f>Data!B194</f>
        <v>831.60064697265625</v>
      </c>
      <c r="L66" s="4">
        <f t="shared" ref="L66:L97" si="14">IF(K66="","",IFERROR(K66/D66-1,""))</f>
        <v>1.4147130454458923E-2</v>
      </c>
      <c r="M66">
        <f>Data!D194</f>
        <v>2.9455304145812988</v>
      </c>
      <c r="N66">
        <f t="shared" ref="N66:N97" si="15">MIN(E66,H66,K66)</f>
        <v>831.60064697265625</v>
      </c>
      <c r="O66" s="4">
        <f t="shared" ref="O66:O97" si="16">MIN(F66,I66,L66)</f>
        <v>1.4147130454458923E-2</v>
      </c>
      <c r="P66" t="str">
        <f t="shared" ref="P66:P97" si="17">IF(N66=E66,"vrp_20",IF(N66=H66,"vrp_50","vrp_100"))</f>
        <v>vrp_100</v>
      </c>
      <c r="Q66">
        <f t="shared" ref="Q66:Q97" si="18">SUM(G66,J66,M66)</f>
        <v>8.0180914402008057</v>
      </c>
      <c r="R66" t="str">
        <f t="shared" ref="R66:R97" si="19">IF(C66&lt;=50,"≤50",IF(C66&lt;=100,"51-100",IF(C66&lt;=200,"101-200",IF(C66&lt;=500,"201-500","&gt;500"))))</f>
        <v>51-100</v>
      </c>
      <c r="S66" t="str">
        <f t="shared" ref="S66:S97" si="20">IF(O66&lt;=0,"≤0%",IF(O66&lt;=0.01,"0-1%",IF(O66&lt;=0.02,"1-2%",IF(O66&lt;=0.05,"2-5%",IF(O66&lt;=0.1,"5-10%","&gt;10%")))))</f>
        <v>1-2%</v>
      </c>
      <c r="T66" t="str">
        <f t="shared" ref="T66:T97" si="21">IF(O66&lt;0,"VERIFICAR: gap &lt; 0",IF(O66&gt;0.2,"ATENÇÃO: gap &gt; 20%",""))</f>
        <v/>
      </c>
      <c r="U66">
        <f t="shared" ref="U66:U97" si="22">IF(P66="vrp_20",G66,IF(P66="vrp_50",J66,M66))</f>
        <v>2.9455304145812988</v>
      </c>
      <c r="V66" s="4">
        <f t="shared" ref="V66:V97" si="23">L66-O66</f>
        <v>0</v>
      </c>
    </row>
    <row r="67" spans="1:22">
      <c r="A67" t="s">
        <v>115</v>
      </c>
      <c r="B67" t="s">
        <v>117</v>
      </c>
      <c r="C67">
        <v>120</v>
      </c>
      <c r="D67">
        <f>Data!J197</f>
        <v>1034</v>
      </c>
      <c r="E67">
        <f>Data!B198</f>
        <v>1193.85400390625</v>
      </c>
      <c r="F67" s="4">
        <f t="shared" si="12"/>
        <v>0.15459768269463248</v>
      </c>
      <c r="G67">
        <f>Data!D198</f>
        <v>2.932099580764771</v>
      </c>
      <c r="H67">
        <f>Data!B199</f>
        <v>1077.840087890625</v>
      </c>
      <c r="I67" s="4">
        <f t="shared" si="13"/>
        <v>4.2398537611822995E-2</v>
      </c>
      <c r="J67">
        <f>Data!D199</f>
        <v>2.3583824634552002</v>
      </c>
      <c r="K67">
        <f>Data!B197</f>
        <v>1087.56982421875</v>
      </c>
      <c r="L67" s="4">
        <f t="shared" si="14"/>
        <v>5.1808340637089056E-2</v>
      </c>
      <c r="M67">
        <f>Data!D197</f>
        <v>2.6123578548431401</v>
      </c>
      <c r="N67">
        <f t="shared" si="15"/>
        <v>1077.840087890625</v>
      </c>
      <c r="O67" s="4">
        <f t="shared" si="16"/>
        <v>4.2398537611822995E-2</v>
      </c>
      <c r="P67" t="str">
        <f t="shared" si="17"/>
        <v>vrp_50</v>
      </c>
      <c r="Q67">
        <f t="shared" si="18"/>
        <v>7.9028398990631104</v>
      </c>
      <c r="R67" t="str">
        <f t="shared" si="19"/>
        <v>101-200</v>
      </c>
      <c r="S67" t="str">
        <f t="shared" si="20"/>
        <v>2-5%</v>
      </c>
      <c r="T67" t="str">
        <f t="shared" si="21"/>
        <v/>
      </c>
      <c r="U67">
        <f t="shared" si="22"/>
        <v>2.3583824634552002</v>
      </c>
      <c r="V67" s="4">
        <f t="shared" si="23"/>
        <v>9.4098030252660614E-3</v>
      </c>
    </row>
    <row r="68" spans="1:22">
      <c r="A68" t="s">
        <v>115</v>
      </c>
      <c r="B68" t="s">
        <v>118</v>
      </c>
      <c r="C68">
        <v>150</v>
      </c>
      <c r="D68">
        <f>Data!J200</f>
        <v>1015</v>
      </c>
      <c r="E68">
        <f>Data!B201</f>
        <v>1135.40869140625</v>
      </c>
      <c r="F68" s="4">
        <f t="shared" si="12"/>
        <v>0.11862925261699497</v>
      </c>
      <c r="G68">
        <f>Data!D201</f>
        <v>3.3596851825714111</v>
      </c>
      <c r="H68">
        <f>Data!B202</f>
        <v>1082.014404296875</v>
      </c>
      <c r="I68" s="4">
        <f t="shared" si="13"/>
        <v>6.6024043642241459E-2</v>
      </c>
      <c r="J68">
        <f>Data!D202</f>
        <v>3.1036827564239502</v>
      </c>
      <c r="K68">
        <f>Data!B200</f>
        <v>1087.244140625</v>
      </c>
      <c r="L68" s="4">
        <f t="shared" si="14"/>
        <v>7.1176493226601023E-2</v>
      </c>
      <c r="M68">
        <f>Data!D200</f>
        <v>4.1812434196472168</v>
      </c>
      <c r="N68">
        <f t="shared" si="15"/>
        <v>1082.014404296875</v>
      </c>
      <c r="O68" s="4">
        <f t="shared" si="16"/>
        <v>6.6024043642241459E-2</v>
      </c>
      <c r="P68" t="str">
        <f t="shared" si="17"/>
        <v>vrp_50</v>
      </c>
      <c r="Q68">
        <f t="shared" si="18"/>
        <v>10.644611358642578</v>
      </c>
      <c r="R68" t="str">
        <f t="shared" si="19"/>
        <v>101-200</v>
      </c>
      <c r="S68" t="str">
        <f t="shared" si="20"/>
        <v>5-10%</v>
      </c>
      <c r="T68" t="str">
        <f t="shared" si="21"/>
        <v/>
      </c>
      <c r="U68">
        <f t="shared" si="22"/>
        <v>3.1036827564239502</v>
      </c>
      <c r="V68" s="4">
        <f t="shared" si="23"/>
        <v>5.1524495843595641E-3</v>
      </c>
    </row>
    <row r="69" spans="1:22">
      <c r="A69" t="s">
        <v>115</v>
      </c>
      <c r="B69" t="s">
        <v>119</v>
      </c>
      <c r="C69">
        <v>199</v>
      </c>
      <c r="D69">
        <f>Data!J204</f>
        <v>1274</v>
      </c>
      <c r="E69">
        <f>Data!B206</f>
        <v>1506.9658203125</v>
      </c>
      <c r="F69" s="4">
        <f t="shared" si="12"/>
        <v>0.18286171139128737</v>
      </c>
      <c r="G69">
        <f>Data!D206</f>
        <v>6.205467700958252</v>
      </c>
      <c r="H69">
        <f>Data!B208</f>
        <v>1402.022338867188</v>
      </c>
      <c r="I69" s="4">
        <f t="shared" si="13"/>
        <v>0.10048849204645838</v>
      </c>
      <c r="J69">
        <f>Data!D208</f>
        <v>5.2532594203948966</v>
      </c>
      <c r="K69">
        <f>Data!B204</f>
        <v>1361.201049804688</v>
      </c>
      <c r="L69" s="4">
        <f t="shared" si="14"/>
        <v>6.8446663896929216E-2</v>
      </c>
      <c r="M69">
        <f>Data!D204</f>
        <v>5.7961440086364746</v>
      </c>
      <c r="N69">
        <f t="shared" si="15"/>
        <v>1361.201049804688</v>
      </c>
      <c r="O69" s="4">
        <f t="shared" si="16"/>
        <v>6.8446663896929216E-2</v>
      </c>
      <c r="P69" t="str">
        <f t="shared" si="17"/>
        <v>vrp_100</v>
      </c>
      <c r="Q69">
        <f t="shared" si="18"/>
        <v>17.254871129989624</v>
      </c>
      <c r="R69" t="str">
        <f t="shared" si="19"/>
        <v>101-200</v>
      </c>
      <c r="S69" t="str">
        <f t="shared" si="20"/>
        <v>5-10%</v>
      </c>
      <c r="T69" t="str">
        <f t="shared" si="21"/>
        <v/>
      </c>
      <c r="U69">
        <f t="shared" si="22"/>
        <v>5.7961440086364746</v>
      </c>
      <c r="V69" s="4">
        <f t="shared" si="23"/>
        <v>0</v>
      </c>
    </row>
    <row r="70" spans="1:22">
      <c r="A70" t="s">
        <v>115</v>
      </c>
      <c r="B70" t="s">
        <v>120</v>
      </c>
      <c r="C70">
        <v>199</v>
      </c>
      <c r="D70">
        <f>Data!J203</f>
        <v>1275</v>
      </c>
      <c r="E70">
        <f>Data!B205</f>
        <v>1502.636962890625</v>
      </c>
      <c r="F70" s="4">
        <f t="shared" si="12"/>
        <v>0.17853879442401954</v>
      </c>
      <c r="G70">
        <f>Data!D205</f>
        <v>6.205467700958252</v>
      </c>
      <c r="H70">
        <f>Data!B207</f>
        <v>1403.285522460938</v>
      </c>
      <c r="I70" s="4">
        <f t="shared" si="13"/>
        <v>0.10061609604779442</v>
      </c>
      <c r="J70">
        <f>Data!D207</f>
        <v>5.2532594203948966</v>
      </c>
      <c r="K70">
        <f>Data!B203</f>
        <v>1359.248046875</v>
      </c>
      <c r="L70" s="4">
        <f t="shared" si="14"/>
        <v>6.6076899509803999E-2</v>
      </c>
      <c r="M70">
        <f>Data!D203</f>
        <v>5.7961440086364746</v>
      </c>
      <c r="N70">
        <f t="shared" si="15"/>
        <v>1359.248046875</v>
      </c>
      <c r="O70" s="4">
        <f t="shared" si="16"/>
        <v>6.6076899509803999E-2</v>
      </c>
      <c r="P70" t="str">
        <f t="shared" si="17"/>
        <v>vrp_100</v>
      </c>
      <c r="Q70">
        <f t="shared" si="18"/>
        <v>17.254871129989624</v>
      </c>
      <c r="R70" t="str">
        <f t="shared" si="19"/>
        <v>101-200</v>
      </c>
      <c r="S70" t="str">
        <f t="shared" si="20"/>
        <v>5-10%</v>
      </c>
      <c r="T70" t="str">
        <f t="shared" si="21"/>
        <v/>
      </c>
      <c r="U70">
        <f t="shared" si="22"/>
        <v>5.7961440086364746</v>
      </c>
      <c r="V70" s="4">
        <f t="shared" si="23"/>
        <v>0</v>
      </c>
    </row>
    <row r="71" spans="1:22">
      <c r="A71" t="s">
        <v>121</v>
      </c>
      <c r="B71" t="s">
        <v>122</v>
      </c>
      <c r="C71">
        <v>100</v>
      </c>
      <c r="D71">
        <f>Data!J209</f>
        <v>681</v>
      </c>
      <c r="E71">
        <f>Data!B210</f>
        <v>746.7935791015625</v>
      </c>
      <c r="F71" s="4">
        <f t="shared" si="12"/>
        <v>9.6613185171163796E-2</v>
      </c>
      <c r="G71">
        <f>Data!D210</f>
        <v>4.2975547313690194</v>
      </c>
      <c r="H71">
        <f>Data!B211</f>
        <v>726.45892333984375</v>
      </c>
      <c r="I71" s="4">
        <f t="shared" si="13"/>
        <v>6.6753191394777867E-2</v>
      </c>
      <c r="J71">
        <f>Data!D211</f>
        <v>3.5447700023651119</v>
      </c>
      <c r="K71">
        <f>Data!B209</f>
        <v>745.6224365234375</v>
      </c>
      <c r="L71" s="4">
        <f t="shared" si="14"/>
        <v>9.4893445702551427E-2</v>
      </c>
      <c r="M71">
        <f>Data!D209</f>
        <v>0.57243895530700684</v>
      </c>
      <c r="N71">
        <f t="shared" si="15"/>
        <v>726.45892333984375</v>
      </c>
      <c r="O71" s="4">
        <f t="shared" si="16"/>
        <v>6.6753191394777867E-2</v>
      </c>
      <c r="P71" t="str">
        <f t="shared" si="17"/>
        <v>vrp_50</v>
      </c>
      <c r="Q71">
        <f t="shared" si="18"/>
        <v>8.4147636890411377</v>
      </c>
      <c r="R71" t="str">
        <f t="shared" si="19"/>
        <v>51-100</v>
      </c>
      <c r="S71" t="str">
        <f t="shared" si="20"/>
        <v>5-10%</v>
      </c>
      <c r="T71" t="str">
        <f t="shared" si="21"/>
        <v/>
      </c>
      <c r="U71">
        <f t="shared" si="22"/>
        <v>3.5447700023651119</v>
      </c>
      <c r="V71" s="4">
        <f t="shared" si="23"/>
        <v>2.814025430777356E-2</v>
      </c>
    </row>
    <row r="72" spans="1:22">
      <c r="A72" t="s">
        <v>121</v>
      </c>
      <c r="B72" t="s">
        <v>123</v>
      </c>
      <c r="C72">
        <v>15</v>
      </c>
      <c r="D72">
        <f>Data!J212</f>
        <v>450</v>
      </c>
      <c r="E72">
        <f>Data!B213</f>
        <v>451.94708251953119</v>
      </c>
      <c r="F72" s="4">
        <f t="shared" si="12"/>
        <v>4.326850043402608E-3</v>
      </c>
      <c r="G72">
        <f>Data!D213</f>
        <v>0.1099700927734375</v>
      </c>
      <c r="H72">
        <f>Data!B214</f>
        <v>451.94708251953119</v>
      </c>
      <c r="I72" s="4">
        <f t="shared" si="13"/>
        <v>4.326850043402608E-3</v>
      </c>
      <c r="J72">
        <f>Data!D214</f>
        <v>3.2441725730896001</v>
      </c>
      <c r="K72">
        <f>Data!B212</f>
        <v>451.94708251953119</v>
      </c>
      <c r="L72" s="4">
        <f t="shared" si="14"/>
        <v>4.326850043402608E-3</v>
      </c>
      <c r="M72">
        <f>Data!D212</f>
        <v>2.0814764499664311</v>
      </c>
      <c r="N72">
        <f t="shared" si="15"/>
        <v>451.94708251953119</v>
      </c>
      <c r="O72" s="4">
        <f t="shared" si="16"/>
        <v>4.326850043402608E-3</v>
      </c>
      <c r="P72" t="str">
        <f t="shared" si="17"/>
        <v>vrp_20</v>
      </c>
      <c r="Q72">
        <f t="shared" si="18"/>
        <v>5.4356191158294687</v>
      </c>
      <c r="R72" t="str">
        <f t="shared" si="19"/>
        <v>≤50</v>
      </c>
      <c r="S72" t="str">
        <f t="shared" si="20"/>
        <v>0-1%</v>
      </c>
      <c r="T72" t="str">
        <f t="shared" si="21"/>
        <v/>
      </c>
      <c r="U72">
        <f t="shared" si="22"/>
        <v>0.1099700927734375</v>
      </c>
      <c r="V72" s="4">
        <f t="shared" si="23"/>
        <v>0</v>
      </c>
    </row>
    <row r="73" spans="1:22">
      <c r="A73" t="s">
        <v>121</v>
      </c>
      <c r="B73" t="s">
        <v>124</v>
      </c>
      <c r="C73">
        <v>18</v>
      </c>
      <c r="D73">
        <f>Data!J215</f>
        <v>212</v>
      </c>
      <c r="E73">
        <f>Data!B216</f>
        <v>220.64312744140619</v>
      </c>
      <c r="F73" s="4">
        <f t="shared" si="12"/>
        <v>4.0769469063236752E-2</v>
      </c>
      <c r="G73">
        <f>Data!D216</f>
        <v>4.5985660552978516</v>
      </c>
      <c r="H73">
        <f>Data!B217</f>
        <v>220.64312744140619</v>
      </c>
      <c r="I73" s="4">
        <f t="shared" si="13"/>
        <v>4.0769469063236752E-2</v>
      </c>
      <c r="J73">
        <f>Data!D217</f>
        <v>6.1232118606567383</v>
      </c>
      <c r="K73">
        <f>Data!B215</f>
        <v>220.64312744140619</v>
      </c>
      <c r="L73" s="4">
        <f t="shared" si="14"/>
        <v>4.0769469063236752E-2</v>
      </c>
      <c r="M73">
        <f>Data!D215</f>
        <v>2.990282535552979</v>
      </c>
      <c r="N73">
        <f t="shared" si="15"/>
        <v>220.64312744140619</v>
      </c>
      <c r="O73" s="4">
        <f t="shared" si="16"/>
        <v>4.0769469063236752E-2</v>
      </c>
      <c r="P73" t="str">
        <f t="shared" si="17"/>
        <v>vrp_20</v>
      </c>
      <c r="Q73">
        <f t="shared" si="18"/>
        <v>13.712060451507568</v>
      </c>
      <c r="R73" t="str">
        <f t="shared" si="19"/>
        <v>≤50</v>
      </c>
      <c r="S73" t="str">
        <f t="shared" si="20"/>
        <v>2-5%</v>
      </c>
      <c r="T73" t="str">
        <f t="shared" si="21"/>
        <v/>
      </c>
      <c r="U73">
        <f t="shared" si="22"/>
        <v>4.5985660552978516</v>
      </c>
      <c r="V73" s="4">
        <f t="shared" si="23"/>
        <v>0</v>
      </c>
    </row>
    <row r="74" spans="1:22">
      <c r="A74" t="s">
        <v>121</v>
      </c>
      <c r="B74" t="s">
        <v>125</v>
      </c>
      <c r="C74">
        <v>19</v>
      </c>
      <c r="D74">
        <f>Data!J218</f>
        <v>216</v>
      </c>
      <c r="E74">
        <f>Data!B219</f>
        <v>220.6211242675781</v>
      </c>
      <c r="F74" s="4">
        <f t="shared" si="12"/>
        <v>2.1394093831380134E-2</v>
      </c>
      <c r="G74">
        <f>Data!D219</f>
        <v>5.0575244426727286</v>
      </c>
      <c r="H74">
        <f>Data!B220</f>
        <v>226.51165771484381</v>
      </c>
      <c r="I74" s="4">
        <f t="shared" si="13"/>
        <v>4.8665082013165772E-2</v>
      </c>
      <c r="J74">
        <f>Data!D220</f>
        <v>5.9177107810974121</v>
      </c>
      <c r="K74">
        <f>Data!B218</f>
        <v>254.41534423828119</v>
      </c>
      <c r="L74" s="4">
        <f t="shared" si="14"/>
        <v>0.17784881591796853</v>
      </c>
      <c r="M74">
        <f>Data!D218</f>
        <v>3.0722846984863281</v>
      </c>
      <c r="N74">
        <f t="shared" si="15"/>
        <v>220.6211242675781</v>
      </c>
      <c r="O74" s="4">
        <f t="shared" si="16"/>
        <v>2.1394093831380134E-2</v>
      </c>
      <c r="P74" t="str">
        <f t="shared" si="17"/>
        <v>vrp_20</v>
      </c>
      <c r="Q74">
        <f t="shared" si="18"/>
        <v>14.04751992225647</v>
      </c>
      <c r="R74" t="str">
        <f t="shared" si="19"/>
        <v>≤50</v>
      </c>
      <c r="S74" t="str">
        <f t="shared" si="20"/>
        <v>2-5%</v>
      </c>
      <c r="T74" t="str">
        <f t="shared" si="21"/>
        <v/>
      </c>
      <c r="U74">
        <f t="shared" si="22"/>
        <v>5.0575244426727286</v>
      </c>
      <c r="V74" s="4">
        <f t="shared" si="23"/>
        <v>0.15645472208658839</v>
      </c>
    </row>
    <row r="75" spans="1:22">
      <c r="A75" t="s">
        <v>121</v>
      </c>
      <c r="B75" t="s">
        <v>126</v>
      </c>
      <c r="C75">
        <v>20</v>
      </c>
      <c r="D75">
        <f>Data!J221</f>
        <v>211</v>
      </c>
      <c r="E75">
        <f>Data!B222</f>
        <v>212.7115478515625</v>
      </c>
      <c r="F75" s="4">
        <f t="shared" si="12"/>
        <v>8.1116011922393039E-3</v>
      </c>
      <c r="G75">
        <f>Data!D222</f>
        <v>3.906652688980103</v>
      </c>
      <c r="H75">
        <f>Data!B223</f>
        <v>214.73712158203119</v>
      </c>
      <c r="I75" s="4">
        <f t="shared" si="13"/>
        <v>1.7711476692090944E-2</v>
      </c>
      <c r="J75">
        <f>Data!D223</f>
        <v>3.7834844589233398</v>
      </c>
      <c r="K75">
        <f>Data!B221</f>
        <v>255.1690673828125</v>
      </c>
      <c r="L75" s="4">
        <f t="shared" si="14"/>
        <v>0.20933207290432465</v>
      </c>
      <c r="M75">
        <f>Data!D221</f>
        <v>3.137590885162354</v>
      </c>
      <c r="N75">
        <f t="shared" si="15"/>
        <v>212.7115478515625</v>
      </c>
      <c r="O75" s="4">
        <f t="shared" si="16"/>
        <v>8.1116011922393039E-3</v>
      </c>
      <c r="P75" t="str">
        <f t="shared" si="17"/>
        <v>vrp_20</v>
      </c>
      <c r="Q75">
        <f t="shared" si="18"/>
        <v>10.827728033065796</v>
      </c>
      <c r="R75" t="str">
        <f t="shared" si="19"/>
        <v>≤50</v>
      </c>
      <c r="S75" t="str">
        <f t="shared" si="20"/>
        <v>0-1%</v>
      </c>
      <c r="T75" t="str">
        <f t="shared" si="21"/>
        <v/>
      </c>
      <c r="U75">
        <f t="shared" si="22"/>
        <v>3.906652688980103</v>
      </c>
      <c r="V75" s="4">
        <f t="shared" si="23"/>
        <v>0.20122047171208535</v>
      </c>
    </row>
    <row r="76" spans="1:22">
      <c r="A76" t="s">
        <v>121</v>
      </c>
      <c r="B76" t="s">
        <v>127</v>
      </c>
      <c r="C76">
        <v>21</v>
      </c>
      <c r="D76">
        <f>Data!J224</f>
        <v>216</v>
      </c>
      <c r="E76">
        <f>Data!B226</f>
        <v>219.8951110839844</v>
      </c>
      <c r="F76" s="4">
        <f t="shared" si="12"/>
        <v>1.8032921685112946E-2</v>
      </c>
      <c r="G76">
        <f>Data!D226</f>
        <v>3.7164359092712398</v>
      </c>
      <c r="H76">
        <f>Data!B228</f>
        <v>218.0508117675781</v>
      </c>
      <c r="I76" s="4">
        <f t="shared" si="13"/>
        <v>9.494498923972694E-3</v>
      </c>
      <c r="J76">
        <f>Data!D228</f>
        <v>3.8020894527435298</v>
      </c>
      <c r="K76">
        <f>Data!B224</f>
        <v>260.32705688476563</v>
      </c>
      <c r="L76" s="4">
        <f t="shared" si="14"/>
        <v>0.20521785594798891</v>
      </c>
      <c r="M76">
        <f>Data!D224</f>
        <v>3.3053288459777832</v>
      </c>
      <c r="N76">
        <f t="shared" si="15"/>
        <v>218.0508117675781</v>
      </c>
      <c r="O76" s="4">
        <f t="shared" si="16"/>
        <v>9.494498923972694E-3</v>
      </c>
      <c r="P76" t="str">
        <f t="shared" si="17"/>
        <v>vrp_50</v>
      </c>
      <c r="Q76">
        <f t="shared" si="18"/>
        <v>10.823854207992554</v>
      </c>
      <c r="R76" t="str">
        <f t="shared" si="19"/>
        <v>≤50</v>
      </c>
      <c r="S76" t="str">
        <f t="shared" si="20"/>
        <v>0-1%</v>
      </c>
      <c r="T76" t="str">
        <f t="shared" si="21"/>
        <v/>
      </c>
      <c r="U76">
        <f t="shared" si="22"/>
        <v>3.8020894527435298</v>
      </c>
      <c r="V76" s="4">
        <f t="shared" si="23"/>
        <v>0.19572335702401622</v>
      </c>
    </row>
    <row r="77" spans="1:22">
      <c r="A77" t="s">
        <v>121</v>
      </c>
      <c r="B77" t="s">
        <v>128</v>
      </c>
      <c r="C77">
        <v>21</v>
      </c>
      <c r="D77">
        <f>Data!J225</f>
        <v>603</v>
      </c>
      <c r="E77">
        <f>Data!B227</f>
        <v>603</v>
      </c>
      <c r="F77" s="4">
        <f t="shared" si="12"/>
        <v>0</v>
      </c>
      <c r="G77">
        <f>Data!D227</f>
        <v>3.7164359092712398</v>
      </c>
      <c r="H77">
        <f>Data!B229</f>
        <v>620.4285888671875</v>
      </c>
      <c r="I77" s="4">
        <f t="shared" si="13"/>
        <v>2.8903132449730418E-2</v>
      </c>
      <c r="J77">
        <f>Data!D229</f>
        <v>3.8020894527435298</v>
      </c>
      <c r="K77">
        <f>Data!B225</f>
        <v>603</v>
      </c>
      <c r="L77" s="4">
        <f t="shared" si="14"/>
        <v>0</v>
      </c>
      <c r="M77">
        <f>Data!D225</f>
        <v>3.3053288459777832</v>
      </c>
      <c r="N77">
        <f t="shared" si="15"/>
        <v>603</v>
      </c>
      <c r="O77" s="4">
        <f t="shared" si="16"/>
        <v>0</v>
      </c>
      <c r="P77" t="str">
        <f t="shared" si="17"/>
        <v>vrp_20</v>
      </c>
      <c r="Q77">
        <f t="shared" si="18"/>
        <v>10.823854207992554</v>
      </c>
      <c r="R77" t="str">
        <f t="shared" si="19"/>
        <v>≤50</v>
      </c>
      <c r="S77" t="str">
        <f t="shared" si="20"/>
        <v>≤0%</v>
      </c>
      <c r="T77" t="str">
        <f t="shared" si="21"/>
        <v/>
      </c>
      <c r="U77">
        <f t="shared" si="22"/>
        <v>3.7164359092712398</v>
      </c>
      <c r="V77" s="4">
        <f t="shared" si="23"/>
        <v>0</v>
      </c>
    </row>
    <row r="78" spans="1:22">
      <c r="A78" t="s">
        <v>121</v>
      </c>
      <c r="B78" t="s">
        <v>129</v>
      </c>
      <c r="C78">
        <v>22</v>
      </c>
      <c r="D78">
        <f>Data!J230</f>
        <v>529</v>
      </c>
      <c r="E78">
        <f>Data!B231</f>
        <v>541.31597900390625</v>
      </c>
      <c r="F78" s="4">
        <f t="shared" si="12"/>
        <v>2.3281623825909703E-2</v>
      </c>
      <c r="G78">
        <f>Data!D231</f>
        <v>3.6725859642028809</v>
      </c>
      <c r="H78">
        <f>Data!B232</f>
        <v>542.2252197265625</v>
      </c>
      <c r="I78" s="4">
        <f t="shared" si="13"/>
        <v>2.5000415362121942E-2</v>
      </c>
      <c r="J78">
        <f>Data!D232</f>
        <v>3.7273232936859131</v>
      </c>
      <c r="K78">
        <f>Data!B230</f>
        <v>538.84844970703125</v>
      </c>
      <c r="L78" s="4">
        <f t="shared" si="14"/>
        <v>1.8617107196656324E-2</v>
      </c>
      <c r="M78">
        <f>Data!D230</f>
        <v>3.7270050048828121</v>
      </c>
      <c r="N78">
        <f t="shared" si="15"/>
        <v>538.84844970703125</v>
      </c>
      <c r="O78" s="4">
        <f t="shared" si="16"/>
        <v>1.8617107196656324E-2</v>
      </c>
      <c r="P78" t="str">
        <f t="shared" si="17"/>
        <v>vrp_100</v>
      </c>
      <c r="Q78">
        <f t="shared" si="18"/>
        <v>11.126914262771606</v>
      </c>
      <c r="R78" t="str">
        <f t="shared" si="19"/>
        <v>≤50</v>
      </c>
      <c r="S78" t="str">
        <f t="shared" si="20"/>
        <v>1-2%</v>
      </c>
      <c r="T78" t="str">
        <f t="shared" si="21"/>
        <v/>
      </c>
      <c r="U78">
        <f t="shared" si="22"/>
        <v>3.7270050048828121</v>
      </c>
      <c r="V78" s="4">
        <f t="shared" si="23"/>
        <v>0</v>
      </c>
    </row>
    <row r="79" spans="1:22">
      <c r="A79" t="s">
        <v>121</v>
      </c>
      <c r="B79" t="s">
        <v>130</v>
      </c>
      <c r="C79">
        <v>39</v>
      </c>
      <c r="D79">
        <f>Data!J233</f>
        <v>458</v>
      </c>
      <c r="E79">
        <f>Data!B234</f>
        <v>466.31903076171881</v>
      </c>
      <c r="F79" s="4">
        <f t="shared" si="12"/>
        <v>1.8163822623840087E-2</v>
      </c>
      <c r="G79">
        <f>Data!D234</f>
        <v>5.774458646774292</v>
      </c>
      <c r="H79">
        <f>Data!B235</f>
        <v>461.7261962890625</v>
      </c>
      <c r="I79" s="4">
        <f t="shared" si="13"/>
        <v>8.1357997577784502E-3</v>
      </c>
      <c r="J79">
        <f>Data!D235</f>
        <v>5.0531706809997559</v>
      </c>
      <c r="K79">
        <f>Data!B233</f>
        <v>489.6181640625</v>
      </c>
      <c r="L79" s="4">
        <f t="shared" si="14"/>
        <v>6.9035292712882113E-2</v>
      </c>
      <c r="M79">
        <f>Data!D233</f>
        <v>3.634087085723877</v>
      </c>
      <c r="N79">
        <f t="shared" si="15"/>
        <v>461.7261962890625</v>
      </c>
      <c r="O79" s="4">
        <f t="shared" si="16"/>
        <v>8.1357997577784502E-3</v>
      </c>
      <c r="P79" t="str">
        <f t="shared" si="17"/>
        <v>vrp_50</v>
      </c>
      <c r="Q79">
        <f t="shared" si="18"/>
        <v>14.461716413497925</v>
      </c>
      <c r="R79" t="str">
        <f t="shared" si="19"/>
        <v>≤50</v>
      </c>
      <c r="S79" t="str">
        <f t="shared" si="20"/>
        <v>0-1%</v>
      </c>
      <c r="T79" t="str">
        <f t="shared" si="21"/>
        <v/>
      </c>
      <c r="U79">
        <f t="shared" si="22"/>
        <v>5.0531706809997559</v>
      </c>
      <c r="V79" s="4">
        <f t="shared" si="23"/>
        <v>6.0899492955103662E-2</v>
      </c>
    </row>
    <row r="80" spans="1:22">
      <c r="A80" t="s">
        <v>121</v>
      </c>
      <c r="B80" t="s">
        <v>131</v>
      </c>
      <c r="C80">
        <v>44</v>
      </c>
      <c r="D80">
        <f>Data!J236</f>
        <v>510</v>
      </c>
      <c r="E80">
        <f>Data!B237</f>
        <v>514.4212646484375</v>
      </c>
      <c r="F80" s="4">
        <f t="shared" si="12"/>
        <v>8.6691463694852366E-3</v>
      </c>
      <c r="G80">
        <f>Data!D237</f>
        <v>5.2497093677520752</v>
      </c>
      <c r="H80">
        <f>Data!B238</f>
        <v>519.884521484375</v>
      </c>
      <c r="I80" s="4">
        <f t="shared" si="13"/>
        <v>1.9381414675245123E-2</v>
      </c>
      <c r="J80">
        <f>Data!D238</f>
        <v>4.9817330837249756</v>
      </c>
      <c r="K80">
        <f>Data!B236</f>
        <v>554.6600341796875</v>
      </c>
      <c r="L80" s="4">
        <f t="shared" si="14"/>
        <v>8.7568694469975394E-2</v>
      </c>
      <c r="M80">
        <f>Data!D236</f>
        <v>3.7465088367462158</v>
      </c>
      <c r="N80">
        <f t="shared" si="15"/>
        <v>514.4212646484375</v>
      </c>
      <c r="O80" s="4">
        <f t="shared" si="16"/>
        <v>8.6691463694852366E-3</v>
      </c>
      <c r="P80" t="str">
        <f t="shared" si="17"/>
        <v>vrp_20</v>
      </c>
      <c r="Q80">
        <f t="shared" si="18"/>
        <v>13.977951288223267</v>
      </c>
      <c r="R80" t="str">
        <f t="shared" si="19"/>
        <v>≤50</v>
      </c>
      <c r="S80" t="str">
        <f t="shared" si="20"/>
        <v>0-1%</v>
      </c>
      <c r="T80" t="str">
        <f t="shared" si="21"/>
        <v/>
      </c>
      <c r="U80">
        <f t="shared" si="22"/>
        <v>5.2497093677520752</v>
      </c>
      <c r="V80" s="4">
        <f t="shared" si="23"/>
        <v>7.8899548100490158E-2</v>
      </c>
    </row>
    <row r="81" spans="1:22">
      <c r="A81" t="s">
        <v>121</v>
      </c>
      <c r="B81" t="s">
        <v>132</v>
      </c>
      <c r="C81">
        <v>49</v>
      </c>
      <c r="D81">
        <f>Data!J241</f>
        <v>696</v>
      </c>
      <c r="E81">
        <f>Data!B244</f>
        <v>726.222900390625</v>
      </c>
      <c r="F81" s="4">
        <f t="shared" si="12"/>
        <v>4.3423707457794558E-2</v>
      </c>
      <c r="G81">
        <f>Data!D244</f>
        <v>9.259958028793335</v>
      </c>
      <c r="H81">
        <f>Data!B247</f>
        <v>723.56329345703125</v>
      </c>
      <c r="I81" s="4">
        <f t="shared" si="13"/>
        <v>3.9602433127918557E-2</v>
      </c>
      <c r="J81">
        <f>Data!D247</f>
        <v>5.7965090274810791</v>
      </c>
      <c r="K81">
        <f>Data!B241</f>
        <v>731.9534912109375</v>
      </c>
      <c r="L81" s="4">
        <f t="shared" si="14"/>
        <v>5.165731495824355E-2</v>
      </c>
      <c r="M81">
        <f>Data!D241</f>
        <v>5.9056720733642578</v>
      </c>
      <c r="N81">
        <f t="shared" si="15"/>
        <v>723.56329345703125</v>
      </c>
      <c r="O81" s="4">
        <f t="shared" si="16"/>
        <v>3.9602433127918557E-2</v>
      </c>
      <c r="P81" t="str">
        <f t="shared" si="17"/>
        <v>vrp_50</v>
      </c>
      <c r="Q81">
        <f t="shared" si="18"/>
        <v>20.962139129638672</v>
      </c>
      <c r="R81" t="str">
        <f t="shared" si="19"/>
        <v>≤50</v>
      </c>
      <c r="S81" t="str">
        <f t="shared" si="20"/>
        <v>2-5%</v>
      </c>
      <c r="T81" t="str">
        <f t="shared" si="21"/>
        <v/>
      </c>
      <c r="U81">
        <f t="shared" si="22"/>
        <v>5.7965090274810791</v>
      </c>
      <c r="V81" s="4">
        <f t="shared" si="23"/>
        <v>1.2054881830324993E-2</v>
      </c>
    </row>
    <row r="82" spans="1:22">
      <c r="A82" t="s">
        <v>121</v>
      </c>
      <c r="B82" t="s">
        <v>133</v>
      </c>
      <c r="C82">
        <v>49</v>
      </c>
      <c r="D82">
        <f>Data!J239</f>
        <v>554</v>
      </c>
      <c r="E82">
        <f>Data!B242</f>
        <v>563.9810791015625</v>
      </c>
      <c r="F82" s="4">
        <f t="shared" si="12"/>
        <v>1.8016388269968431E-2</v>
      </c>
      <c r="G82">
        <f>Data!D242</f>
        <v>9.259958028793335</v>
      </c>
      <c r="H82">
        <f>Data!B245</f>
        <v>578.205810546875</v>
      </c>
      <c r="I82" s="4">
        <f t="shared" si="13"/>
        <v>4.3692798821074019E-2</v>
      </c>
      <c r="J82">
        <f>Data!D245</f>
        <v>5.7965090274810791</v>
      </c>
      <c r="K82">
        <f>Data!B239</f>
        <v>577.0357666015625</v>
      </c>
      <c r="L82" s="4">
        <f t="shared" si="14"/>
        <v>4.1580806140004478E-2</v>
      </c>
      <c r="M82">
        <f>Data!D239</f>
        <v>5.9056720733642578</v>
      </c>
      <c r="N82">
        <f t="shared" si="15"/>
        <v>563.9810791015625</v>
      </c>
      <c r="O82" s="4">
        <f t="shared" si="16"/>
        <v>1.8016388269968431E-2</v>
      </c>
      <c r="P82" t="str">
        <f t="shared" si="17"/>
        <v>vrp_20</v>
      </c>
      <c r="Q82">
        <f t="shared" si="18"/>
        <v>20.962139129638672</v>
      </c>
      <c r="R82" t="str">
        <f t="shared" si="19"/>
        <v>≤50</v>
      </c>
      <c r="S82" t="str">
        <f t="shared" si="20"/>
        <v>1-2%</v>
      </c>
      <c r="T82" t="str">
        <f t="shared" si="21"/>
        <v/>
      </c>
      <c r="U82">
        <f t="shared" si="22"/>
        <v>9.259958028793335</v>
      </c>
      <c r="V82" s="4">
        <f t="shared" si="23"/>
        <v>2.3564417870036047E-2</v>
      </c>
    </row>
    <row r="83" spans="1:22">
      <c r="A83" t="s">
        <v>121</v>
      </c>
      <c r="B83" t="s">
        <v>134</v>
      </c>
      <c r="C83">
        <v>49</v>
      </c>
      <c r="D83">
        <f>Data!J240</f>
        <v>631</v>
      </c>
      <c r="E83">
        <f>Data!B243</f>
        <v>649.759521484375</v>
      </c>
      <c r="F83" s="4">
        <f t="shared" si="12"/>
        <v>2.9729828025950811E-2</v>
      </c>
      <c r="G83">
        <f>Data!D243</f>
        <v>9.259958028793335</v>
      </c>
      <c r="H83">
        <f>Data!B246</f>
        <v>642.5068359375</v>
      </c>
      <c r="I83" s="4">
        <f t="shared" si="13"/>
        <v>1.8235873118066515E-2</v>
      </c>
      <c r="J83">
        <f>Data!D246</f>
        <v>5.7965090274810791</v>
      </c>
      <c r="K83">
        <f>Data!B240</f>
        <v>653.61962890625</v>
      </c>
      <c r="L83" s="4">
        <f t="shared" si="14"/>
        <v>3.5847272434627486E-2</v>
      </c>
      <c r="M83">
        <f>Data!D240</f>
        <v>5.9056720733642578</v>
      </c>
      <c r="N83">
        <f t="shared" si="15"/>
        <v>642.5068359375</v>
      </c>
      <c r="O83" s="4">
        <f t="shared" si="16"/>
        <v>1.8235873118066515E-2</v>
      </c>
      <c r="P83" t="str">
        <f t="shared" si="17"/>
        <v>vrp_50</v>
      </c>
      <c r="Q83">
        <f t="shared" si="18"/>
        <v>20.962139129638672</v>
      </c>
      <c r="R83" t="str">
        <f t="shared" si="19"/>
        <v>≤50</v>
      </c>
      <c r="S83" t="str">
        <f t="shared" si="20"/>
        <v>1-2%</v>
      </c>
      <c r="T83" t="str">
        <f t="shared" si="21"/>
        <v/>
      </c>
      <c r="U83">
        <f t="shared" si="22"/>
        <v>5.7965090274810791</v>
      </c>
      <c r="V83" s="4">
        <f t="shared" si="23"/>
        <v>1.7611399316560972E-2</v>
      </c>
    </row>
    <row r="84" spans="1:22">
      <c r="A84" t="s">
        <v>121</v>
      </c>
      <c r="B84" t="s">
        <v>135</v>
      </c>
      <c r="C84">
        <v>50</v>
      </c>
      <c r="D84">
        <f>Data!J248</f>
        <v>741</v>
      </c>
      <c r="E84">
        <f>Data!B249</f>
        <v>771.48748779296875</v>
      </c>
      <c r="F84" s="4">
        <f t="shared" si="12"/>
        <v>4.1143708222629805E-2</v>
      </c>
      <c r="G84">
        <f>Data!D249</f>
        <v>4.4888980388641357</v>
      </c>
      <c r="H84">
        <f>Data!B250</f>
        <v>766.09564208984375</v>
      </c>
      <c r="I84" s="4">
        <f t="shared" si="13"/>
        <v>3.3867263279141469E-2</v>
      </c>
      <c r="J84">
        <f>Data!D250</f>
        <v>3.880982637405396</v>
      </c>
      <c r="K84">
        <f>Data!B248</f>
        <v>765.54608154296875</v>
      </c>
      <c r="L84" s="4">
        <f t="shared" si="14"/>
        <v>3.3125616117366752E-2</v>
      </c>
      <c r="M84">
        <f>Data!D248</f>
        <v>3.960512638092041</v>
      </c>
      <c r="N84">
        <f t="shared" si="15"/>
        <v>765.54608154296875</v>
      </c>
      <c r="O84" s="4">
        <f t="shared" si="16"/>
        <v>3.3125616117366752E-2</v>
      </c>
      <c r="P84" t="str">
        <f t="shared" si="17"/>
        <v>vrp_100</v>
      </c>
      <c r="Q84">
        <f t="shared" si="18"/>
        <v>12.330393314361572</v>
      </c>
      <c r="R84" t="str">
        <f t="shared" si="19"/>
        <v>≤50</v>
      </c>
      <c r="S84" t="str">
        <f t="shared" si="20"/>
        <v>2-5%</v>
      </c>
      <c r="T84" t="str">
        <f t="shared" si="21"/>
        <v/>
      </c>
      <c r="U84">
        <f t="shared" si="22"/>
        <v>3.960512638092041</v>
      </c>
      <c r="V84" s="4">
        <f t="shared" si="23"/>
        <v>0</v>
      </c>
    </row>
    <row r="85" spans="1:22">
      <c r="A85" t="s">
        <v>121</v>
      </c>
      <c r="B85" t="s">
        <v>136</v>
      </c>
      <c r="C85">
        <v>54</v>
      </c>
      <c r="D85">
        <f>Data!J253</f>
        <v>694</v>
      </c>
      <c r="E85">
        <f>Data!B257</f>
        <v>710.47918701171875</v>
      </c>
      <c r="F85" s="4">
        <f t="shared" si="12"/>
        <v>2.3745226241669748E-2</v>
      </c>
      <c r="G85">
        <f>Data!D257</f>
        <v>5.9331440925598136</v>
      </c>
      <c r="H85">
        <f>Data!B261</f>
        <v>714.883544921875</v>
      </c>
      <c r="I85" s="4">
        <f t="shared" si="13"/>
        <v>3.009156328800433E-2</v>
      </c>
      <c r="J85">
        <f>Data!D261</f>
        <v>7.7370922565460214</v>
      </c>
      <c r="K85">
        <f>Data!B253</f>
        <v>713.7208251953125</v>
      </c>
      <c r="L85" s="4">
        <f t="shared" si="14"/>
        <v>2.8416174633015157E-2</v>
      </c>
      <c r="M85">
        <f>Data!D253</f>
        <v>8.0124039649963379</v>
      </c>
      <c r="N85">
        <f t="shared" si="15"/>
        <v>710.47918701171875</v>
      </c>
      <c r="O85" s="4">
        <f t="shared" si="16"/>
        <v>2.3745226241669748E-2</v>
      </c>
      <c r="P85" t="str">
        <f t="shared" si="17"/>
        <v>vrp_20</v>
      </c>
      <c r="Q85">
        <f t="shared" si="18"/>
        <v>21.682640314102173</v>
      </c>
      <c r="R85" t="str">
        <f t="shared" si="19"/>
        <v>51-100</v>
      </c>
      <c r="S85" t="str">
        <f t="shared" si="20"/>
        <v>2-5%</v>
      </c>
      <c r="T85" t="str">
        <f t="shared" si="21"/>
        <v/>
      </c>
      <c r="U85">
        <f t="shared" si="22"/>
        <v>5.9331440925598136</v>
      </c>
      <c r="V85" s="4">
        <f t="shared" si="23"/>
        <v>4.6709483913454086E-3</v>
      </c>
    </row>
    <row r="86" spans="1:22">
      <c r="A86" t="s">
        <v>121</v>
      </c>
      <c r="B86" t="s">
        <v>137</v>
      </c>
      <c r="C86">
        <v>54</v>
      </c>
      <c r="D86">
        <f>Data!J254</f>
        <v>989</v>
      </c>
      <c r="E86">
        <f>Data!B258</f>
        <v>989</v>
      </c>
      <c r="F86" s="4">
        <f t="shared" si="12"/>
        <v>0</v>
      </c>
      <c r="G86">
        <f>Data!D258</f>
        <v>5.9331440925598136</v>
      </c>
      <c r="H86">
        <f>Data!B262</f>
        <v>989</v>
      </c>
      <c r="I86" s="4">
        <f t="shared" si="13"/>
        <v>0</v>
      </c>
      <c r="J86">
        <f>Data!D262</f>
        <v>7.7370922565460214</v>
      </c>
      <c r="K86">
        <f>Data!B254</f>
        <v>989</v>
      </c>
      <c r="L86" s="4">
        <f t="shared" si="14"/>
        <v>0</v>
      </c>
      <c r="M86">
        <f>Data!D254</f>
        <v>8.0124039649963379</v>
      </c>
      <c r="N86">
        <f t="shared" si="15"/>
        <v>989</v>
      </c>
      <c r="O86" s="4">
        <f t="shared" si="16"/>
        <v>0</v>
      </c>
      <c r="P86" t="str">
        <f t="shared" si="17"/>
        <v>vrp_20</v>
      </c>
      <c r="Q86">
        <f t="shared" si="18"/>
        <v>21.682640314102173</v>
      </c>
      <c r="R86" t="str">
        <f t="shared" si="19"/>
        <v>51-100</v>
      </c>
      <c r="S86" t="str">
        <f t="shared" si="20"/>
        <v>≤0%</v>
      </c>
      <c r="T86" t="str">
        <f t="shared" si="21"/>
        <v/>
      </c>
      <c r="U86">
        <f t="shared" si="22"/>
        <v>5.9331440925598136</v>
      </c>
      <c r="V86" s="4">
        <f t="shared" si="23"/>
        <v>0</v>
      </c>
    </row>
    <row r="87" spans="1:22">
      <c r="A87" t="s">
        <v>121</v>
      </c>
      <c r="B87" t="s">
        <v>138</v>
      </c>
      <c r="C87">
        <v>54</v>
      </c>
      <c r="D87">
        <f>Data!J251</f>
        <v>568</v>
      </c>
      <c r="E87">
        <f>Data!B255</f>
        <v>593.72552490234375</v>
      </c>
      <c r="F87" s="4">
        <f t="shared" si="12"/>
        <v>4.5291417081591012E-2</v>
      </c>
      <c r="G87">
        <f>Data!D255</f>
        <v>5.9331440925598136</v>
      </c>
      <c r="H87">
        <f>Data!B259</f>
        <v>587.23870849609375</v>
      </c>
      <c r="I87" s="4">
        <f t="shared" si="13"/>
        <v>3.3870965662136987E-2</v>
      </c>
      <c r="J87">
        <f>Data!D259</f>
        <v>7.7370922565460214</v>
      </c>
      <c r="K87">
        <f>Data!B251</f>
        <v>595.47723388671875</v>
      </c>
      <c r="L87" s="4">
        <f t="shared" si="14"/>
        <v>4.8375411772392241E-2</v>
      </c>
      <c r="M87">
        <f>Data!D251</f>
        <v>8.0124039649963379</v>
      </c>
      <c r="N87">
        <f t="shared" si="15"/>
        <v>587.23870849609375</v>
      </c>
      <c r="O87" s="4">
        <f t="shared" si="16"/>
        <v>3.3870965662136987E-2</v>
      </c>
      <c r="P87" t="str">
        <f t="shared" si="17"/>
        <v>vrp_50</v>
      </c>
      <c r="Q87">
        <f t="shared" si="18"/>
        <v>21.682640314102173</v>
      </c>
      <c r="R87" t="str">
        <f t="shared" si="19"/>
        <v>51-100</v>
      </c>
      <c r="S87" t="str">
        <f t="shared" si="20"/>
        <v>2-5%</v>
      </c>
      <c r="T87" t="str">
        <f t="shared" si="21"/>
        <v/>
      </c>
      <c r="U87">
        <f t="shared" si="22"/>
        <v>7.7370922565460214</v>
      </c>
      <c r="V87" s="4">
        <f t="shared" si="23"/>
        <v>1.4504446110255254E-2</v>
      </c>
    </row>
    <row r="88" spans="1:22">
      <c r="A88" t="s">
        <v>121</v>
      </c>
      <c r="B88" t="s">
        <v>139</v>
      </c>
      <c r="C88">
        <v>54</v>
      </c>
      <c r="D88">
        <f>Data!J252</f>
        <v>588</v>
      </c>
      <c r="E88">
        <f>Data!B256</f>
        <v>588.2021484375</v>
      </c>
      <c r="F88" s="4">
        <f t="shared" si="12"/>
        <v>3.4378985969385489E-4</v>
      </c>
      <c r="G88">
        <f>Data!D256</f>
        <v>5.9331440925598136</v>
      </c>
      <c r="H88">
        <f>Data!B260</f>
        <v>591.8511962890625</v>
      </c>
      <c r="I88" s="4">
        <f t="shared" si="13"/>
        <v>6.5496535528273281E-3</v>
      </c>
      <c r="J88">
        <f>Data!D260</f>
        <v>7.7370922565460214</v>
      </c>
      <c r="K88">
        <f>Data!B252</f>
        <v>595.3779296875</v>
      </c>
      <c r="L88" s="4">
        <f t="shared" si="14"/>
        <v>1.2547499468537504E-2</v>
      </c>
      <c r="M88">
        <f>Data!D252</f>
        <v>8.0124039649963379</v>
      </c>
      <c r="N88">
        <f t="shared" si="15"/>
        <v>588.2021484375</v>
      </c>
      <c r="O88" s="4">
        <f t="shared" si="16"/>
        <v>3.4378985969385489E-4</v>
      </c>
      <c r="P88" t="str">
        <f t="shared" si="17"/>
        <v>vrp_20</v>
      </c>
      <c r="Q88">
        <f t="shared" si="18"/>
        <v>21.682640314102173</v>
      </c>
      <c r="R88" t="str">
        <f t="shared" si="19"/>
        <v>51-100</v>
      </c>
      <c r="S88" t="str">
        <f t="shared" si="20"/>
        <v>0-1%</v>
      </c>
      <c r="T88" t="str">
        <f t="shared" si="21"/>
        <v/>
      </c>
      <c r="U88">
        <f t="shared" si="22"/>
        <v>5.9331440925598136</v>
      </c>
      <c r="V88" s="4">
        <f t="shared" si="23"/>
        <v>1.2203709608843649E-2</v>
      </c>
    </row>
    <row r="89" spans="1:22">
      <c r="A89" t="s">
        <v>121</v>
      </c>
      <c r="B89" t="s">
        <v>140</v>
      </c>
      <c r="C89">
        <v>59</v>
      </c>
      <c r="D89">
        <f>Data!J263</f>
        <v>744</v>
      </c>
      <c r="E89">
        <f>Data!B265</f>
        <v>777.1168212890625</v>
      </c>
      <c r="F89" s="4">
        <f t="shared" si="12"/>
        <v>4.4511856571320507E-2</v>
      </c>
      <c r="G89">
        <f>Data!D265</f>
        <v>4.6048662662506104</v>
      </c>
      <c r="H89">
        <f>Data!B267</f>
        <v>761.7200927734375</v>
      </c>
      <c r="I89" s="4">
        <f t="shared" si="13"/>
        <v>2.3817328996555753E-2</v>
      </c>
      <c r="J89">
        <f>Data!D267</f>
        <v>4.8413698673248291</v>
      </c>
      <c r="K89">
        <f>Data!B263</f>
        <v>774.64935302734375</v>
      </c>
      <c r="L89" s="4">
        <f t="shared" si="14"/>
        <v>4.1195366972236247E-2</v>
      </c>
      <c r="M89">
        <f>Data!D263</f>
        <v>5.9803359508514404</v>
      </c>
      <c r="N89">
        <f t="shared" si="15"/>
        <v>761.7200927734375</v>
      </c>
      <c r="O89" s="4">
        <f t="shared" si="16"/>
        <v>2.3817328996555753E-2</v>
      </c>
      <c r="P89" t="str">
        <f t="shared" si="17"/>
        <v>vrp_50</v>
      </c>
      <c r="Q89">
        <f t="shared" si="18"/>
        <v>15.42657208442688</v>
      </c>
      <c r="R89" t="str">
        <f t="shared" si="19"/>
        <v>51-100</v>
      </c>
      <c r="S89" t="str">
        <f t="shared" si="20"/>
        <v>2-5%</v>
      </c>
      <c r="T89" t="str">
        <f t="shared" si="21"/>
        <v/>
      </c>
      <c r="U89">
        <f t="shared" si="22"/>
        <v>4.8413698673248291</v>
      </c>
      <c r="V89" s="4">
        <f t="shared" si="23"/>
        <v>1.7378037975680494E-2</v>
      </c>
    </row>
    <row r="90" spans="1:22">
      <c r="A90" t="s">
        <v>121</v>
      </c>
      <c r="B90" t="s">
        <v>141</v>
      </c>
      <c r="C90">
        <v>59</v>
      </c>
      <c r="D90">
        <f>Data!J264</f>
        <v>968</v>
      </c>
      <c r="E90">
        <f>Data!B266</f>
        <v>1042.214111328125</v>
      </c>
      <c r="F90" s="4">
        <f t="shared" si="12"/>
        <v>7.6667470380294311E-2</v>
      </c>
      <c r="G90">
        <f>Data!D266</f>
        <v>4.6048662662506104</v>
      </c>
      <c r="H90">
        <f>Data!B268</f>
        <v>994.7239990234375</v>
      </c>
      <c r="I90" s="4">
        <f t="shared" si="13"/>
        <v>2.7607437007683311E-2</v>
      </c>
      <c r="J90">
        <f>Data!D268</f>
        <v>4.8413698673248291</v>
      </c>
      <c r="K90">
        <f>Data!B264</f>
        <v>1018.520935058594</v>
      </c>
      <c r="L90" s="4">
        <f t="shared" si="14"/>
        <v>5.2191048614250057E-2</v>
      </c>
      <c r="M90">
        <f>Data!D264</f>
        <v>5.9803359508514404</v>
      </c>
      <c r="N90">
        <f t="shared" si="15"/>
        <v>994.7239990234375</v>
      </c>
      <c r="O90" s="4">
        <f t="shared" si="16"/>
        <v>2.7607437007683311E-2</v>
      </c>
      <c r="P90" t="str">
        <f t="shared" si="17"/>
        <v>vrp_50</v>
      </c>
      <c r="Q90">
        <f t="shared" si="18"/>
        <v>15.42657208442688</v>
      </c>
      <c r="R90" t="str">
        <f t="shared" si="19"/>
        <v>51-100</v>
      </c>
      <c r="S90" t="str">
        <f t="shared" si="20"/>
        <v>2-5%</v>
      </c>
      <c r="T90" t="str">
        <f t="shared" si="21"/>
        <v/>
      </c>
      <c r="U90">
        <f t="shared" si="22"/>
        <v>4.8413698673248291</v>
      </c>
      <c r="V90" s="4">
        <f t="shared" si="23"/>
        <v>2.4583611606566746E-2</v>
      </c>
    </row>
    <row r="91" spans="1:22">
      <c r="A91" t="s">
        <v>121</v>
      </c>
      <c r="B91" t="s">
        <v>142</v>
      </c>
      <c r="C91">
        <v>64</v>
      </c>
      <c r="D91">
        <f>Data!J269</f>
        <v>792</v>
      </c>
      <c r="E91">
        <f>Data!B270</f>
        <v>827.43829345703125</v>
      </c>
      <c r="F91" s="4">
        <f t="shared" si="12"/>
        <v>4.4745320021503998E-2</v>
      </c>
      <c r="G91">
        <f>Data!D270</f>
        <v>3.9269406795501709</v>
      </c>
      <c r="H91">
        <f>Data!B271</f>
        <v>812.9393310546875</v>
      </c>
      <c r="I91" s="4">
        <f t="shared" si="13"/>
        <v>2.6438549311474047E-2</v>
      </c>
      <c r="J91">
        <f>Data!D271</f>
        <v>3.0925877094268799</v>
      </c>
      <c r="K91">
        <f>Data!B269</f>
        <v>827.241455078125</v>
      </c>
      <c r="L91" s="4">
        <f t="shared" si="14"/>
        <v>4.4496786714804282E-2</v>
      </c>
      <c r="M91">
        <f>Data!D269</f>
        <v>3.8121659755706792</v>
      </c>
      <c r="N91">
        <f t="shared" si="15"/>
        <v>812.9393310546875</v>
      </c>
      <c r="O91" s="4">
        <f t="shared" si="16"/>
        <v>2.6438549311474047E-2</v>
      </c>
      <c r="P91" t="str">
        <f t="shared" si="17"/>
        <v>vrp_50</v>
      </c>
      <c r="Q91">
        <f t="shared" si="18"/>
        <v>10.831694364547729</v>
      </c>
      <c r="R91" t="str">
        <f t="shared" si="19"/>
        <v>51-100</v>
      </c>
      <c r="S91" t="str">
        <f t="shared" si="20"/>
        <v>2-5%</v>
      </c>
      <c r="T91" t="str">
        <f t="shared" si="21"/>
        <v/>
      </c>
      <c r="U91">
        <f t="shared" si="22"/>
        <v>3.0925877094268799</v>
      </c>
      <c r="V91" s="4">
        <f t="shared" si="23"/>
        <v>1.8058237403330235E-2</v>
      </c>
    </row>
    <row r="92" spans="1:22">
      <c r="A92" t="s">
        <v>121</v>
      </c>
      <c r="B92" t="s">
        <v>143</v>
      </c>
      <c r="C92">
        <v>69</v>
      </c>
      <c r="D92">
        <f>Data!J272</f>
        <v>827</v>
      </c>
      <c r="E92">
        <f>Data!B273</f>
        <v>864.65301513671875</v>
      </c>
      <c r="F92" s="4">
        <f t="shared" si="12"/>
        <v>4.5529643454315316E-2</v>
      </c>
      <c r="G92">
        <f>Data!D273</f>
        <v>3.219674825668335</v>
      </c>
      <c r="H92">
        <f>Data!B274</f>
        <v>854.9755859375</v>
      </c>
      <c r="I92" s="4">
        <f t="shared" si="13"/>
        <v>3.382779436215233E-2</v>
      </c>
      <c r="J92">
        <f>Data!D274</f>
        <v>2.9403140544891362</v>
      </c>
      <c r="K92">
        <f>Data!B272</f>
        <v>851.7200927734375</v>
      </c>
      <c r="L92" s="4">
        <f t="shared" si="14"/>
        <v>2.9891285094845843E-2</v>
      </c>
      <c r="M92">
        <f>Data!D272</f>
        <v>4.0091357231140137</v>
      </c>
      <c r="N92">
        <f t="shared" si="15"/>
        <v>851.7200927734375</v>
      </c>
      <c r="O92" s="4">
        <f t="shared" si="16"/>
        <v>2.9891285094845843E-2</v>
      </c>
      <c r="P92" t="str">
        <f t="shared" si="17"/>
        <v>vrp_100</v>
      </c>
      <c r="Q92">
        <f t="shared" si="18"/>
        <v>10.169124603271484</v>
      </c>
      <c r="R92" t="str">
        <f t="shared" si="19"/>
        <v>51-100</v>
      </c>
      <c r="S92" t="str">
        <f t="shared" si="20"/>
        <v>2-5%</v>
      </c>
      <c r="T92" t="str">
        <f t="shared" si="21"/>
        <v/>
      </c>
      <c r="U92">
        <f t="shared" si="22"/>
        <v>4.0091357231140137</v>
      </c>
      <c r="V92" s="4">
        <f t="shared" si="23"/>
        <v>0</v>
      </c>
    </row>
    <row r="93" spans="1:22">
      <c r="A93" t="s">
        <v>121</v>
      </c>
      <c r="B93" t="s">
        <v>144</v>
      </c>
      <c r="C93">
        <v>75</v>
      </c>
      <c r="D93">
        <f>Data!J275</f>
        <v>593</v>
      </c>
      <c r="E93">
        <f>Data!B277</f>
        <v>639.52166748046875</v>
      </c>
      <c r="F93" s="4">
        <f t="shared" si="12"/>
        <v>7.8451378550537632E-2</v>
      </c>
      <c r="G93">
        <f>Data!D277</f>
        <v>2.6638779640197749</v>
      </c>
      <c r="H93">
        <f>Data!B279</f>
        <v>639.4271240234375</v>
      </c>
      <c r="I93" s="4">
        <f t="shared" si="13"/>
        <v>7.8291946076623153E-2</v>
      </c>
      <c r="J93">
        <f>Data!D279</f>
        <v>3.257413387298584</v>
      </c>
      <c r="K93">
        <f>Data!B275</f>
        <v>643.5908203125</v>
      </c>
      <c r="L93" s="4">
        <f t="shared" si="14"/>
        <v>8.5313356344856706E-2</v>
      </c>
      <c r="M93">
        <f>Data!D275</f>
        <v>4.3511836528778076</v>
      </c>
      <c r="N93">
        <f t="shared" si="15"/>
        <v>639.4271240234375</v>
      </c>
      <c r="O93" s="4">
        <f t="shared" si="16"/>
        <v>7.8291946076623153E-2</v>
      </c>
      <c r="P93" t="str">
        <f t="shared" si="17"/>
        <v>vrp_50</v>
      </c>
      <c r="Q93">
        <f t="shared" si="18"/>
        <v>10.272475004196167</v>
      </c>
      <c r="R93" t="str">
        <f t="shared" si="19"/>
        <v>51-100</v>
      </c>
      <c r="S93" t="str">
        <f t="shared" si="20"/>
        <v>5-10%</v>
      </c>
      <c r="T93" t="str">
        <f t="shared" si="21"/>
        <v/>
      </c>
      <c r="U93">
        <f t="shared" si="22"/>
        <v>3.257413387298584</v>
      </c>
      <c r="V93" s="4">
        <f t="shared" si="23"/>
        <v>7.0214102682335522E-3</v>
      </c>
    </row>
    <row r="94" spans="1:22">
      <c r="A94" t="s">
        <v>121</v>
      </c>
      <c r="B94" t="s">
        <v>145</v>
      </c>
      <c r="C94">
        <v>75</v>
      </c>
      <c r="D94">
        <f>Data!J276</f>
        <v>627</v>
      </c>
      <c r="E94">
        <f>Data!B278</f>
        <v>651.7451171875</v>
      </c>
      <c r="F94" s="4">
        <f t="shared" si="12"/>
        <v>3.9465896630781483E-2</v>
      </c>
      <c r="G94">
        <f>Data!D278</f>
        <v>2.6638779640197749</v>
      </c>
      <c r="H94">
        <f>Data!B280</f>
        <v>645.711181640625</v>
      </c>
      <c r="I94" s="4">
        <f t="shared" si="13"/>
        <v>2.9842394961124397E-2</v>
      </c>
      <c r="J94">
        <f>Data!D280</f>
        <v>3.257413387298584</v>
      </c>
      <c r="K94">
        <f>Data!B276</f>
        <v>665.95635986328125</v>
      </c>
      <c r="L94" s="4">
        <f t="shared" si="14"/>
        <v>6.2131355443829639E-2</v>
      </c>
      <c r="M94">
        <f>Data!D276</f>
        <v>4.3511836528778076</v>
      </c>
      <c r="N94">
        <f t="shared" si="15"/>
        <v>645.711181640625</v>
      </c>
      <c r="O94" s="4">
        <f t="shared" si="16"/>
        <v>2.9842394961124397E-2</v>
      </c>
      <c r="P94" t="str">
        <f t="shared" si="17"/>
        <v>vrp_50</v>
      </c>
      <c r="Q94">
        <f t="shared" si="18"/>
        <v>10.272475004196167</v>
      </c>
      <c r="R94" t="str">
        <f t="shared" si="19"/>
        <v>51-100</v>
      </c>
      <c r="S94" t="str">
        <f t="shared" si="20"/>
        <v>2-5%</v>
      </c>
      <c r="T94" t="str">
        <f t="shared" si="21"/>
        <v/>
      </c>
      <c r="U94">
        <f t="shared" si="22"/>
        <v>3.257413387298584</v>
      </c>
      <c r="V94" s="4">
        <f t="shared" si="23"/>
        <v>3.2288960482705242E-2</v>
      </c>
    </row>
    <row r="95" spans="1:22">
      <c r="A95" t="s">
        <v>146</v>
      </c>
      <c r="B95" t="s">
        <v>147</v>
      </c>
      <c r="C95">
        <v>100</v>
      </c>
      <c r="D95">
        <f>Data!J281</f>
        <v>2041.34</v>
      </c>
      <c r="E95">
        <f>Data!B285</f>
        <v>2234.52734375</v>
      </c>
      <c r="F95" s="4">
        <f t="shared" si="12"/>
        <v>9.4637514451291871E-2</v>
      </c>
      <c r="G95">
        <f>Data!D285</f>
        <v>6.432598352432251</v>
      </c>
      <c r="H95">
        <f>Data!B289</f>
        <v>2180.067626953125</v>
      </c>
      <c r="I95" s="4">
        <f t="shared" si="13"/>
        <v>6.7959098902252935E-2</v>
      </c>
      <c r="J95">
        <f>Data!D289</f>
        <v>5.4946568012237549</v>
      </c>
      <c r="K95">
        <f>Data!B281</f>
        <v>2209.54541015625</v>
      </c>
      <c r="L95" s="4">
        <f t="shared" si="14"/>
        <v>8.2399507262998828E-2</v>
      </c>
      <c r="M95">
        <f>Data!D281</f>
        <v>5.0155410766601563</v>
      </c>
      <c r="N95">
        <f t="shared" si="15"/>
        <v>2180.067626953125</v>
      </c>
      <c r="O95" s="4">
        <f t="shared" si="16"/>
        <v>6.7959098902252935E-2</v>
      </c>
      <c r="P95" t="str">
        <f t="shared" si="17"/>
        <v>vrp_50</v>
      </c>
      <c r="Q95">
        <f t="shared" si="18"/>
        <v>16.942796230316162</v>
      </c>
      <c r="R95" t="str">
        <f t="shared" si="19"/>
        <v>51-100</v>
      </c>
      <c r="S95" t="str">
        <f t="shared" si="20"/>
        <v>5-10%</v>
      </c>
      <c r="T95" t="str">
        <f t="shared" si="21"/>
        <v/>
      </c>
      <c r="U95">
        <f t="shared" si="22"/>
        <v>5.4946568012237549</v>
      </c>
      <c r="V95" s="4">
        <f t="shared" si="23"/>
        <v>1.4440408360745893E-2</v>
      </c>
    </row>
    <row r="96" spans="1:22">
      <c r="A96" t="s">
        <v>146</v>
      </c>
      <c r="B96" t="s">
        <v>148</v>
      </c>
      <c r="C96">
        <v>100</v>
      </c>
      <c r="D96">
        <f>Data!J282</f>
        <v>1939.9</v>
      </c>
      <c r="E96">
        <f>Data!B286</f>
        <v>2221.20458984375</v>
      </c>
      <c r="F96" s="4">
        <f t="shared" si="12"/>
        <v>0.14500984063289346</v>
      </c>
      <c r="G96">
        <f>Data!D286</f>
        <v>6.432598352432251</v>
      </c>
      <c r="H96">
        <f>Data!B290</f>
        <v>2017.516357421875</v>
      </c>
      <c r="I96" s="4">
        <f t="shared" si="13"/>
        <v>4.0010494057361123E-2</v>
      </c>
      <c r="J96">
        <f>Data!D290</f>
        <v>5.4946568012237549</v>
      </c>
      <c r="K96">
        <f>Data!B282</f>
        <v>2085.147216796875</v>
      </c>
      <c r="L96" s="4">
        <f t="shared" si="14"/>
        <v>7.4873558841628274E-2</v>
      </c>
      <c r="M96">
        <f>Data!D282</f>
        <v>5.0155410766601563</v>
      </c>
      <c r="N96">
        <f t="shared" si="15"/>
        <v>2017.516357421875</v>
      </c>
      <c r="O96" s="4">
        <f t="shared" si="16"/>
        <v>4.0010494057361123E-2</v>
      </c>
      <c r="P96" t="str">
        <f t="shared" si="17"/>
        <v>vrp_50</v>
      </c>
      <c r="Q96">
        <f t="shared" si="18"/>
        <v>16.942796230316162</v>
      </c>
      <c r="R96" t="str">
        <f t="shared" si="19"/>
        <v>51-100</v>
      </c>
      <c r="S96" t="str">
        <f t="shared" si="20"/>
        <v>2-5%</v>
      </c>
      <c r="T96" t="str">
        <f t="shared" si="21"/>
        <v/>
      </c>
      <c r="U96">
        <f t="shared" si="22"/>
        <v>5.4946568012237549</v>
      </c>
      <c r="V96" s="4">
        <f t="shared" si="23"/>
        <v>3.486306478426715E-2</v>
      </c>
    </row>
    <row r="97" spans="1:22">
      <c r="A97" t="s">
        <v>146</v>
      </c>
      <c r="B97" t="s">
        <v>149</v>
      </c>
      <c r="C97">
        <v>100</v>
      </c>
      <c r="D97">
        <f>Data!J283</f>
        <v>1406.2</v>
      </c>
      <c r="E97">
        <f>Data!B287</f>
        <v>1546.947875976562</v>
      </c>
      <c r="F97" s="4">
        <f t="shared" si="12"/>
        <v>0.1000909372611023</v>
      </c>
      <c r="G97">
        <f>Data!D287</f>
        <v>6.432598352432251</v>
      </c>
      <c r="H97">
        <f>Data!B291</f>
        <v>1531.841430664062</v>
      </c>
      <c r="I97" s="4">
        <f t="shared" si="13"/>
        <v>8.9348194185792984E-2</v>
      </c>
      <c r="J97">
        <f>Data!D291</f>
        <v>5.4946568012237549</v>
      </c>
      <c r="K97">
        <f>Data!B283</f>
        <v>1506.185668945312</v>
      </c>
      <c r="L97" s="4">
        <f t="shared" si="14"/>
        <v>7.1103448261493396E-2</v>
      </c>
      <c r="M97">
        <f>Data!D283</f>
        <v>5.0155410766601563</v>
      </c>
      <c r="N97">
        <f t="shared" si="15"/>
        <v>1506.185668945312</v>
      </c>
      <c r="O97" s="4">
        <f t="shared" si="16"/>
        <v>7.1103448261493396E-2</v>
      </c>
      <c r="P97" t="str">
        <f t="shared" si="17"/>
        <v>vrp_100</v>
      </c>
      <c r="Q97">
        <f t="shared" si="18"/>
        <v>16.942796230316162</v>
      </c>
      <c r="R97" t="str">
        <f t="shared" si="19"/>
        <v>51-100</v>
      </c>
      <c r="S97" t="str">
        <f t="shared" si="20"/>
        <v>5-10%</v>
      </c>
      <c r="T97" t="str">
        <f t="shared" si="21"/>
        <v/>
      </c>
      <c r="U97">
        <f t="shared" si="22"/>
        <v>5.0155410766601563</v>
      </c>
      <c r="V97" s="4">
        <f t="shared" si="23"/>
        <v>0</v>
      </c>
    </row>
    <row r="98" spans="1:22">
      <c r="A98" t="s">
        <v>146</v>
      </c>
      <c r="B98" t="s">
        <v>150</v>
      </c>
      <c r="C98">
        <v>100</v>
      </c>
      <c r="D98">
        <f>Data!J284</f>
        <v>1580.46</v>
      </c>
      <c r="E98">
        <f>Data!B288</f>
        <v>1783.35693359375</v>
      </c>
      <c r="F98" s="4">
        <f t="shared" ref="F98:F161" si="24">IF(E98="","",IFERROR(E98/D98-1,""))</f>
        <v>0.12837840476427753</v>
      </c>
      <c r="G98">
        <f>Data!D288</f>
        <v>6.432598352432251</v>
      </c>
      <c r="H98">
        <f>Data!B292</f>
        <v>1680.028198242188</v>
      </c>
      <c r="I98" s="4">
        <f t="shared" ref="I98:I161" si="25">IF(H98="","",IFERROR(H98/D98-1,""))</f>
        <v>6.299950536058363E-2</v>
      </c>
      <c r="J98">
        <f>Data!D292</f>
        <v>5.4946568012237549</v>
      </c>
      <c r="K98">
        <f>Data!B284</f>
        <v>1756.475463867188</v>
      </c>
      <c r="L98" s="4">
        <f t="shared" ref="L98:L161" si="26">IF(K98="","",IFERROR(K98/D98-1,""))</f>
        <v>0.11136976821127265</v>
      </c>
      <c r="M98">
        <f>Data!D284</f>
        <v>5.0155410766601563</v>
      </c>
      <c r="N98">
        <f t="shared" ref="N98:N161" si="27">MIN(E98,H98,K98)</f>
        <v>1680.028198242188</v>
      </c>
      <c r="O98" s="4">
        <f t="shared" ref="O98:O161" si="28">MIN(F98,I98,L98)</f>
        <v>6.299950536058363E-2</v>
      </c>
      <c r="P98" t="str">
        <f t="shared" ref="P98:P161" si="29">IF(N98=E98,"vrp_20",IF(N98=H98,"vrp_50","vrp_100"))</f>
        <v>vrp_50</v>
      </c>
      <c r="Q98">
        <f t="shared" ref="Q98:Q161" si="30">SUM(G98,J98,M98)</f>
        <v>16.942796230316162</v>
      </c>
      <c r="R98" t="str">
        <f t="shared" ref="R98:R161" si="31">IF(C98&lt;=50,"≤50",IF(C98&lt;=100,"51-100",IF(C98&lt;=200,"101-200",IF(C98&lt;=500,"201-500","&gt;500"))))</f>
        <v>51-100</v>
      </c>
      <c r="S98" t="str">
        <f t="shared" ref="S98:S161" si="32">IF(O98&lt;=0,"≤0%",IF(O98&lt;=0.01,"0-1%",IF(O98&lt;=0.02,"1-2%",IF(O98&lt;=0.05,"2-5%",IF(O98&lt;=0.1,"5-10%","&gt;10%")))))</f>
        <v>5-10%</v>
      </c>
      <c r="T98" t="str">
        <f t="shared" ref="T98:T161" si="33">IF(O98&lt;0,"VERIFICAR: gap &lt; 0",IF(O98&gt;0.2,"ATENÇÃO: gap &gt; 20%",""))</f>
        <v/>
      </c>
      <c r="U98">
        <f t="shared" ref="U98:U161" si="34">IF(P98="vrp_20",G98,IF(P98="vrp_50",J98,M98))</f>
        <v>5.4946568012237549</v>
      </c>
      <c r="V98" s="4">
        <f t="shared" ref="V98:V161" si="35">L98-O98</f>
        <v>4.8370262850689016E-2</v>
      </c>
    </row>
    <row r="99" spans="1:22">
      <c r="A99" t="s">
        <v>146</v>
      </c>
      <c r="B99" t="s">
        <v>151</v>
      </c>
      <c r="C99">
        <v>150</v>
      </c>
      <c r="D99">
        <f>Data!J293</f>
        <v>3055.23</v>
      </c>
      <c r="E99">
        <f>Data!B297</f>
        <v>3427.09033203125</v>
      </c>
      <c r="F99" s="4">
        <f t="shared" si="24"/>
        <v>0.12171271296473596</v>
      </c>
      <c r="G99">
        <f>Data!D297</f>
        <v>10.67341470718384</v>
      </c>
      <c r="H99">
        <f>Data!B301</f>
        <v>3264.15673828125</v>
      </c>
      <c r="I99" s="4">
        <f t="shared" si="25"/>
        <v>6.8383309368279965E-2</v>
      </c>
      <c r="J99">
        <f>Data!D301</f>
        <v>8.8667840957641602</v>
      </c>
      <c r="K99">
        <f>Data!B293</f>
        <v>3416.070068359375</v>
      </c>
      <c r="L99" s="4">
        <f t="shared" si="26"/>
        <v>0.11810569690641137</v>
      </c>
      <c r="M99">
        <f>Data!D293</f>
        <v>7.6026151180267334</v>
      </c>
      <c r="N99">
        <f t="shared" si="27"/>
        <v>3264.15673828125</v>
      </c>
      <c r="O99" s="4">
        <f t="shared" si="28"/>
        <v>6.8383309368279965E-2</v>
      </c>
      <c r="P99" t="str">
        <f t="shared" si="29"/>
        <v>vrp_50</v>
      </c>
      <c r="Q99">
        <f t="shared" si="30"/>
        <v>27.142813920974731</v>
      </c>
      <c r="R99" t="str">
        <f t="shared" si="31"/>
        <v>101-200</v>
      </c>
      <c r="S99" t="str">
        <f t="shared" si="32"/>
        <v>5-10%</v>
      </c>
      <c r="T99" t="str">
        <f t="shared" si="33"/>
        <v/>
      </c>
      <c r="U99">
        <f t="shared" si="34"/>
        <v>8.8667840957641602</v>
      </c>
      <c r="V99" s="4">
        <f t="shared" si="35"/>
        <v>4.9722387538131407E-2</v>
      </c>
    </row>
    <row r="100" spans="1:22">
      <c r="A100" t="s">
        <v>146</v>
      </c>
      <c r="B100" t="s">
        <v>152</v>
      </c>
      <c r="C100">
        <v>150</v>
      </c>
      <c r="D100">
        <f>Data!J294</f>
        <v>2727.03</v>
      </c>
      <c r="E100">
        <f>Data!B298</f>
        <v>3157.62255859375</v>
      </c>
      <c r="F100" s="4">
        <f t="shared" si="24"/>
        <v>0.15789799107224711</v>
      </c>
      <c r="G100">
        <f>Data!D298</f>
        <v>10.67341470718384</v>
      </c>
      <c r="H100">
        <f>Data!B302</f>
        <v>2997.542724609375</v>
      </c>
      <c r="I100" s="4">
        <f t="shared" si="25"/>
        <v>9.9196827541088606E-2</v>
      </c>
      <c r="J100">
        <f>Data!D302</f>
        <v>8.8667840957641602</v>
      </c>
      <c r="K100">
        <f>Data!B294</f>
        <v>2854.696044921875</v>
      </c>
      <c r="L100" s="4">
        <f t="shared" si="26"/>
        <v>4.6815049677441989E-2</v>
      </c>
      <c r="M100">
        <f>Data!D294</f>
        <v>7.6026151180267334</v>
      </c>
      <c r="N100">
        <f t="shared" si="27"/>
        <v>2854.696044921875</v>
      </c>
      <c r="O100" s="4">
        <f t="shared" si="28"/>
        <v>4.6815049677441989E-2</v>
      </c>
      <c r="P100" t="str">
        <f t="shared" si="29"/>
        <v>vrp_100</v>
      </c>
      <c r="Q100">
        <f t="shared" si="30"/>
        <v>27.142813920974731</v>
      </c>
      <c r="R100" t="str">
        <f t="shared" si="31"/>
        <v>101-200</v>
      </c>
      <c r="S100" t="str">
        <f t="shared" si="32"/>
        <v>2-5%</v>
      </c>
      <c r="T100" t="str">
        <f t="shared" si="33"/>
        <v/>
      </c>
      <c r="U100">
        <f t="shared" si="34"/>
        <v>7.6026151180267334</v>
      </c>
      <c r="V100" s="4">
        <f t="shared" si="35"/>
        <v>0</v>
      </c>
    </row>
    <row r="101" spans="1:22">
      <c r="A101" t="s">
        <v>146</v>
      </c>
      <c r="B101" t="s">
        <v>153</v>
      </c>
      <c r="C101">
        <v>150</v>
      </c>
      <c r="D101">
        <f>Data!J295</f>
        <v>2358.66</v>
      </c>
      <c r="E101">
        <f>Data!B299</f>
        <v>2858.4697265625</v>
      </c>
      <c r="F101" s="4">
        <f t="shared" si="24"/>
        <v>0.21190410087189337</v>
      </c>
      <c r="G101">
        <f>Data!D299</f>
        <v>10.67341470718384</v>
      </c>
      <c r="H101">
        <f>Data!B303</f>
        <v>2590.2744140625</v>
      </c>
      <c r="I101" s="4">
        <f t="shared" si="25"/>
        <v>9.8197457057185078E-2</v>
      </c>
      <c r="J101">
        <f>Data!D303</f>
        <v>8.8667840957641602</v>
      </c>
      <c r="K101">
        <f>Data!B295</f>
        <v>2695.91455078125</v>
      </c>
      <c r="L101" s="4">
        <f t="shared" si="26"/>
        <v>0.14298565744161951</v>
      </c>
      <c r="M101">
        <f>Data!D295</f>
        <v>7.6026151180267334</v>
      </c>
      <c r="N101">
        <f t="shared" si="27"/>
        <v>2590.2744140625</v>
      </c>
      <c r="O101" s="4">
        <f t="shared" si="28"/>
        <v>9.8197457057185078E-2</v>
      </c>
      <c r="P101" t="str">
        <f t="shared" si="29"/>
        <v>vrp_50</v>
      </c>
      <c r="Q101">
        <f t="shared" si="30"/>
        <v>27.142813920974731</v>
      </c>
      <c r="R101" t="str">
        <f t="shared" si="31"/>
        <v>101-200</v>
      </c>
      <c r="S101" t="str">
        <f t="shared" si="32"/>
        <v>5-10%</v>
      </c>
      <c r="T101" t="str">
        <f t="shared" si="33"/>
        <v/>
      </c>
      <c r="U101">
        <f t="shared" si="34"/>
        <v>8.8667840957641602</v>
      </c>
      <c r="V101" s="4">
        <f t="shared" si="35"/>
        <v>4.4788200384434429E-2</v>
      </c>
    </row>
    <row r="102" spans="1:22">
      <c r="A102" t="s">
        <v>146</v>
      </c>
      <c r="B102" t="s">
        <v>154</v>
      </c>
      <c r="C102">
        <v>150</v>
      </c>
      <c r="D102">
        <f>Data!J296</f>
        <v>2645.39</v>
      </c>
      <c r="E102">
        <f>Data!B300</f>
        <v>3042.97216796875</v>
      </c>
      <c r="F102" s="4">
        <f t="shared" si="24"/>
        <v>0.15029245894508936</v>
      </c>
      <c r="G102">
        <f>Data!D300</f>
        <v>10.67341470718384</v>
      </c>
      <c r="H102">
        <f>Data!B304</f>
        <v>2821.7822265625</v>
      </c>
      <c r="I102" s="4">
        <f t="shared" si="25"/>
        <v>6.6679100836738669E-2</v>
      </c>
      <c r="J102">
        <f>Data!D304</f>
        <v>8.8667840957641602</v>
      </c>
      <c r="K102">
        <f>Data!B296</f>
        <v>2882.2734375</v>
      </c>
      <c r="L102" s="4">
        <f t="shared" si="26"/>
        <v>8.9545752233130216E-2</v>
      </c>
      <c r="M102">
        <f>Data!D296</f>
        <v>7.6026151180267334</v>
      </c>
      <c r="N102">
        <f t="shared" si="27"/>
        <v>2821.7822265625</v>
      </c>
      <c r="O102" s="4">
        <f t="shared" si="28"/>
        <v>6.6679100836738669E-2</v>
      </c>
      <c r="P102" t="str">
        <f t="shared" si="29"/>
        <v>vrp_50</v>
      </c>
      <c r="Q102">
        <f t="shared" si="30"/>
        <v>27.142813920974731</v>
      </c>
      <c r="R102" t="str">
        <f t="shared" si="31"/>
        <v>101-200</v>
      </c>
      <c r="S102" t="str">
        <f t="shared" si="32"/>
        <v>5-10%</v>
      </c>
      <c r="T102" t="str">
        <f t="shared" si="33"/>
        <v/>
      </c>
      <c r="U102">
        <f t="shared" si="34"/>
        <v>8.8667840957641602</v>
      </c>
      <c r="V102" s="4">
        <f t="shared" si="35"/>
        <v>2.2866651396391546E-2</v>
      </c>
    </row>
    <row r="103" spans="1:22">
      <c r="A103" t="s">
        <v>146</v>
      </c>
      <c r="B103" t="s">
        <v>155</v>
      </c>
      <c r="C103">
        <v>385</v>
      </c>
      <c r="D103">
        <f>Data!J305</f>
        <v>24366.413390000002</v>
      </c>
      <c r="E103">
        <f>Data!B306</f>
        <v>30542.87109375</v>
      </c>
      <c r="F103" s="4">
        <f t="shared" si="24"/>
        <v>0.25348243111909219</v>
      </c>
      <c r="G103">
        <f>Data!D306</f>
        <v>8.7125504016876221</v>
      </c>
      <c r="H103">
        <f>Data!B307</f>
        <v>27635.98046875</v>
      </c>
      <c r="I103" s="4">
        <f t="shared" si="25"/>
        <v>0.13418335421050642</v>
      </c>
      <c r="J103">
        <f>Data!D307</f>
        <v>8.9359960556030273</v>
      </c>
      <c r="K103">
        <f>Data!B305</f>
        <v>27976.40625</v>
      </c>
      <c r="L103" s="4">
        <f t="shared" si="26"/>
        <v>0.14815446172646585</v>
      </c>
      <c r="M103">
        <f>Data!D305</f>
        <v>8.2560060024261475</v>
      </c>
      <c r="N103">
        <f t="shared" si="27"/>
        <v>27635.98046875</v>
      </c>
      <c r="O103" s="4">
        <f t="shared" si="28"/>
        <v>0.13418335421050642</v>
      </c>
      <c r="P103" t="str">
        <f t="shared" si="29"/>
        <v>vrp_50</v>
      </c>
      <c r="Q103">
        <f t="shared" si="30"/>
        <v>25.904552459716797</v>
      </c>
      <c r="R103" t="str">
        <f t="shared" si="31"/>
        <v>201-500</v>
      </c>
      <c r="S103" t="str">
        <f t="shared" si="32"/>
        <v>&gt;10%</v>
      </c>
      <c r="T103" t="str">
        <f t="shared" si="33"/>
        <v/>
      </c>
      <c r="U103">
        <f t="shared" si="34"/>
        <v>8.9359960556030273</v>
      </c>
      <c r="V103" s="4">
        <f t="shared" si="35"/>
        <v>1.3971107515959424E-2</v>
      </c>
    </row>
    <row r="104" spans="1:22">
      <c r="A104" t="s">
        <v>146</v>
      </c>
      <c r="B104" t="s">
        <v>156</v>
      </c>
      <c r="C104">
        <v>75</v>
      </c>
      <c r="D104">
        <f>Data!J308</f>
        <v>1618.36</v>
      </c>
      <c r="E104">
        <f>Data!B312</f>
        <v>1817.166015625</v>
      </c>
      <c r="F104" s="4">
        <f t="shared" si="24"/>
        <v>0.12284412344904716</v>
      </c>
      <c r="G104">
        <f>Data!D312</f>
        <v>4.6849820613861084</v>
      </c>
      <c r="H104">
        <f>Data!B316</f>
        <v>1689.562744140625</v>
      </c>
      <c r="I104" s="4">
        <f t="shared" si="25"/>
        <v>4.3996851220139632E-2</v>
      </c>
      <c r="J104">
        <f>Data!D316</f>
        <v>4.0866899490356454</v>
      </c>
      <c r="K104">
        <f>Data!B308</f>
        <v>1715.228759765625</v>
      </c>
      <c r="L104" s="4">
        <f t="shared" si="26"/>
        <v>5.9856125809847782E-2</v>
      </c>
      <c r="M104">
        <f>Data!D308</f>
        <v>4.4883649349212646</v>
      </c>
      <c r="N104">
        <f t="shared" si="27"/>
        <v>1689.562744140625</v>
      </c>
      <c r="O104" s="4">
        <f t="shared" si="28"/>
        <v>4.3996851220139632E-2</v>
      </c>
      <c r="P104" t="str">
        <f t="shared" si="29"/>
        <v>vrp_50</v>
      </c>
      <c r="Q104">
        <f t="shared" si="30"/>
        <v>13.260036945343018</v>
      </c>
      <c r="R104" t="str">
        <f t="shared" si="31"/>
        <v>51-100</v>
      </c>
      <c r="S104" t="str">
        <f t="shared" si="32"/>
        <v>2-5%</v>
      </c>
      <c r="T104" t="str">
        <f t="shared" si="33"/>
        <v/>
      </c>
      <c r="U104">
        <f t="shared" si="34"/>
        <v>4.0866899490356454</v>
      </c>
      <c r="V104" s="4">
        <f t="shared" si="35"/>
        <v>1.585927458970815E-2</v>
      </c>
    </row>
    <row r="105" spans="1:22">
      <c r="A105" t="s">
        <v>146</v>
      </c>
      <c r="B105" t="s">
        <v>157</v>
      </c>
      <c r="C105">
        <v>75</v>
      </c>
      <c r="D105">
        <f>Data!J309</f>
        <v>1344.62</v>
      </c>
      <c r="E105">
        <f>Data!B313</f>
        <v>1471.28271484375</v>
      </c>
      <c r="F105" s="4">
        <f t="shared" si="24"/>
        <v>9.4199636212275673E-2</v>
      </c>
      <c r="G105">
        <f>Data!D313</f>
        <v>4.6849820613861084</v>
      </c>
      <c r="H105">
        <f>Data!B317</f>
        <v>1467.897705078125</v>
      </c>
      <c r="I105" s="4">
        <f t="shared" si="25"/>
        <v>9.1682189078048149E-2</v>
      </c>
      <c r="J105">
        <f>Data!D317</f>
        <v>4.0866899490356454</v>
      </c>
      <c r="K105">
        <f>Data!B309</f>
        <v>1435.428100585938</v>
      </c>
      <c r="L105" s="4">
        <f t="shared" si="26"/>
        <v>6.7534396770788874E-2</v>
      </c>
      <c r="M105">
        <f>Data!D309</f>
        <v>4.4883649349212646</v>
      </c>
      <c r="N105">
        <f t="shared" si="27"/>
        <v>1435.428100585938</v>
      </c>
      <c r="O105" s="4">
        <f t="shared" si="28"/>
        <v>6.7534396770788874E-2</v>
      </c>
      <c r="P105" t="str">
        <f t="shared" si="29"/>
        <v>vrp_100</v>
      </c>
      <c r="Q105">
        <f t="shared" si="30"/>
        <v>13.260036945343018</v>
      </c>
      <c r="R105" t="str">
        <f t="shared" si="31"/>
        <v>51-100</v>
      </c>
      <c r="S105" t="str">
        <f t="shared" si="32"/>
        <v>5-10%</v>
      </c>
      <c r="T105" t="str">
        <f t="shared" si="33"/>
        <v/>
      </c>
      <c r="U105">
        <f t="shared" si="34"/>
        <v>4.4883649349212646</v>
      </c>
      <c r="V105" s="4">
        <f t="shared" si="35"/>
        <v>0</v>
      </c>
    </row>
    <row r="106" spans="1:22">
      <c r="A106" t="s">
        <v>146</v>
      </c>
      <c r="B106" t="s">
        <v>158</v>
      </c>
      <c r="C106">
        <v>75</v>
      </c>
      <c r="D106">
        <f>Data!J310</f>
        <v>1291.01</v>
      </c>
      <c r="E106">
        <f>Data!B314</f>
        <v>1431.66845703125</v>
      </c>
      <c r="F106" s="4">
        <f t="shared" si="24"/>
        <v>0.10895225988276613</v>
      </c>
      <c r="G106">
        <f>Data!D314</f>
        <v>4.6849820613861084</v>
      </c>
      <c r="H106">
        <f>Data!B318</f>
        <v>1378.84130859375</v>
      </c>
      <c r="I106" s="4">
        <f t="shared" si="25"/>
        <v>6.803301956898089E-2</v>
      </c>
      <c r="J106">
        <f>Data!D318</f>
        <v>4.0866899490356454</v>
      </c>
      <c r="K106">
        <f>Data!B310</f>
        <v>1385.249755859375</v>
      </c>
      <c r="L106" s="4">
        <f t="shared" si="26"/>
        <v>7.2996921680990035E-2</v>
      </c>
      <c r="M106">
        <f>Data!D310</f>
        <v>4.4883649349212646</v>
      </c>
      <c r="N106">
        <f t="shared" si="27"/>
        <v>1378.84130859375</v>
      </c>
      <c r="O106" s="4">
        <f t="shared" si="28"/>
        <v>6.803301956898089E-2</v>
      </c>
      <c r="P106" t="str">
        <f t="shared" si="29"/>
        <v>vrp_50</v>
      </c>
      <c r="Q106">
        <f t="shared" si="30"/>
        <v>13.260036945343018</v>
      </c>
      <c r="R106" t="str">
        <f t="shared" si="31"/>
        <v>51-100</v>
      </c>
      <c r="S106" t="str">
        <f t="shared" si="32"/>
        <v>5-10%</v>
      </c>
      <c r="T106" t="str">
        <f t="shared" si="33"/>
        <v/>
      </c>
      <c r="U106">
        <f t="shared" si="34"/>
        <v>4.0866899490356454</v>
      </c>
      <c r="V106" s="4">
        <f t="shared" si="35"/>
        <v>4.9639021120091442E-3</v>
      </c>
    </row>
    <row r="107" spans="1:22">
      <c r="A107" t="s">
        <v>146</v>
      </c>
      <c r="B107" t="s">
        <v>159</v>
      </c>
      <c r="C107">
        <v>75</v>
      </c>
      <c r="D107">
        <f>Data!J311</f>
        <v>1365.42</v>
      </c>
      <c r="E107">
        <f>Data!B315</f>
        <v>1485.707275390625</v>
      </c>
      <c r="F107" s="4">
        <f t="shared" si="24"/>
        <v>8.8095439784553475E-2</v>
      </c>
      <c r="G107">
        <f>Data!D315</f>
        <v>4.6849820613861084</v>
      </c>
      <c r="H107">
        <f>Data!B319</f>
        <v>1476.924194335938</v>
      </c>
      <c r="I107" s="4">
        <f t="shared" si="25"/>
        <v>8.1662927403976626E-2</v>
      </c>
      <c r="J107">
        <f>Data!D319</f>
        <v>4.0866899490356454</v>
      </c>
      <c r="K107">
        <f>Data!B311</f>
        <v>1449.85498046875</v>
      </c>
      <c r="L107" s="4">
        <f t="shared" si="26"/>
        <v>6.1838101440399251E-2</v>
      </c>
      <c r="M107">
        <f>Data!D311</f>
        <v>4.4883649349212646</v>
      </c>
      <c r="N107">
        <f t="shared" si="27"/>
        <v>1449.85498046875</v>
      </c>
      <c r="O107" s="4">
        <f t="shared" si="28"/>
        <v>6.1838101440399251E-2</v>
      </c>
      <c r="P107" t="str">
        <f t="shared" si="29"/>
        <v>vrp_100</v>
      </c>
      <c r="Q107">
        <f t="shared" si="30"/>
        <v>13.260036945343018</v>
      </c>
      <c r="R107" t="str">
        <f t="shared" si="31"/>
        <v>51-100</v>
      </c>
      <c r="S107" t="str">
        <f t="shared" si="32"/>
        <v>5-10%</v>
      </c>
      <c r="T107" t="str">
        <f t="shared" si="33"/>
        <v/>
      </c>
      <c r="U107">
        <f t="shared" si="34"/>
        <v>4.4883649349212646</v>
      </c>
      <c r="V107" s="4">
        <f t="shared" si="35"/>
        <v>0</v>
      </c>
    </row>
    <row r="108" spans="1:22">
      <c r="A108" t="s">
        <v>160</v>
      </c>
      <c r="B108" t="s">
        <v>161</v>
      </c>
      <c r="C108">
        <v>1000</v>
      </c>
      <c r="D108">
        <f>Data!J322</f>
        <v>72355</v>
      </c>
      <c r="E108">
        <f>Data!B323</f>
        <v>97125.5078125</v>
      </c>
      <c r="F108" s="4">
        <f t="shared" si="24"/>
        <v>0.34234687046506806</v>
      </c>
      <c r="G108">
        <f>Data!D323</f>
        <v>5.4303090572357178</v>
      </c>
      <c r="H108">
        <f>Data!B324</f>
        <v>88881.3203125</v>
      </c>
      <c r="I108" s="4">
        <f t="shared" si="25"/>
        <v>0.22840605780526579</v>
      </c>
      <c r="J108">
        <f>Data!D324</f>
        <v>5.5322389602661133</v>
      </c>
      <c r="K108">
        <f>Data!B322</f>
        <v>81354.1015625</v>
      </c>
      <c r="L108" s="4">
        <f t="shared" si="26"/>
        <v>0.12437428736783906</v>
      </c>
      <c r="M108">
        <f>Data!D322</f>
        <v>6.9488761425018311</v>
      </c>
      <c r="N108">
        <f t="shared" si="27"/>
        <v>81354.1015625</v>
      </c>
      <c r="O108" s="4">
        <f t="shared" si="28"/>
        <v>0.12437428736783906</v>
      </c>
      <c r="P108" t="str">
        <f t="shared" si="29"/>
        <v>vrp_100</v>
      </c>
      <c r="Q108">
        <f t="shared" si="30"/>
        <v>17.911424160003662</v>
      </c>
      <c r="R108" t="str">
        <f t="shared" si="31"/>
        <v>&gt;500</v>
      </c>
      <c r="S108" t="str">
        <f t="shared" si="32"/>
        <v>&gt;10%</v>
      </c>
      <c r="T108" t="str">
        <f t="shared" si="33"/>
        <v/>
      </c>
      <c r="U108">
        <f t="shared" si="34"/>
        <v>6.9488761425018311</v>
      </c>
      <c r="V108" s="4">
        <f t="shared" si="35"/>
        <v>0</v>
      </c>
    </row>
    <row r="109" spans="1:22">
      <c r="A109" t="s">
        <v>160</v>
      </c>
      <c r="B109" t="s">
        <v>162</v>
      </c>
      <c r="C109">
        <v>100</v>
      </c>
      <c r="D109">
        <f>Data!J320</f>
        <v>27591</v>
      </c>
      <c r="E109" t="str">
        <f>""</f>
        <v/>
      </c>
      <c r="F109" s="4" t="str">
        <f t="shared" si="24"/>
        <v/>
      </c>
      <c r="G109" t="str">
        <f>""</f>
        <v/>
      </c>
      <c r="H109">
        <f>Data!B321</f>
        <v>29231.0703125</v>
      </c>
      <c r="I109" s="4">
        <f t="shared" si="25"/>
        <v>5.9442220742271124E-2</v>
      </c>
      <c r="J109">
        <f>Data!D321</f>
        <v>2.5173418521881099</v>
      </c>
      <c r="K109">
        <f>Data!B320</f>
        <v>29020.787109375</v>
      </c>
      <c r="L109" s="4">
        <f t="shared" si="26"/>
        <v>5.1820778854517746E-2</v>
      </c>
      <c r="M109">
        <f>Data!D320</f>
        <v>3.1529726982116699</v>
      </c>
      <c r="N109">
        <f t="shared" si="27"/>
        <v>29020.787109375</v>
      </c>
      <c r="O109" s="4">
        <f t="shared" si="28"/>
        <v>5.1820778854517746E-2</v>
      </c>
      <c r="P109" t="str">
        <f t="shared" si="29"/>
        <v>vrp_100</v>
      </c>
      <c r="Q109">
        <f t="shared" si="30"/>
        <v>5.6703145503997803</v>
      </c>
      <c r="R109" t="str">
        <f t="shared" si="31"/>
        <v>51-100</v>
      </c>
      <c r="S109" t="str">
        <f t="shared" si="32"/>
        <v>5-10%</v>
      </c>
      <c r="T109" t="str">
        <f t="shared" si="33"/>
        <v/>
      </c>
      <c r="U109">
        <f t="shared" si="34"/>
        <v>3.1529726982116699</v>
      </c>
      <c r="V109" s="4">
        <f t="shared" si="35"/>
        <v>0</v>
      </c>
    </row>
    <row r="110" spans="1:22">
      <c r="A110" t="s">
        <v>160</v>
      </c>
      <c r="B110" t="s">
        <v>163</v>
      </c>
      <c r="C110">
        <v>105</v>
      </c>
      <c r="D110">
        <f>Data!J325</f>
        <v>26362</v>
      </c>
      <c r="E110">
        <f>Data!B326</f>
        <v>28244.646484375</v>
      </c>
      <c r="F110" s="4">
        <f t="shared" si="24"/>
        <v>7.1415161382861747E-2</v>
      </c>
      <c r="G110">
        <f>Data!D326</f>
        <v>2.4233298301696782</v>
      </c>
      <c r="H110">
        <f>Data!B327</f>
        <v>27805.765625</v>
      </c>
      <c r="I110" s="4">
        <f t="shared" si="25"/>
        <v>5.476692303315378E-2</v>
      </c>
      <c r="J110">
        <f>Data!D327</f>
        <v>2.3826777935028081</v>
      </c>
      <c r="K110">
        <f>Data!B325</f>
        <v>27593.5546875</v>
      </c>
      <c r="L110" s="4">
        <f t="shared" si="26"/>
        <v>4.671704299749635E-2</v>
      </c>
      <c r="M110">
        <f>Data!D325</f>
        <v>2.5302269458770752</v>
      </c>
      <c r="N110">
        <f t="shared" si="27"/>
        <v>27593.5546875</v>
      </c>
      <c r="O110" s="4">
        <f t="shared" si="28"/>
        <v>4.671704299749635E-2</v>
      </c>
      <c r="P110" t="str">
        <f t="shared" si="29"/>
        <v>vrp_100</v>
      </c>
      <c r="Q110">
        <f t="shared" si="30"/>
        <v>7.3362345695495614</v>
      </c>
      <c r="R110" t="str">
        <f t="shared" si="31"/>
        <v>101-200</v>
      </c>
      <c r="S110" t="str">
        <f t="shared" si="32"/>
        <v>2-5%</v>
      </c>
      <c r="T110" t="str">
        <f t="shared" si="33"/>
        <v/>
      </c>
      <c r="U110">
        <f t="shared" si="34"/>
        <v>2.5302269458770752</v>
      </c>
      <c r="V110" s="4">
        <f t="shared" si="35"/>
        <v>0</v>
      </c>
    </row>
    <row r="111" spans="1:22">
      <c r="A111" t="s">
        <v>160</v>
      </c>
      <c r="B111" t="s">
        <v>164</v>
      </c>
      <c r="C111">
        <v>109</v>
      </c>
      <c r="D111">
        <f>Data!J328</f>
        <v>14971</v>
      </c>
      <c r="E111">
        <f>Data!B329</f>
        <v>16103.720703125</v>
      </c>
      <c r="F111" s="4">
        <f t="shared" si="24"/>
        <v>7.5660991458486482E-2</v>
      </c>
      <c r="G111">
        <f>Data!D329</f>
        <v>2.3583014011383061</v>
      </c>
      <c r="H111">
        <f>Data!B330</f>
        <v>15429.1142578125</v>
      </c>
      <c r="I111" s="4">
        <f t="shared" si="25"/>
        <v>3.0600110734920749E-2</v>
      </c>
      <c r="J111">
        <f>Data!D330</f>
        <v>2.533976554870605</v>
      </c>
      <c r="K111">
        <f>Data!B328</f>
        <v>15976.3984375</v>
      </c>
      <c r="L111" s="4">
        <f t="shared" si="26"/>
        <v>6.7156398203192857E-2</v>
      </c>
      <c r="M111">
        <f>Data!D328</f>
        <v>2.8020603656768799</v>
      </c>
      <c r="N111">
        <f t="shared" si="27"/>
        <v>15429.1142578125</v>
      </c>
      <c r="O111" s="4">
        <f t="shared" si="28"/>
        <v>3.0600110734920749E-2</v>
      </c>
      <c r="P111" t="str">
        <f t="shared" si="29"/>
        <v>vrp_50</v>
      </c>
      <c r="Q111">
        <f t="shared" si="30"/>
        <v>7.694338321685791</v>
      </c>
      <c r="R111" t="str">
        <f t="shared" si="31"/>
        <v>101-200</v>
      </c>
      <c r="S111" t="str">
        <f t="shared" si="32"/>
        <v>2-5%</v>
      </c>
      <c r="T111" t="str">
        <f t="shared" si="33"/>
        <v/>
      </c>
      <c r="U111">
        <f t="shared" si="34"/>
        <v>2.533976554870605</v>
      </c>
      <c r="V111" s="4">
        <f t="shared" si="35"/>
        <v>3.6556287468272108E-2</v>
      </c>
    </row>
    <row r="112" spans="1:22">
      <c r="A112" t="s">
        <v>160</v>
      </c>
      <c r="B112" t="s">
        <v>165</v>
      </c>
      <c r="C112">
        <v>114</v>
      </c>
      <c r="D112">
        <f>Data!J331</f>
        <v>12747</v>
      </c>
      <c r="E112">
        <f>Data!B332</f>
        <v>14899.201171875</v>
      </c>
      <c r="F112" s="4">
        <f t="shared" si="24"/>
        <v>0.16883981892798317</v>
      </c>
      <c r="G112">
        <f>Data!D332</f>
        <v>2.4981741905212398</v>
      </c>
      <c r="H112">
        <f>Data!B333</f>
        <v>13669.05859375</v>
      </c>
      <c r="I112" s="4">
        <f t="shared" si="25"/>
        <v>7.2335341158703992E-2</v>
      </c>
      <c r="J112">
        <f>Data!D333</f>
        <v>2.54282546043396</v>
      </c>
      <c r="K112">
        <f>Data!B331</f>
        <v>13247.17578125</v>
      </c>
      <c r="L112" s="4">
        <f t="shared" si="26"/>
        <v>3.9238705675845198E-2</v>
      </c>
      <c r="M112">
        <f>Data!D331</f>
        <v>3.1994597911834721</v>
      </c>
      <c r="N112">
        <f t="shared" si="27"/>
        <v>13247.17578125</v>
      </c>
      <c r="O112" s="4">
        <f t="shared" si="28"/>
        <v>3.9238705675845198E-2</v>
      </c>
      <c r="P112" t="str">
        <f t="shared" si="29"/>
        <v>vrp_100</v>
      </c>
      <c r="Q112">
        <f t="shared" si="30"/>
        <v>8.2404594421386719</v>
      </c>
      <c r="R112" t="str">
        <f t="shared" si="31"/>
        <v>101-200</v>
      </c>
      <c r="S112" t="str">
        <f t="shared" si="32"/>
        <v>2-5%</v>
      </c>
      <c r="T112" t="str">
        <f t="shared" si="33"/>
        <v/>
      </c>
      <c r="U112">
        <f t="shared" si="34"/>
        <v>3.1994597911834721</v>
      </c>
      <c r="V112" s="4">
        <f t="shared" si="35"/>
        <v>0</v>
      </c>
    </row>
    <row r="113" spans="1:22">
      <c r="A113" t="s">
        <v>160</v>
      </c>
      <c r="B113" t="s">
        <v>166</v>
      </c>
      <c r="C113">
        <v>119</v>
      </c>
      <c r="D113">
        <f>Data!J334</f>
        <v>13332</v>
      </c>
      <c r="E113">
        <f>Data!B335</f>
        <v>14154.4169921875</v>
      </c>
      <c r="F113" s="4">
        <f t="shared" si="24"/>
        <v>6.1687443158378263E-2</v>
      </c>
      <c r="G113">
        <f>Data!D335</f>
        <v>2.516220331192017</v>
      </c>
      <c r="H113">
        <f>Data!B336</f>
        <v>14056.76171875</v>
      </c>
      <c r="I113" s="4">
        <f t="shared" si="25"/>
        <v>5.4362565162766385E-2</v>
      </c>
      <c r="J113">
        <f>Data!D336</f>
        <v>3.1284632682800289</v>
      </c>
      <c r="K113">
        <f>Data!B334</f>
        <v>14186.419921875</v>
      </c>
      <c r="L113" s="4">
        <f t="shared" si="26"/>
        <v>6.4087902930918039E-2</v>
      </c>
      <c r="M113">
        <f>Data!D334</f>
        <v>3.5214982032775879</v>
      </c>
      <c r="N113">
        <f t="shared" si="27"/>
        <v>14056.76171875</v>
      </c>
      <c r="O113" s="4">
        <f t="shared" si="28"/>
        <v>5.4362565162766385E-2</v>
      </c>
      <c r="P113" t="str">
        <f t="shared" si="29"/>
        <v>vrp_50</v>
      </c>
      <c r="Q113">
        <f t="shared" si="30"/>
        <v>9.1661818027496338</v>
      </c>
      <c r="R113" t="str">
        <f t="shared" si="31"/>
        <v>101-200</v>
      </c>
      <c r="S113" t="str">
        <f t="shared" si="32"/>
        <v>5-10%</v>
      </c>
      <c r="T113" t="str">
        <f t="shared" si="33"/>
        <v/>
      </c>
      <c r="U113">
        <f t="shared" si="34"/>
        <v>3.1284632682800289</v>
      </c>
      <c r="V113" s="4">
        <f t="shared" si="35"/>
        <v>9.725337768151654E-3</v>
      </c>
    </row>
    <row r="114" spans="1:22">
      <c r="A114" t="s">
        <v>160</v>
      </c>
      <c r="B114" t="s">
        <v>167</v>
      </c>
      <c r="C114">
        <v>124</v>
      </c>
      <c r="D114">
        <f>Data!J337</f>
        <v>55539</v>
      </c>
      <c r="E114">
        <f>Data!B338</f>
        <v>58724.6640625</v>
      </c>
      <c r="F114" s="4">
        <f t="shared" si="24"/>
        <v>5.7359046120744051E-2</v>
      </c>
      <c r="G114">
        <f>Data!D338</f>
        <v>2.6921813488006592</v>
      </c>
      <c r="H114">
        <f>Data!B339</f>
        <v>59310.7578125</v>
      </c>
      <c r="I114" s="4">
        <f t="shared" si="25"/>
        <v>6.7911878364752765E-2</v>
      </c>
      <c r="J114">
        <f>Data!D339</f>
        <v>3.2816932201385498</v>
      </c>
      <c r="K114">
        <f>Data!B337</f>
        <v>59793.765625</v>
      </c>
      <c r="L114" s="4">
        <f t="shared" si="26"/>
        <v>7.6608610615963579E-2</v>
      </c>
      <c r="M114">
        <f>Data!D337</f>
        <v>2.865599393844604</v>
      </c>
      <c r="N114">
        <f t="shared" si="27"/>
        <v>58724.6640625</v>
      </c>
      <c r="O114" s="4">
        <f t="shared" si="28"/>
        <v>5.7359046120744051E-2</v>
      </c>
      <c r="P114" t="str">
        <f t="shared" si="29"/>
        <v>vrp_20</v>
      </c>
      <c r="Q114">
        <f t="shared" si="30"/>
        <v>8.8394739627838135</v>
      </c>
      <c r="R114" t="str">
        <f t="shared" si="31"/>
        <v>101-200</v>
      </c>
      <c r="S114" t="str">
        <f t="shared" si="32"/>
        <v>5-10%</v>
      </c>
      <c r="T114" t="str">
        <f t="shared" si="33"/>
        <v/>
      </c>
      <c r="U114">
        <f t="shared" si="34"/>
        <v>2.6921813488006592</v>
      </c>
      <c r="V114" s="4">
        <f t="shared" si="35"/>
        <v>1.9249564495219529E-2</v>
      </c>
    </row>
    <row r="115" spans="1:22">
      <c r="A115" t="s">
        <v>160</v>
      </c>
      <c r="B115" t="s">
        <v>168</v>
      </c>
      <c r="C115">
        <v>128</v>
      </c>
      <c r="D115">
        <f>Data!J340</f>
        <v>28940</v>
      </c>
      <c r="E115">
        <f>Data!B341</f>
        <v>31783.1015625</v>
      </c>
      <c r="F115" s="4">
        <f t="shared" si="24"/>
        <v>9.8241242657221894E-2</v>
      </c>
      <c r="G115">
        <f>Data!D341</f>
        <v>2.7846698760986328</v>
      </c>
      <c r="H115">
        <f>Data!B342</f>
        <v>30990.43359375</v>
      </c>
      <c r="I115" s="4">
        <f t="shared" si="25"/>
        <v>7.0851195361091968E-2</v>
      </c>
      <c r="J115">
        <f>Data!D342</f>
        <v>2.9598910808563228</v>
      </c>
      <c r="K115">
        <f>Data!B340</f>
        <v>30175.271484375</v>
      </c>
      <c r="L115" s="4">
        <f t="shared" si="26"/>
        <v>4.2683879902384314E-2</v>
      </c>
      <c r="M115">
        <f>Data!D340</f>
        <v>2.7600972652435298</v>
      </c>
      <c r="N115">
        <f t="shared" si="27"/>
        <v>30175.271484375</v>
      </c>
      <c r="O115" s="4">
        <f t="shared" si="28"/>
        <v>4.2683879902384314E-2</v>
      </c>
      <c r="P115" t="str">
        <f t="shared" si="29"/>
        <v>vrp_100</v>
      </c>
      <c r="Q115">
        <f t="shared" si="30"/>
        <v>8.5046582221984863</v>
      </c>
      <c r="R115" t="str">
        <f t="shared" si="31"/>
        <v>101-200</v>
      </c>
      <c r="S115" t="str">
        <f t="shared" si="32"/>
        <v>2-5%</v>
      </c>
      <c r="T115" t="str">
        <f t="shared" si="33"/>
        <v/>
      </c>
      <c r="U115">
        <f t="shared" si="34"/>
        <v>2.7600972652435298</v>
      </c>
      <c r="V115" s="4">
        <f t="shared" si="35"/>
        <v>0</v>
      </c>
    </row>
    <row r="116" spans="1:22">
      <c r="A116" t="s">
        <v>160</v>
      </c>
      <c r="B116" t="s">
        <v>169</v>
      </c>
      <c r="C116">
        <v>133</v>
      </c>
      <c r="D116">
        <f>Data!J343</f>
        <v>10916</v>
      </c>
      <c r="E116">
        <f>Data!B344</f>
        <v>12742.4970703125</v>
      </c>
      <c r="F116" s="4">
        <f t="shared" si="24"/>
        <v>0.16732292692492678</v>
      </c>
      <c r="G116">
        <f>Data!D344</f>
        <v>2.4842700958251949</v>
      </c>
      <c r="H116">
        <f>Data!B345</f>
        <v>12405.9921875</v>
      </c>
      <c r="I116" s="4">
        <f t="shared" si="25"/>
        <v>0.13649616961341149</v>
      </c>
      <c r="J116">
        <f>Data!D345</f>
        <v>2.9907104969024658</v>
      </c>
      <c r="K116">
        <f>Data!B343</f>
        <v>13229.8876953125</v>
      </c>
      <c r="L116" s="4">
        <f t="shared" si="26"/>
        <v>0.21197212305904167</v>
      </c>
      <c r="M116">
        <f>Data!D343</f>
        <v>2.883750438690186</v>
      </c>
      <c r="N116">
        <f t="shared" si="27"/>
        <v>12405.9921875</v>
      </c>
      <c r="O116" s="4">
        <f t="shared" si="28"/>
        <v>0.13649616961341149</v>
      </c>
      <c r="P116" t="str">
        <f t="shared" si="29"/>
        <v>vrp_50</v>
      </c>
      <c r="Q116">
        <f t="shared" si="30"/>
        <v>8.3587310314178467</v>
      </c>
      <c r="R116" t="str">
        <f t="shared" si="31"/>
        <v>101-200</v>
      </c>
      <c r="S116" t="str">
        <f t="shared" si="32"/>
        <v>&gt;10%</v>
      </c>
      <c r="T116" t="str">
        <f t="shared" si="33"/>
        <v/>
      </c>
      <c r="U116">
        <f t="shared" si="34"/>
        <v>2.9907104969024658</v>
      </c>
      <c r="V116" s="4">
        <f t="shared" si="35"/>
        <v>7.5475953445630184E-2</v>
      </c>
    </row>
    <row r="117" spans="1:22">
      <c r="A117" t="s">
        <v>160</v>
      </c>
      <c r="B117" t="s">
        <v>170</v>
      </c>
      <c r="C117">
        <v>138</v>
      </c>
      <c r="D117">
        <f>Data!J346</f>
        <v>13590</v>
      </c>
      <c r="E117">
        <f>Data!B347</f>
        <v>15305.93359375</v>
      </c>
      <c r="F117" s="4">
        <f t="shared" si="24"/>
        <v>0.12626442926784409</v>
      </c>
      <c r="G117">
        <f>Data!D347</f>
        <v>2.4199271202087398</v>
      </c>
      <c r="H117">
        <f>Data!B348</f>
        <v>14265.3125</v>
      </c>
      <c r="I117" s="4">
        <f t="shared" si="25"/>
        <v>4.9691869021339263E-2</v>
      </c>
      <c r="J117">
        <f>Data!D348</f>
        <v>2.835187435150146</v>
      </c>
      <c r="K117">
        <f>Data!B346</f>
        <v>13910.177734375</v>
      </c>
      <c r="L117" s="4">
        <f t="shared" si="26"/>
        <v>2.3559803853936634E-2</v>
      </c>
      <c r="M117">
        <f>Data!D346</f>
        <v>2.9841830730438228</v>
      </c>
      <c r="N117">
        <f t="shared" si="27"/>
        <v>13910.177734375</v>
      </c>
      <c r="O117" s="4">
        <f t="shared" si="28"/>
        <v>2.3559803853936634E-2</v>
      </c>
      <c r="P117" t="str">
        <f t="shared" si="29"/>
        <v>vrp_100</v>
      </c>
      <c r="Q117">
        <f t="shared" si="30"/>
        <v>8.2392976284027082</v>
      </c>
      <c r="R117" t="str">
        <f t="shared" si="31"/>
        <v>101-200</v>
      </c>
      <c r="S117" t="str">
        <f t="shared" si="32"/>
        <v>2-5%</v>
      </c>
      <c r="T117" t="str">
        <f t="shared" si="33"/>
        <v/>
      </c>
      <c r="U117">
        <f t="shared" si="34"/>
        <v>2.9841830730438228</v>
      </c>
      <c r="V117" s="4">
        <f t="shared" si="35"/>
        <v>0</v>
      </c>
    </row>
    <row r="118" spans="1:22">
      <c r="A118" t="s">
        <v>160</v>
      </c>
      <c r="B118" t="s">
        <v>171</v>
      </c>
      <c r="C118">
        <v>142</v>
      </c>
      <c r="D118">
        <f>Data!J349</f>
        <v>15700</v>
      </c>
      <c r="E118">
        <f>Data!B350</f>
        <v>17343.8125</v>
      </c>
      <c r="F118" s="4">
        <f t="shared" si="24"/>
        <v>0.10470143312101921</v>
      </c>
      <c r="G118">
        <f>Data!D350</f>
        <v>2.5166878700256352</v>
      </c>
      <c r="H118">
        <f>Data!B351</f>
        <v>16976.44140625</v>
      </c>
      <c r="I118" s="4">
        <f t="shared" si="25"/>
        <v>8.1302000398089103E-2</v>
      </c>
      <c r="J118">
        <f>Data!D351</f>
        <v>3.0653338432312012</v>
      </c>
      <c r="K118">
        <f>Data!B349</f>
        <v>16761.017578125</v>
      </c>
      <c r="L118" s="4">
        <f t="shared" si="26"/>
        <v>6.7580737460191109E-2</v>
      </c>
      <c r="M118">
        <f>Data!D349</f>
        <v>2.7659306526184082</v>
      </c>
      <c r="N118">
        <f t="shared" si="27"/>
        <v>16761.017578125</v>
      </c>
      <c r="O118" s="4">
        <f t="shared" si="28"/>
        <v>6.7580737460191109E-2</v>
      </c>
      <c r="P118" t="str">
        <f t="shared" si="29"/>
        <v>vrp_100</v>
      </c>
      <c r="Q118">
        <f t="shared" si="30"/>
        <v>8.3479523658752441</v>
      </c>
      <c r="R118" t="str">
        <f t="shared" si="31"/>
        <v>101-200</v>
      </c>
      <c r="S118" t="str">
        <f t="shared" si="32"/>
        <v>5-10%</v>
      </c>
      <c r="T118" t="str">
        <f t="shared" si="33"/>
        <v/>
      </c>
      <c r="U118">
        <f t="shared" si="34"/>
        <v>2.7659306526184082</v>
      </c>
      <c r="V118" s="4">
        <f t="shared" si="35"/>
        <v>0</v>
      </c>
    </row>
    <row r="119" spans="1:22">
      <c r="A119" t="s">
        <v>160</v>
      </c>
      <c r="B119" t="s">
        <v>172</v>
      </c>
      <c r="C119">
        <v>147</v>
      </c>
      <c r="D119">
        <f>Data!J352</f>
        <v>43448</v>
      </c>
      <c r="E119">
        <f>Data!B353</f>
        <v>47361.75</v>
      </c>
      <c r="F119" s="4">
        <f t="shared" si="24"/>
        <v>9.0078944945682249E-2</v>
      </c>
      <c r="G119">
        <f>Data!D353</f>
        <v>2.976193904876709</v>
      </c>
      <c r="H119">
        <f>Data!B354</f>
        <v>46901.234375</v>
      </c>
      <c r="I119" s="4">
        <f t="shared" si="25"/>
        <v>7.9479708502117496E-2</v>
      </c>
      <c r="J119">
        <f>Data!D354</f>
        <v>3.4172646999359131</v>
      </c>
      <c r="K119">
        <f>Data!B352</f>
        <v>46232.359375</v>
      </c>
      <c r="L119" s="4">
        <f t="shared" si="26"/>
        <v>6.4084868693610852E-2</v>
      </c>
      <c r="M119">
        <f>Data!D352</f>
        <v>3.0473871231079102</v>
      </c>
      <c r="N119">
        <f t="shared" si="27"/>
        <v>46232.359375</v>
      </c>
      <c r="O119" s="4">
        <f t="shared" si="28"/>
        <v>6.4084868693610852E-2</v>
      </c>
      <c r="P119" t="str">
        <f t="shared" si="29"/>
        <v>vrp_100</v>
      </c>
      <c r="Q119">
        <f t="shared" si="30"/>
        <v>9.4408457279205322</v>
      </c>
      <c r="R119" t="str">
        <f t="shared" si="31"/>
        <v>101-200</v>
      </c>
      <c r="S119" t="str">
        <f t="shared" si="32"/>
        <v>5-10%</v>
      </c>
      <c r="T119" t="str">
        <f t="shared" si="33"/>
        <v/>
      </c>
      <c r="U119">
        <f t="shared" si="34"/>
        <v>3.0473871231079102</v>
      </c>
      <c r="V119" s="4">
        <f t="shared" si="35"/>
        <v>0</v>
      </c>
    </row>
    <row r="120" spans="1:22">
      <c r="A120" t="s">
        <v>160</v>
      </c>
      <c r="B120" t="s">
        <v>173</v>
      </c>
      <c r="C120">
        <v>152</v>
      </c>
      <c r="D120">
        <f>Data!J355</f>
        <v>21220</v>
      </c>
      <c r="E120">
        <f>Data!B356</f>
        <v>24713.677734375</v>
      </c>
      <c r="F120" s="4">
        <f t="shared" si="24"/>
        <v>0.16464079803840725</v>
      </c>
      <c r="G120">
        <f>Data!D356</f>
        <v>2.84531569480896</v>
      </c>
      <c r="H120">
        <f>Data!B357</f>
        <v>23904.703125</v>
      </c>
      <c r="I120" s="4">
        <f t="shared" si="25"/>
        <v>0.12651758364750232</v>
      </c>
      <c r="J120">
        <f>Data!D357</f>
        <v>2.9758915901184082</v>
      </c>
      <c r="K120">
        <f>Data!B355</f>
        <v>24493.896484375</v>
      </c>
      <c r="L120" s="4">
        <f t="shared" si="26"/>
        <v>0.15428352895263897</v>
      </c>
      <c r="M120">
        <f>Data!D355</f>
        <v>3.177170991897583</v>
      </c>
      <c r="N120">
        <f t="shared" si="27"/>
        <v>23904.703125</v>
      </c>
      <c r="O120" s="4">
        <f t="shared" si="28"/>
        <v>0.12651758364750232</v>
      </c>
      <c r="P120" t="str">
        <f t="shared" si="29"/>
        <v>vrp_50</v>
      </c>
      <c r="Q120">
        <f t="shared" si="30"/>
        <v>8.9983782768249512</v>
      </c>
      <c r="R120" t="str">
        <f t="shared" si="31"/>
        <v>101-200</v>
      </c>
      <c r="S120" t="str">
        <f t="shared" si="32"/>
        <v>&gt;10%</v>
      </c>
      <c r="T120" t="str">
        <f t="shared" si="33"/>
        <v/>
      </c>
      <c r="U120">
        <f t="shared" si="34"/>
        <v>2.9758915901184082</v>
      </c>
      <c r="V120" s="4">
        <f t="shared" si="35"/>
        <v>2.7765945305136652E-2</v>
      </c>
    </row>
    <row r="121" spans="1:22">
      <c r="A121" t="s">
        <v>160</v>
      </c>
      <c r="B121" t="s">
        <v>174</v>
      </c>
      <c r="C121">
        <v>156</v>
      </c>
      <c r="D121">
        <f>Data!J358</f>
        <v>16876</v>
      </c>
      <c r="E121">
        <f>Data!B359</f>
        <v>17968.98828125</v>
      </c>
      <c r="F121" s="4">
        <f t="shared" si="24"/>
        <v>6.4765837950343741E-2</v>
      </c>
      <c r="G121">
        <f>Data!D359</f>
        <v>3.6104526519775391</v>
      </c>
      <c r="H121">
        <f>Data!B360</f>
        <v>18465.376953125</v>
      </c>
      <c r="I121" s="4">
        <f t="shared" si="25"/>
        <v>9.4179719905487014E-2</v>
      </c>
      <c r="J121">
        <f>Data!D360</f>
        <v>2.9412028789520259</v>
      </c>
      <c r="K121">
        <f>Data!B358</f>
        <v>17561.91015625</v>
      </c>
      <c r="L121" s="4">
        <f t="shared" si="26"/>
        <v>4.064411923737854E-2</v>
      </c>
      <c r="M121">
        <f>Data!D358</f>
        <v>2.8514387607574458</v>
      </c>
      <c r="N121">
        <f t="shared" si="27"/>
        <v>17561.91015625</v>
      </c>
      <c r="O121" s="4">
        <f t="shared" si="28"/>
        <v>4.064411923737854E-2</v>
      </c>
      <c r="P121" t="str">
        <f t="shared" si="29"/>
        <v>vrp_100</v>
      </c>
      <c r="Q121">
        <f t="shared" si="30"/>
        <v>9.4030942916870117</v>
      </c>
      <c r="R121" t="str">
        <f t="shared" si="31"/>
        <v>101-200</v>
      </c>
      <c r="S121" t="str">
        <f t="shared" si="32"/>
        <v>2-5%</v>
      </c>
      <c r="T121" t="str">
        <f t="shared" si="33"/>
        <v/>
      </c>
      <c r="U121">
        <f t="shared" si="34"/>
        <v>2.8514387607574458</v>
      </c>
      <c r="V121" s="4">
        <f t="shared" si="35"/>
        <v>0</v>
      </c>
    </row>
    <row r="122" spans="1:22">
      <c r="A122" t="s">
        <v>160</v>
      </c>
      <c r="B122" t="s">
        <v>175</v>
      </c>
      <c r="C122">
        <v>161</v>
      </c>
      <c r="D122">
        <f>Data!J361</f>
        <v>14138</v>
      </c>
      <c r="E122">
        <f>Data!B362</f>
        <v>15997.55859375</v>
      </c>
      <c r="F122" s="4">
        <f t="shared" si="24"/>
        <v>0.13152911258664601</v>
      </c>
      <c r="G122">
        <f>Data!D362</f>
        <v>3.8141853809356689</v>
      </c>
      <c r="H122">
        <f>Data!B363</f>
        <v>14798.640625</v>
      </c>
      <c r="I122" s="4">
        <f t="shared" si="25"/>
        <v>4.6728011387749291E-2</v>
      </c>
      <c r="J122">
        <f>Data!D363</f>
        <v>3.2272195816040039</v>
      </c>
      <c r="K122">
        <f>Data!B361</f>
        <v>14804.3310546875</v>
      </c>
      <c r="L122" s="4">
        <f t="shared" si="26"/>
        <v>4.7130503231539222E-2</v>
      </c>
      <c r="M122">
        <f>Data!D361</f>
        <v>2.7990691661834721</v>
      </c>
      <c r="N122">
        <f t="shared" si="27"/>
        <v>14798.640625</v>
      </c>
      <c r="O122" s="4">
        <f t="shared" si="28"/>
        <v>4.6728011387749291E-2</v>
      </c>
      <c r="P122" t="str">
        <f t="shared" si="29"/>
        <v>vrp_50</v>
      </c>
      <c r="Q122">
        <f t="shared" si="30"/>
        <v>9.8404741287231445</v>
      </c>
      <c r="R122" t="str">
        <f t="shared" si="31"/>
        <v>101-200</v>
      </c>
      <c r="S122" t="str">
        <f t="shared" si="32"/>
        <v>2-5%</v>
      </c>
      <c r="T122" t="str">
        <f t="shared" si="33"/>
        <v/>
      </c>
      <c r="U122">
        <f t="shared" si="34"/>
        <v>3.2272195816040039</v>
      </c>
      <c r="V122" s="4">
        <f t="shared" si="35"/>
        <v>4.0249184378993164E-4</v>
      </c>
    </row>
    <row r="123" spans="1:22">
      <c r="A123" t="s">
        <v>160</v>
      </c>
      <c r="B123" t="s">
        <v>176</v>
      </c>
      <c r="C123">
        <v>166</v>
      </c>
      <c r="D123">
        <f>Data!J364</f>
        <v>20557</v>
      </c>
      <c r="E123">
        <f>Data!B365</f>
        <v>22863.935546875</v>
      </c>
      <c r="F123" s="4">
        <f t="shared" si="24"/>
        <v>0.11222141104611572</v>
      </c>
      <c r="G123">
        <f>Data!D365</f>
        <v>3.5636358261108398</v>
      </c>
      <c r="H123">
        <f>Data!B366</f>
        <v>21928.103515625</v>
      </c>
      <c r="I123" s="4">
        <f t="shared" si="25"/>
        <v>6.6697646330933447E-2</v>
      </c>
      <c r="J123">
        <f>Data!D366</f>
        <v>3.1979658603668208</v>
      </c>
      <c r="K123">
        <f>Data!B364</f>
        <v>21263.21484375</v>
      </c>
      <c r="L123" s="4">
        <f t="shared" si="26"/>
        <v>3.4353983740331717E-2</v>
      </c>
      <c r="M123">
        <f>Data!D364</f>
        <v>2.926738023757935</v>
      </c>
      <c r="N123">
        <f t="shared" si="27"/>
        <v>21263.21484375</v>
      </c>
      <c r="O123" s="4">
        <f t="shared" si="28"/>
        <v>3.4353983740331717E-2</v>
      </c>
      <c r="P123" t="str">
        <f t="shared" si="29"/>
        <v>vrp_100</v>
      </c>
      <c r="Q123">
        <f t="shared" si="30"/>
        <v>9.6883397102355957</v>
      </c>
      <c r="R123" t="str">
        <f t="shared" si="31"/>
        <v>101-200</v>
      </c>
      <c r="S123" t="str">
        <f t="shared" si="32"/>
        <v>2-5%</v>
      </c>
      <c r="T123" t="str">
        <f t="shared" si="33"/>
        <v/>
      </c>
      <c r="U123">
        <f t="shared" si="34"/>
        <v>2.926738023757935</v>
      </c>
      <c r="V123" s="4">
        <f t="shared" si="35"/>
        <v>0</v>
      </c>
    </row>
    <row r="124" spans="1:22">
      <c r="A124" t="s">
        <v>160</v>
      </c>
      <c r="B124" t="s">
        <v>177</v>
      </c>
      <c r="C124">
        <v>171</v>
      </c>
      <c r="D124">
        <f>Data!J367</f>
        <v>45607</v>
      </c>
      <c r="E124">
        <f>Data!B368</f>
        <v>52379.5859375</v>
      </c>
      <c r="F124" s="4">
        <f t="shared" si="24"/>
        <v>0.14849882556405825</v>
      </c>
      <c r="G124">
        <f>Data!D368</f>
        <v>3.7383155822753911</v>
      </c>
      <c r="H124">
        <f>Data!B369</f>
        <v>48325.8984375</v>
      </c>
      <c r="I124" s="4">
        <f t="shared" si="25"/>
        <v>5.9615814184226013E-2</v>
      </c>
      <c r="J124">
        <f>Data!D369</f>
        <v>3.191984891891479</v>
      </c>
      <c r="K124">
        <f>Data!B367</f>
        <v>48232.6328125</v>
      </c>
      <c r="L124" s="4">
        <f t="shared" si="26"/>
        <v>5.7570829313482674E-2</v>
      </c>
      <c r="M124">
        <f>Data!D367</f>
        <v>2.819195032119751</v>
      </c>
      <c r="N124">
        <f t="shared" si="27"/>
        <v>48232.6328125</v>
      </c>
      <c r="O124" s="4">
        <f t="shared" si="28"/>
        <v>5.7570829313482674E-2</v>
      </c>
      <c r="P124" t="str">
        <f t="shared" si="29"/>
        <v>vrp_100</v>
      </c>
      <c r="Q124">
        <f t="shared" si="30"/>
        <v>9.7494955062866211</v>
      </c>
      <c r="R124" t="str">
        <f t="shared" si="31"/>
        <v>101-200</v>
      </c>
      <c r="S124" t="str">
        <f t="shared" si="32"/>
        <v>5-10%</v>
      </c>
      <c r="T124" t="str">
        <f t="shared" si="33"/>
        <v/>
      </c>
      <c r="U124">
        <f t="shared" si="34"/>
        <v>2.819195032119751</v>
      </c>
      <c r="V124" s="4">
        <f t="shared" si="35"/>
        <v>0</v>
      </c>
    </row>
    <row r="125" spans="1:22">
      <c r="A125" t="s">
        <v>160</v>
      </c>
      <c r="B125" t="s">
        <v>178</v>
      </c>
      <c r="C125">
        <v>175</v>
      </c>
      <c r="D125">
        <f>Data!J370</f>
        <v>47812</v>
      </c>
      <c r="E125">
        <f>Data!B371</f>
        <v>53101.046875</v>
      </c>
      <c r="F125" s="4">
        <f t="shared" si="24"/>
        <v>0.11062174506400058</v>
      </c>
      <c r="G125">
        <f>Data!D371</f>
        <v>3.6918590068817139</v>
      </c>
      <c r="H125">
        <f>Data!B372</f>
        <v>52753.44921875</v>
      </c>
      <c r="I125" s="4">
        <f t="shared" si="25"/>
        <v>0.10335165269702173</v>
      </c>
      <c r="J125">
        <f>Data!D372</f>
        <v>2.894199132919312</v>
      </c>
      <c r="K125">
        <f>Data!B370</f>
        <v>52005.74609375</v>
      </c>
      <c r="L125" s="4">
        <f t="shared" si="26"/>
        <v>8.7713253864092788E-2</v>
      </c>
      <c r="M125">
        <f>Data!D370</f>
        <v>2.9111089706420898</v>
      </c>
      <c r="N125">
        <f t="shared" si="27"/>
        <v>52005.74609375</v>
      </c>
      <c r="O125" s="4">
        <f t="shared" si="28"/>
        <v>8.7713253864092788E-2</v>
      </c>
      <c r="P125" t="str">
        <f t="shared" si="29"/>
        <v>vrp_100</v>
      </c>
      <c r="Q125">
        <f t="shared" si="30"/>
        <v>9.4971671104431152</v>
      </c>
      <c r="R125" t="str">
        <f t="shared" si="31"/>
        <v>101-200</v>
      </c>
      <c r="S125" t="str">
        <f t="shared" si="32"/>
        <v>5-10%</v>
      </c>
      <c r="T125" t="str">
        <f t="shared" si="33"/>
        <v/>
      </c>
      <c r="U125">
        <f t="shared" si="34"/>
        <v>2.9111089706420898</v>
      </c>
      <c r="V125" s="4">
        <f t="shared" si="35"/>
        <v>0</v>
      </c>
    </row>
    <row r="126" spans="1:22">
      <c r="A126" t="s">
        <v>160</v>
      </c>
      <c r="B126" t="s">
        <v>179</v>
      </c>
      <c r="C126">
        <v>180</v>
      </c>
      <c r="D126">
        <f>Data!J373</f>
        <v>25569</v>
      </c>
      <c r="E126">
        <f>Data!B374</f>
        <v>28498.939453125</v>
      </c>
      <c r="F126" s="4">
        <f t="shared" si="24"/>
        <v>0.11458952063533956</v>
      </c>
      <c r="G126">
        <f>Data!D374</f>
        <v>3.8984417915344238</v>
      </c>
      <c r="H126">
        <f>Data!B375</f>
        <v>27221.1328125</v>
      </c>
      <c r="I126" s="4">
        <f t="shared" si="25"/>
        <v>6.4614682330165429E-2</v>
      </c>
      <c r="J126">
        <f>Data!D375</f>
        <v>3.1294634342193599</v>
      </c>
      <c r="K126">
        <f>Data!B373</f>
        <v>26706.982421875</v>
      </c>
      <c r="L126" s="4">
        <f t="shared" si="26"/>
        <v>4.4506332741796717E-2</v>
      </c>
      <c r="M126">
        <f>Data!D373</f>
        <v>2.942287921905518</v>
      </c>
      <c r="N126">
        <f t="shared" si="27"/>
        <v>26706.982421875</v>
      </c>
      <c r="O126" s="4">
        <f t="shared" si="28"/>
        <v>4.4506332741796717E-2</v>
      </c>
      <c r="P126" t="str">
        <f t="shared" si="29"/>
        <v>vrp_100</v>
      </c>
      <c r="Q126">
        <f t="shared" si="30"/>
        <v>9.9701931476593018</v>
      </c>
      <c r="R126" t="str">
        <f t="shared" si="31"/>
        <v>101-200</v>
      </c>
      <c r="S126" t="str">
        <f t="shared" si="32"/>
        <v>2-5%</v>
      </c>
      <c r="T126" t="str">
        <f t="shared" si="33"/>
        <v/>
      </c>
      <c r="U126">
        <f t="shared" si="34"/>
        <v>2.942287921905518</v>
      </c>
      <c r="V126" s="4">
        <f t="shared" si="35"/>
        <v>0</v>
      </c>
    </row>
    <row r="127" spans="1:22">
      <c r="A127" t="s">
        <v>160</v>
      </c>
      <c r="B127" t="s">
        <v>180</v>
      </c>
      <c r="C127">
        <v>185</v>
      </c>
      <c r="D127">
        <f>Data!J376</f>
        <v>24145</v>
      </c>
      <c r="E127">
        <f>Data!B377</f>
        <v>27552.349609375</v>
      </c>
      <c r="F127" s="4">
        <f t="shared" si="24"/>
        <v>0.14112029858666397</v>
      </c>
      <c r="G127">
        <f>Data!D377</f>
        <v>3.1884555816650391</v>
      </c>
      <c r="H127">
        <f>Data!B378</f>
        <v>26227.91796875</v>
      </c>
      <c r="I127" s="4">
        <f t="shared" si="25"/>
        <v>8.6267051925864591E-2</v>
      </c>
      <c r="J127">
        <f>Data!D378</f>
        <v>3.596325159072876</v>
      </c>
      <c r="K127">
        <f>Data!B376</f>
        <v>25280.94140625</v>
      </c>
      <c r="L127" s="4">
        <f t="shared" si="26"/>
        <v>4.7046651739490519E-2</v>
      </c>
      <c r="M127">
        <f>Data!D376</f>
        <v>3.0207886695861821</v>
      </c>
      <c r="N127">
        <f t="shared" si="27"/>
        <v>25280.94140625</v>
      </c>
      <c r="O127" s="4">
        <f t="shared" si="28"/>
        <v>4.7046651739490519E-2</v>
      </c>
      <c r="P127" t="str">
        <f t="shared" si="29"/>
        <v>vrp_100</v>
      </c>
      <c r="Q127">
        <f t="shared" si="30"/>
        <v>9.8055694103240967</v>
      </c>
      <c r="R127" t="str">
        <f t="shared" si="31"/>
        <v>101-200</v>
      </c>
      <c r="S127" t="str">
        <f t="shared" si="32"/>
        <v>2-5%</v>
      </c>
      <c r="T127" t="str">
        <f t="shared" si="33"/>
        <v/>
      </c>
      <c r="U127">
        <f t="shared" si="34"/>
        <v>3.0207886695861821</v>
      </c>
      <c r="V127" s="4">
        <f t="shared" si="35"/>
        <v>0</v>
      </c>
    </row>
    <row r="128" spans="1:22">
      <c r="A128" t="s">
        <v>160</v>
      </c>
      <c r="B128" t="s">
        <v>181</v>
      </c>
      <c r="C128">
        <v>189</v>
      </c>
      <c r="D128">
        <f>Data!J379</f>
        <v>16980</v>
      </c>
      <c r="E128">
        <f>Data!B380</f>
        <v>20524.53125</v>
      </c>
      <c r="F128" s="4">
        <f t="shared" si="24"/>
        <v>0.2087474234393405</v>
      </c>
      <c r="G128">
        <f>Data!D380</f>
        <v>2.8822264671325679</v>
      </c>
      <c r="H128">
        <f>Data!B381</f>
        <v>18513.65625</v>
      </c>
      <c r="I128" s="4">
        <f t="shared" si="25"/>
        <v>9.0321333922261493E-2</v>
      </c>
      <c r="J128">
        <f>Data!D381</f>
        <v>3.54680347442627</v>
      </c>
      <c r="K128">
        <f>Data!B379</f>
        <v>22275.271484375</v>
      </c>
      <c r="L128" s="4">
        <f t="shared" si="26"/>
        <v>0.31185344430948181</v>
      </c>
      <c r="M128">
        <f>Data!D379</f>
        <v>2.8577826023101811</v>
      </c>
      <c r="N128">
        <f t="shared" si="27"/>
        <v>18513.65625</v>
      </c>
      <c r="O128" s="4">
        <f t="shared" si="28"/>
        <v>9.0321333922261493E-2</v>
      </c>
      <c r="P128" t="str">
        <f t="shared" si="29"/>
        <v>vrp_50</v>
      </c>
      <c r="Q128">
        <f t="shared" si="30"/>
        <v>9.2868125438690186</v>
      </c>
      <c r="R128" t="str">
        <f t="shared" si="31"/>
        <v>101-200</v>
      </c>
      <c r="S128" t="str">
        <f t="shared" si="32"/>
        <v>5-10%</v>
      </c>
      <c r="T128" t="str">
        <f t="shared" si="33"/>
        <v/>
      </c>
      <c r="U128">
        <f t="shared" si="34"/>
        <v>3.54680347442627</v>
      </c>
      <c r="V128" s="4">
        <f t="shared" si="35"/>
        <v>0.22153211038722032</v>
      </c>
    </row>
    <row r="129" spans="1:22">
      <c r="A129" t="s">
        <v>160</v>
      </c>
      <c r="B129" t="s">
        <v>182</v>
      </c>
      <c r="C129">
        <v>194</v>
      </c>
      <c r="D129">
        <f>Data!J382</f>
        <v>44225</v>
      </c>
      <c r="E129">
        <f>Data!B383</f>
        <v>50015.98828125</v>
      </c>
      <c r="F129" s="4">
        <f t="shared" si="24"/>
        <v>0.13094377119841716</v>
      </c>
      <c r="G129">
        <f>Data!D383</f>
        <v>2.9985697269439702</v>
      </c>
      <c r="H129">
        <f>Data!B384</f>
        <v>47871.125</v>
      </c>
      <c r="I129" s="4">
        <f t="shared" si="25"/>
        <v>8.2444884115319361E-2</v>
      </c>
      <c r="J129">
        <f>Data!D384</f>
        <v>4.356764554977417</v>
      </c>
      <c r="K129">
        <f>Data!B382</f>
        <v>47396.60546875</v>
      </c>
      <c r="L129" s="4">
        <f t="shared" si="26"/>
        <v>7.1715216930469117E-2</v>
      </c>
      <c r="M129">
        <f>Data!D382</f>
        <v>2.908354520797729</v>
      </c>
      <c r="N129">
        <f t="shared" si="27"/>
        <v>47396.60546875</v>
      </c>
      <c r="O129" s="4">
        <f t="shared" si="28"/>
        <v>7.1715216930469117E-2</v>
      </c>
      <c r="P129" t="str">
        <f t="shared" si="29"/>
        <v>vrp_100</v>
      </c>
      <c r="Q129">
        <f t="shared" si="30"/>
        <v>10.263688802719116</v>
      </c>
      <c r="R129" t="str">
        <f t="shared" si="31"/>
        <v>101-200</v>
      </c>
      <c r="S129" t="str">
        <f t="shared" si="32"/>
        <v>5-10%</v>
      </c>
      <c r="T129" t="str">
        <f t="shared" si="33"/>
        <v/>
      </c>
      <c r="U129">
        <f t="shared" si="34"/>
        <v>2.908354520797729</v>
      </c>
      <c r="V129" s="4">
        <f t="shared" si="35"/>
        <v>0</v>
      </c>
    </row>
    <row r="130" spans="1:22">
      <c r="A130" t="s">
        <v>160</v>
      </c>
      <c r="B130" t="s">
        <v>183</v>
      </c>
      <c r="C130">
        <v>199</v>
      </c>
      <c r="D130">
        <f>Data!J385</f>
        <v>58578</v>
      </c>
      <c r="E130">
        <f>Data!B386</f>
        <v>64761.484375</v>
      </c>
      <c r="F130" s="4">
        <f t="shared" si="24"/>
        <v>0.10555984115196826</v>
      </c>
      <c r="G130">
        <f>Data!D386</f>
        <v>2.857083797454834</v>
      </c>
      <c r="H130">
        <f>Data!B387</f>
        <v>63825.24609375</v>
      </c>
      <c r="I130" s="4">
        <f t="shared" si="25"/>
        <v>8.9577078318652026E-2</v>
      </c>
      <c r="J130">
        <f>Data!D387</f>
        <v>3.948622465133667</v>
      </c>
      <c r="K130">
        <f>Data!B385</f>
        <v>61851.05859375</v>
      </c>
      <c r="L130" s="4">
        <f t="shared" si="26"/>
        <v>5.5875219258936903E-2</v>
      </c>
      <c r="M130">
        <f>Data!D385</f>
        <v>3.2957367897033691</v>
      </c>
      <c r="N130">
        <f t="shared" si="27"/>
        <v>61851.05859375</v>
      </c>
      <c r="O130" s="4">
        <f t="shared" si="28"/>
        <v>5.5875219258936903E-2</v>
      </c>
      <c r="P130" t="str">
        <f t="shared" si="29"/>
        <v>vrp_100</v>
      </c>
      <c r="Q130">
        <f t="shared" si="30"/>
        <v>10.10144305229187</v>
      </c>
      <c r="R130" t="str">
        <f t="shared" si="31"/>
        <v>101-200</v>
      </c>
      <c r="S130" t="str">
        <f t="shared" si="32"/>
        <v>5-10%</v>
      </c>
      <c r="T130" t="str">
        <f t="shared" si="33"/>
        <v/>
      </c>
      <c r="U130">
        <f t="shared" si="34"/>
        <v>3.2957367897033691</v>
      </c>
      <c r="V130" s="4">
        <f t="shared" si="35"/>
        <v>0</v>
      </c>
    </row>
    <row r="131" spans="1:22">
      <c r="A131" t="s">
        <v>160</v>
      </c>
      <c r="B131" t="s">
        <v>184</v>
      </c>
      <c r="C131">
        <v>203</v>
      </c>
      <c r="D131">
        <f>Data!J388</f>
        <v>19565</v>
      </c>
      <c r="E131">
        <f>Data!B389</f>
        <v>24211.58984375</v>
      </c>
      <c r="F131" s="4">
        <f t="shared" si="24"/>
        <v>0.23749500862509576</v>
      </c>
      <c r="G131">
        <f>Data!D389</f>
        <v>2.7884633541107182</v>
      </c>
      <c r="H131">
        <f>Data!B390</f>
        <v>21690.8984375</v>
      </c>
      <c r="I131" s="4">
        <f t="shared" si="25"/>
        <v>0.10865823856376178</v>
      </c>
      <c r="J131">
        <f>Data!D390</f>
        <v>3.1318075656890869</v>
      </c>
      <c r="K131">
        <f>Data!B388</f>
        <v>20772.09375</v>
      </c>
      <c r="L131" s="4">
        <f t="shared" si="26"/>
        <v>6.1696588295425459E-2</v>
      </c>
      <c r="M131">
        <f>Data!D388</f>
        <v>3.0405113697052002</v>
      </c>
      <c r="N131">
        <f t="shared" si="27"/>
        <v>20772.09375</v>
      </c>
      <c r="O131" s="4">
        <f t="shared" si="28"/>
        <v>6.1696588295425459E-2</v>
      </c>
      <c r="P131" t="str">
        <f t="shared" si="29"/>
        <v>vrp_100</v>
      </c>
      <c r="Q131">
        <f t="shared" si="30"/>
        <v>8.9607822895050049</v>
      </c>
      <c r="R131" t="str">
        <f t="shared" si="31"/>
        <v>201-500</v>
      </c>
      <c r="S131" t="str">
        <f t="shared" si="32"/>
        <v>5-10%</v>
      </c>
      <c r="T131" t="str">
        <f t="shared" si="33"/>
        <v/>
      </c>
      <c r="U131">
        <f t="shared" si="34"/>
        <v>3.0405113697052002</v>
      </c>
      <c r="V131" s="4">
        <f t="shared" si="35"/>
        <v>0</v>
      </c>
    </row>
    <row r="132" spans="1:22">
      <c r="A132" t="s">
        <v>160</v>
      </c>
      <c r="B132" t="s">
        <v>185</v>
      </c>
      <c r="C132">
        <v>208</v>
      </c>
      <c r="D132">
        <f>Data!J391</f>
        <v>30656</v>
      </c>
      <c r="E132">
        <f>Data!B392</f>
        <v>34496.6953125</v>
      </c>
      <c r="F132" s="4">
        <f t="shared" si="24"/>
        <v>0.12528364145681103</v>
      </c>
      <c r="G132">
        <f>Data!D392</f>
        <v>2.9890346527099609</v>
      </c>
      <c r="H132">
        <f>Data!B393</f>
        <v>33356.3359375</v>
      </c>
      <c r="I132" s="4">
        <f t="shared" si="25"/>
        <v>8.8085071030140849E-2</v>
      </c>
      <c r="J132">
        <f>Data!D393</f>
        <v>3.414584875106812</v>
      </c>
      <c r="K132">
        <f>Data!B391</f>
        <v>32232.44140625</v>
      </c>
      <c r="L132" s="4">
        <f t="shared" si="26"/>
        <v>5.1423584494063146E-2</v>
      </c>
      <c r="M132">
        <f>Data!D391</f>
        <v>2.999078750610352</v>
      </c>
      <c r="N132">
        <f t="shared" si="27"/>
        <v>32232.44140625</v>
      </c>
      <c r="O132" s="4">
        <f t="shared" si="28"/>
        <v>5.1423584494063146E-2</v>
      </c>
      <c r="P132" t="str">
        <f t="shared" si="29"/>
        <v>vrp_100</v>
      </c>
      <c r="Q132">
        <f t="shared" si="30"/>
        <v>9.402698278427124</v>
      </c>
      <c r="R132" t="str">
        <f t="shared" si="31"/>
        <v>201-500</v>
      </c>
      <c r="S132" t="str">
        <f t="shared" si="32"/>
        <v>5-10%</v>
      </c>
      <c r="T132" t="str">
        <f t="shared" si="33"/>
        <v/>
      </c>
      <c r="U132">
        <f t="shared" si="34"/>
        <v>2.999078750610352</v>
      </c>
      <c r="V132" s="4">
        <f t="shared" si="35"/>
        <v>0</v>
      </c>
    </row>
    <row r="133" spans="1:22">
      <c r="A133" t="s">
        <v>160</v>
      </c>
      <c r="B133" t="s">
        <v>186</v>
      </c>
      <c r="C133">
        <v>213</v>
      </c>
      <c r="D133">
        <f>Data!J394</f>
        <v>10856</v>
      </c>
      <c r="E133">
        <f>Data!B395</f>
        <v>12668.8876953125</v>
      </c>
      <c r="F133" s="4">
        <f t="shared" si="24"/>
        <v>0.16699407657631715</v>
      </c>
      <c r="G133">
        <f>Data!D395</f>
        <v>2.8549997806549068</v>
      </c>
      <c r="H133">
        <f>Data!B396</f>
        <v>12110.4580078125</v>
      </c>
      <c r="I133" s="4">
        <f t="shared" si="25"/>
        <v>0.1155543485457351</v>
      </c>
      <c r="J133">
        <f>Data!D396</f>
        <v>4.5860707759857178</v>
      </c>
      <c r="K133">
        <f>Data!B394</f>
        <v>12246.341796875</v>
      </c>
      <c r="L133" s="4">
        <f t="shared" si="26"/>
        <v>0.1280712782677782</v>
      </c>
      <c r="M133">
        <f>Data!D394</f>
        <v>2.8210866451263432</v>
      </c>
      <c r="N133">
        <f t="shared" si="27"/>
        <v>12110.4580078125</v>
      </c>
      <c r="O133" s="4">
        <f t="shared" si="28"/>
        <v>0.1155543485457351</v>
      </c>
      <c r="P133" t="str">
        <f t="shared" si="29"/>
        <v>vrp_50</v>
      </c>
      <c r="Q133">
        <f t="shared" si="30"/>
        <v>10.262157201766968</v>
      </c>
      <c r="R133" t="str">
        <f t="shared" si="31"/>
        <v>201-500</v>
      </c>
      <c r="S133" t="str">
        <f t="shared" si="32"/>
        <v>&gt;10%</v>
      </c>
      <c r="T133" t="str">
        <f t="shared" si="33"/>
        <v/>
      </c>
      <c r="U133">
        <f t="shared" si="34"/>
        <v>4.5860707759857178</v>
      </c>
      <c r="V133" s="4">
        <f t="shared" si="35"/>
        <v>1.2516929722043102E-2</v>
      </c>
    </row>
    <row r="134" spans="1:22">
      <c r="A134" t="s">
        <v>160</v>
      </c>
      <c r="B134" t="s">
        <v>187</v>
      </c>
      <c r="C134">
        <v>218</v>
      </c>
      <c r="D134">
        <f>Data!J397</f>
        <v>117595</v>
      </c>
      <c r="E134">
        <f>Data!B398</f>
        <v>125546.65625</v>
      </c>
      <c r="F134" s="4">
        <f t="shared" si="24"/>
        <v>6.7618999532293111E-2</v>
      </c>
      <c r="G134">
        <f>Data!D398</f>
        <v>2.9022202491760249</v>
      </c>
      <c r="H134">
        <f>Data!B399</f>
        <v>123208.6171875</v>
      </c>
      <c r="I134" s="4">
        <f t="shared" si="25"/>
        <v>4.7736869658573822E-2</v>
      </c>
      <c r="J134">
        <f>Data!D399</f>
        <v>4.8679237365722656</v>
      </c>
      <c r="K134">
        <f>Data!B397</f>
        <v>123850.515625</v>
      </c>
      <c r="L134" s="4">
        <f t="shared" si="26"/>
        <v>5.3195421786640606E-2</v>
      </c>
      <c r="M134">
        <f>Data!D397</f>
        <v>4.3583226203918457</v>
      </c>
      <c r="N134">
        <f t="shared" si="27"/>
        <v>123208.6171875</v>
      </c>
      <c r="O134" s="4">
        <f t="shared" si="28"/>
        <v>4.7736869658573822E-2</v>
      </c>
      <c r="P134" t="str">
        <f t="shared" si="29"/>
        <v>vrp_50</v>
      </c>
      <c r="Q134">
        <f t="shared" si="30"/>
        <v>12.128466606140137</v>
      </c>
      <c r="R134" t="str">
        <f t="shared" si="31"/>
        <v>201-500</v>
      </c>
      <c r="S134" t="str">
        <f t="shared" si="32"/>
        <v>2-5%</v>
      </c>
      <c r="T134" t="str">
        <f t="shared" si="33"/>
        <v/>
      </c>
      <c r="U134">
        <f t="shared" si="34"/>
        <v>4.8679237365722656</v>
      </c>
      <c r="V134" s="4">
        <f t="shared" si="35"/>
        <v>5.4585521280667848E-3</v>
      </c>
    </row>
    <row r="135" spans="1:22">
      <c r="A135" t="s">
        <v>160</v>
      </c>
      <c r="B135" t="s">
        <v>188</v>
      </c>
      <c r="C135">
        <v>222</v>
      </c>
      <c r="D135">
        <f>Data!J400</f>
        <v>40437</v>
      </c>
      <c r="E135">
        <f>Data!B401</f>
        <v>46769.546875</v>
      </c>
      <c r="F135" s="4">
        <f t="shared" si="24"/>
        <v>0.15660278643321712</v>
      </c>
      <c r="G135">
        <f>Data!D401</f>
        <v>2.8676459789276119</v>
      </c>
      <c r="H135">
        <f>Data!B402</f>
        <v>44301.26953125</v>
      </c>
      <c r="I135" s="4">
        <f t="shared" si="25"/>
        <v>9.5562715613175975E-2</v>
      </c>
      <c r="J135">
        <f>Data!D402</f>
        <v>3.0671882629394531</v>
      </c>
      <c r="K135">
        <f>Data!B400</f>
        <v>43060.7265625</v>
      </c>
      <c r="L135" s="4">
        <f t="shared" si="26"/>
        <v>6.4884303051660597E-2</v>
      </c>
      <c r="M135">
        <f>Data!D400</f>
        <v>2.898733377456665</v>
      </c>
      <c r="N135">
        <f t="shared" si="27"/>
        <v>43060.7265625</v>
      </c>
      <c r="O135" s="4">
        <f t="shared" si="28"/>
        <v>6.4884303051660597E-2</v>
      </c>
      <c r="P135" t="str">
        <f t="shared" si="29"/>
        <v>vrp_100</v>
      </c>
      <c r="Q135">
        <f t="shared" si="30"/>
        <v>8.8335676193237305</v>
      </c>
      <c r="R135" t="str">
        <f t="shared" si="31"/>
        <v>201-500</v>
      </c>
      <c r="S135" t="str">
        <f t="shared" si="32"/>
        <v>5-10%</v>
      </c>
      <c r="T135" t="str">
        <f t="shared" si="33"/>
        <v/>
      </c>
      <c r="U135">
        <f t="shared" si="34"/>
        <v>2.898733377456665</v>
      </c>
      <c r="V135" s="4">
        <f t="shared" si="35"/>
        <v>0</v>
      </c>
    </row>
    <row r="136" spans="1:22">
      <c r="A136" t="s">
        <v>160</v>
      </c>
      <c r="B136" t="s">
        <v>189</v>
      </c>
      <c r="C136">
        <v>227</v>
      </c>
      <c r="D136">
        <f>Data!J403</f>
        <v>25742</v>
      </c>
      <c r="E136">
        <f>Data!B404</f>
        <v>30493.74609375</v>
      </c>
      <c r="F136" s="4">
        <f t="shared" si="24"/>
        <v>0.18459117759886556</v>
      </c>
      <c r="G136">
        <f>Data!D404</f>
        <v>2.9179141521453862</v>
      </c>
      <c r="H136">
        <f>Data!B405</f>
        <v>28943.828125</v>
      </c>
      <c r="I136" s="4">
        <f t="shared" si="25"/>
        <v>0.12438148259653481</v>
      </c>
      <c r="J136">
        <f>Data!D405</f>
        <v>2.6909670829772949</v>
      </c>
      <c r="K136">
        <f>Data!B403</f>
        <v>28574.484375</v>
      </c>
      <c r="L136" s="4">
        <f t="shared" si="26"/>
        <v>0.11003357839328731</v>
      </c>
      <c r="M136">
        <f>Data!D403</f>
        <v>2.9750523567199711</v>
      </c>
      <c r="N136">
        <f t="shared" si="27"/>
        <v>28574.484375</v>
      </c>
      <c r="O136" s="4">
        <f t="shared" si="28"/>
        <v>0.11003357839328731</v>
      </c>
      <c r="P136" t="str">
        <f t="shared" si="29"/>
        <v>vrp_100</v>
      </c>
      <c r="Q136">
        <f t="shared" si="30"/>
        <v>8.5839335918426514</v>
      </c>
      <c r="R136" t="str">
        <f t="shared" si="31"/>
        <v>201-500</v>
      </c>
      <c r="S136" t="str">
        <f t="shared" si="32"/>
        <v>&gt;10%</v>
      </c>
      <c r="T136" t="str">
        <f t="shared" si="33"/>
        <v/>
      </c>
      <c r="U136">
        <f t="shared" si="34"/>
        <v>2.9750523567199711</v>
      </c>
      <c r="V136" s="4">
        <f t="shared" si="35"/>
        <v>0</v>
      </c>
    </row>
    <row r="137" spans="1:22">
      <c r="A137" t="s">
        <v>160</v>
      </c>
      <c r="B137" t="s">
        <v>190</v>
      </c>
      <c r="C137">
        <v>232</v>
      </c>
      <c r="D137">
        <f>Data!J406</f>
        <v>19230</v>
      </c>
      <c r="E137">
        <f>Data!B407</f>
        <v>23526.509765625</v>
      </c>
      <c r="F137" s="4">
        <f t="shared" si="24"/>
        <v>0.22342744491029642</v>
      </c>
      <c r="G137">
        <f>Data!D407</f>
        <v>2.865298748016357</v>
      </c>
      <c r="H137">
        <f>Data!B408</f>
        <v>21264.91015625</v>
      </c>
      <c r="I137" s="4">
        <f t="shared" si="25"/>
        <v>0.10581956090743638</v>
      </c>
      <c r="J137">
        <f>Data!D408</f>
        <v>2.6445860862731929</v>
      </c>
      <c r="K137">
        <f>Data!B406</f>
        <v>20535.39453125</v>
      </c>
      <c r="L137" s="4">
        <f t="shared" si="26"/>
        <v>6.7883230954238094E-2</v>
      </c>
      <c r="M137">
        <f>Data!D406</f>
        <v>3.0079867839813228</v>
      </c>
      <c r="N137">
        <f t="shared" si="27"/>
        <v>20535.39453125</v>
      </c>
      <c r="O137" s="4">
        <f t="shared" si="28"/>
        <v>6.7883230954238094E-2</v>
      </c>
      <c r="P137" t="str">
        <f t="shared" si="29"/>
        <v>vrp_100</v>
      </c>
      <c r="Q137">
        <f t="shared" si="30"/>
        <v>8.5178716182708722</v>
      </c>
      <c r="R137" t="str">
        <f t="shared" si="31"/>
        <v>201-500</v>
      </c>
      <c r="S137" t="str">
        <f t="shared" si="32"/>
        <v>5-10%</v>
      </c>
      <c r="T137" t="str">
        <f t="shared" si="33"/>
        <v/>
      </c>
      <c r="U137">
        <f t="shared" si="34"/>
        <v>3.0079867839813228</v>
      </c>
      <c r="V137" s="4">
        <f t="shared" si="35"/>
        <v>0</v>
      </c>
    </row>
    <row r="138" spans="1:22">
      <c r="A138" t="s">
        <v>160</v>
      </c>
      <c r="B138" t="s">
        <v>191</v>
      </c>
      <c r="C138">
        <v>236</v>
      </c>
      <c r="D138">
        <f>Data!J409</f>
        <v>27042</v>
      </c>
      <c r="E138">
        <f>Data!B410</f>
        <v>31373.623046875</v>
      </c>
      <c r="F138" s="4">
        <f t="shared" si="24"/>
        <v>0.16018131228736787</v>
      </c>
      <c r="G138">
        <f>Data!D410</f>
        <v>2.916808128356934</v>
      </c>
      <c r="H138">
        <f>Data!B411</f>
        <v>30054.109375</v>
      </c>
      <c r="I138" s="4">
        <f t="shared" si="25"/>
        <v>0.11138633884328075</v>
      </c>
      <c r="J138">
        <f>Data!D411</f>
        <v>2.725008487701416</v>
      </c>
      <c r="K138">
        <f>Data!B409</f>
        <v>29881.72265625</v>
      </c>
      <c r="L138" s="4">
        <f t="shared" si="26"/>
        <v>0.1050115618759706</v>
      </c>
      <c r="M138">
        <f>Data!D409</f>
        <v>3.1015603542327881</v>
      </c>
      <c r="N138">
        <f t="shared" si="27"/>
        <v>29881.72265625</v>
      </c>
      <c r="O138" s="4">
        <f t="shared" si="28"/>
        <v>0.1050115618759706</v>
      </c>
      <c r="P138" t="str">
        <f t="shared" si="29"/>
        <v>vrp_100</v>
      </c>
      <c r="Q138">
        <f t="shared" si="30"/>
        <v>8.7433769702911377</v>
      </c>
      <c r="R138" t="str">
        <f t="shared" si="31"/>
        <v>201-500</v>
      </c>
      <c r="S138" t="str">
        <f t="shared" si="32"/>
        <v>&gt;10%</v>
      </c>
      <c r="T138" t="str">
        <f t="shared" si="33"/>
        <v/>
      </c>
      <c r="U138">
        <f t="shared" si="34"/>
        <v>3.1015603542327881</v>
      </c>
      <c r="V138" s="4">
        <f t="shared" si="35"/>
        <v>0</v>
      </c>
    </row>
    <row r="139" spans="1:22">
      <c r="A139" t="s">
        <v>160</v>
      </c>
      <c r="B139" t="s">
        <v>192</v>
      </c>
      <c r="C139">
        <v>241</v>
      </c>
      <c r="D139">
        <f>Data!J412</f>
        <v>82751</v>
      </c>
      <c r="E139">
        <f>Data!B413</f>
        <v>91174.140625</v>
      </c>
      <c r="F139" s="4">
        <f t="shared" si="24"/>
        <v>0.10178898895481625</v>
      </c>
      <c r="G139">
        <f>Data!D413</f>
        <v>2.9754459857940669</v>
      </c>
      <c r="H139">
        <f>Data!B414</f>
        <v>89121.234375</v>
      </c>
      <c r="I139" s="4">
        <f t="shared" si="25"/>
        <v>7.6980754009015051E-2</v>
      </c>
      <c r="J139">
        <f>Data!D414</f>
        <v>3.5712027549743648</v>
      </c>
      <c r="K139">
        <f>Data!B412</f>
        <v>88205.375</v>
      </c>
      <c r="L139" s="4">
        <f t="shared" si="26"/>
        <v>6.5913100748027142E-2</v>
      </c>
      <c r="M139">
        <f>Data!D412</f>
        <v>3.1493656635284419</v>
      </c>
      <c r="N139">
        <f t="shared" si="27"/>
        <v>88205.375</v>
      </c>
      <c r="O139" s="4">
        <f t="shared" si="28"/>
        <v>6.5913100748027142E-2</v>
      </c>
      <c r="P139" t="str">
        <f t="shared" si="29"/>
        <v>vrp_100</v>
      </c>
      <c r="Q139">
        <f t="shared" si="30"/>
        <v>9.6960144042968732</v>
      </c>
      <c r="R139" t="str">
        <f t="shared" si="31"/>
        <v>201-500</v>
      </c>
      <c r="S139" t="str">
        <f t="shared" si="32"/>
        <v>5-10%</v>
      </c>
      <c r="T139" t="str">
        <f t="shared" si="33"/>
        <v/>
      </c>
      <c r="U139">
        <f t="shared" si="34"/>
        <v>3.1493656635284419</v>
      </c>
      <c r="V139" s="4">
        <f t="shared" si="35"/>
        <v>0</v>
      </c>
    </row>
    <row r="140" spans="1:22">
      <c r="A140" t="s">
        <v>160</v>
      </c>
      <c r="B140" t="s">
        <v>193</v>
      </c>
      <c r="C140">
        <v>246</v>
      </c>
      <c r="D140">
        <f>Data!J415</f>
        <v>37274</v>
      </c>
      <c r="E140">
        <f>Data!B416</f>
        <v>42067.5859375</v>
      </c>
      <c r="F140" s="4">
        <f t="shared" si="24"/>
        <v>0.12860401184471759</v>
      </c>
      <c r="G140">
        <f>Data!D416</f>
        <v>3.1490073204040532</v>
      </c>
      <c r="H140">
        <f>Data!B417</f>
        <v>41885.140625</v>
      </c>
      <c r="I140" s="4">
        <f t="shared" si="25"/>
        <v>0.1237093047432527</v>
      </c>
      <c r="J140">
        <f>Data!D417</f>
        <v>3.145337820053101</v>
      </c>
      <c r="K140">
        <f>Data!B415</f>
        <v>42105.3671875</v>
      </c>
      <c r="L140" s="4">
        <f t="shared" si="26"/>
        <v>0.12961762052637238</v>
      </c>
      <c r="M140">
        <f>Data!D415</f>
        <v>3.165111780166626</v>
      </c>
      <c r="N140">
        <f t="shared" si="27"/>
        <v>41885.140625</v>
      </c>
      <c r="O140" s="4">
        <f t="shared" si="28"/>
        <v>0.1237093047432527</v>
      </c>
      <c r="P140" t="str">
        <f t="shared" si="29"/>
        <v>vrp_50</v>
      </c>
      <c r="Q140">
        <f t="shared" si="30"/>
        <v>9.4594569206237793</v>
      </c>
      <c r="R140" t="str">
        <f t="shared" si="31"/>
        <v>201-500</v>
      </c>
      <c r="S140" t="str">
        <f t="shared" si="32"/>
        <v>&gt;10%</v>
      </c>
      <c r="T140" t="str">
        <f t="shared" si="33"/>
        <v/>
      </c>
      <c r="U140">
        <f t="shared" si="34"/>
        <v>3.145337820053101</v>
      </c>
      <c r="V140" s="4">
        <f t="shared" si="35"/>
        <v>5.9083157831196775E-3</v>
      </c>
    </row>
    <row r="141" spans="1:22">
      <c r="A141" t="s">
        <v>160</v>
      </c>
      <c r="B141" t="s">
        <v>194</v>
      </c>
      <c r="C141">
        <v>250</v>
      </c>
      <c r="D141">
        <f>Data!J418</f>
        <v>38684</v>
      </c>
      <c r="E141">
        <f>Data!B419</f>
        <v>42966.890625</v>
      </c>
      <c r="F141" s="4">
        <f t="shared" si="24"/>
        <v>0.11071478195119422</v>
      </c>
      <c r="G141">
        <f>Data!D419</f>
        <v>2.89653468132019</v>
      </c>
      <c r="H141">
        <f>Data!B420</f>
        <v>41440.3359375</v>
      </c>
      <c r="I141" s="4">
        <f t="shared" si="25"/>
        <v>7.1252609282907553E-2</v>
      </c>
      <c r="J141">
        <f>Data!D420</f>
        <v>2.9571576118469238</v>
      </c>
      <c r="K141">
        <f>Data!B418</f>
        <v>41076.1953125</v>
      </c>
      <c r="L141" s="4">
        <f t="shared" si="26"/>
        <v>6.1839399040947152E-2</v>
      </c>
      <c r="M141">
        <f>Data!D418</f>
        <v>2.991060733795166</v>
      </c>
      <c r="N141">
        <f t="shared" si="27"/>
        <v>41076.1953125</v>
      </c>
      <c r="O141" s="4">
        <f t="shared" si="28"/>
        <v>6.1839399040947152E-2</v>
      </c>
      <c r="P141" t="str">
        <f t="shared" si="29"/>
        <v>vrp_100</v>
      </c>
      <c r="Q141">
        <f t="shared" si="30"/>
        <v>8.8447530269622803</v>
      </c>
      <c r="R141" t="str">
        <f t="shared" si="31"/>
        <v>201-500</v>
      </c>
      <c r="S141" t="str">
        <f t="shared" si="32"/>
        <v>5-10%</v>
      </c>
      <c r="T141" t="str">
        <f t="shared" si="33"/>
        <v/>
      </c>
      <c r="U141">
        <f t="shared" si="34"/>
        <v>2.991060733795166</v>
      </c>
      <c r="V141" s="4">
        <f t="shared" si="35"/>
        <v>0</v>
      </c>
    </row>
    <row r="142" spans="1:22">
      <c r="A142" t="s">
        <v>160</v>
      </c>
      <c r="B142" t="s">
        <v>195</v>
      </c>
      <c r="C142">
        <v>255</v>
      </c>
      <c r="D142">
        <f>Data!J421</f>
        <v>18839</v>
      </c>
      <c r="E142">
        <f>Data!B422</f>
        <v>21939.126953125</v>
      </c>
      <c r="F142" s="4">
        <f t="shared" si="24"/>
        <v>0.16455899745872915</v>
      </c>
      <c r="G142">
        <f>Data!D422</f>
        <v>2.8485434055328369</v>
      </c>
      <c r="H142">
        <f>Data!B423</f>
        <v>20461.70703125</v>
      </c>
      <c r="I142" s="4">
        <f t="shared" si="25"/>
        <v>8.6135518405966449E-2</v>
      </c>
      <c r="J142">
        <f>Data!D423</f>
        <v>2.981844425201416</v>
      </c>
      <c r="K142">
        <f>Data!B421</f>
        <v>20031.60546875</v>
      </c>
      <c r="L142" s="4">
        <f t="shared" si="26"/>
        <v>6.3305136618185598E-2</v>
      </c>
      <c r="M142">
        <f>Data!D421</f>
        <v>3.170646190643311</v>
      </c>
      <c r="N142">
        <f t="shared" si="27"/>
        <v>20031.60546875</v>
      </c>
      <c r="O142" s="4">
        <f t="shared" si="28"/>
        <v>6.3305136618185598E-2</v>
      </c>
      <c r="P142" t="str">
        <f t="shared" si="29"/>
        <v>vrp_100</v>
      </c>
      <c r="Q142">
        <f t="shared" si="30"/>
        <v>9.0010340213775635</v>
      </c>
      <c r="R142" t="str">
        <f t="shared" si="31"/>
        <v>201-500</v>
      </c>
      <c r="S142" t="str">
        <f t="shared" si="32"/>
        <v>5-10%</v>
      </c>
      <c r="T142" t="str">
        <f t="shared" si="33"/>
        <v/>
      </c>
      <c r="U142">
        <f t="shared" si="34"/>
        <v>3.170646190643311</v>
      </c>
      <c r="V142" s="4">
        <f t="shared" si="35"/>
        <v>0</v>
      </c>
    </row>
    <row r="143" spans="1:22">
      <c r="A143" t="s">
        <v>160</v>
      </c>
      <c r="B143" t="s">
        <v>196</v>
      </c>
      <c r="C143">
        <v>260</v>
      </c>
      <c r="D143">
        <f>Data!J424</f>
        <v>26558</v>
      </c>
      <c r="E143">
        <f>Data!B425</f>
        <v>30145.294921875</v>
      </c>
      <c r="F143" s="4">
        <f t="shared" si="24"/>
        <v>0.13507398606352128</v>
      </c>
      <c r="G143">
        <f>Data!D425</f>
        <v>2.7816073894500728</v>
      </c>
      <c r="H143">
        <f>Data!B426</f>
        <v>29101.4453125</v>
      </c>
      <c r="I143" s="4">
        <f t="shared" si="25"/>
        <v>9.5769459767301779E-2</v>
      </c>
      <c r="J143">
        <f>Data!D426</f>
        <v>2.82465672492981</v>
      </c>
      <c r="K143">
        <f>Data!B424</f>
        <v>28365.24609375</v>
      </c>
      <c r="L143" s="4">
        <f t="shared" si="26"/>
        <v>6.8049028305971815E-2</v>
      </c>
      <c r="M143">
        <f>Data!D424</f>
        <v>3.068625926971436</v>
      </c>
      <c r="N143">
        <f t="shared" si="27"/>
        <v>28365.24609375</v>
      </c>
      <c r="O143" s="4">
        <f t="shared" si="28"/>
        <v>6.8049028305971815E-2</v>
      </c>
      <c r="P143" t="str">
        <f t="shared" si="29"/>
        <v>vrp_100</v>
      </c>
      <c r="Q143">
        <f t="shared" si="30"/>
        <v>8.6748900413513184</v>
      </c>
      <c r="R143" t="str">
        <f t="shared" si="31"/>
        <v>201-500</v>
      </c>
      <c r="S143" t="str">
        <f t="shared" si="32"/>
        <v>5-10%</v>
      </c>
      <c r="T143" t="str">
        <f t="shared" si="33"/>
        <v/>
      </c>
      <c r="U143">
        <f t="shared" si="34"/>
        <v>3.068625926971436</v>
      </c>
      <c r="V143" s="4">
        <f t="shared" si="35"/>
        <v>0</v>
      </c>
    </row>
    <row r="144" spans="1:22">
      <c r="A144" t="s">
        <v>160</v>
      </c>
      <c r="B144" t="s">
        <v>197</v>
      </c>
      <c r="C144">
        <v>265</v>
      </c>
      <c r="D144">
        <f>Data!J427</f>
        <v>75478</v>
      </c>
      <c r="E144">
        <f>Data!B428</f>
        <v>87535.3359375</v>
      </c>
      <c r="F144" s="4">
        <f t="shared" si="24"/>
        <v>0.15974636235061879</v>
      </c>
      <c r="G144">
        <f>Data!D428</f>
        <v>2.9729173183441162</v>
      </c>
      <c r="H144">
        <f>Data!B429</f>
        <v>84795.8125</v>
      </c>
      <c r="I144" s="4">
        <f t="shared" si="25"/>
        <v>0.12345070749092457</v>
      </c>
      <c r="J144">
        <f>Data!D429</f>
        <v>2.9816410541534419</v>
      </c>
      <c r="K144">
        <f>Data!B427</f>
        <v>83055.921875</v>
      </c>
      <c r="L144" s="4">
        <f t="shared" si="26"/>
        <v>0.10039908152044297</v>
      </c>
      <c r="M144">
        <f>Data!D427</f>
        <v>3.1220254898071289</v>
      </c>
      <c r="N144">
        <f t="shared" si="27"/>
        <v>83055.921875</v>
      </c>
      <c r="O144" s="4">
        <f t="shared" si="28"/>
        <v>0.10039908152044297</v>
      </c>
      <c r="P144" t="str">
        <f t="shared" si="29"/>
        <v>vrp_100</v>
      </c>
      <c r="Q144">
        <f t="shared" si="30"/>
        <v>9.0765838623046875</v>
      </c>
      <c r="R144" t="str">
        <f t="shared" si="31"/>
        <v>201-500</v>
      </c>
      <c r="S144" t="str">
        <f t="shared" si="32"/>
        <v>&gt;10%</v>
      </c>
      <c r="T144" t="str">
        <f t="shared" si="33"/>
        <v/>
      </c>
      <c r="U144">
        <f t="shared" si="34"/>
        <v>3.1220254898071289</v>
      </c>
      <c r="V144" s="4">
        <f t="shared" si="35"/>
        <v>0</v>
      </c>
    </row>
    <row r="145" spans="1:22">
      <c r="A145" t="s">
        <v>160</v>
      </c>
      <c r="B145" t="s">
        <v>198</v>
      </c>
      <c r="C145">
        <v>269</v>
      </c>
      <c r="D145">
        <f>Data!J430</f>
        <v>35291</v>
      </c>
      <c r="E145">
        <f>Data!B431</f>
        <v>43738.53125</v>
      </c>
      <c r="F145" s="4">
        <f t="shared" si="24"/>
        <v>0.23936786291122392</v>
      </c>
      <c r="G145">
        <f>Data!D431</f>
        <v>2.9550976753234859</v>
      </c>
      <c r="H145">
        <f>Data!B432</f>
        <v>39350.7109375</v>
      </c>
      <c r="I145" s="4">
        <f t="shared" si="25"/>
        <v>0.11503530468108014</v>
      </c>
      <c r="J145">
        <f>Data!D432</f>
        <v>3.0322012901306148</v>
      </c>
      <c r="K145">
        <f>Data!B430</f>
        <v>37899.2421875</v>
      </c>
      <c r="L145" s="4">
        <f t="shared" si="26"/>
        <v>7.3906723739763702E-2</v>
      </c>
      <c r="M145">
        <f>Data!D430</f>
        <v>3.1610784530639648</v>
      </c>
      <c r="N145">
        <f t="shared" si="27"/>
        <v>37899.2421875</v>
      </c>
      <c r="O145" s="4">
        <f t="shared" si="28"/>
        <v>7.3906723739763702E-2</v>
      </c>
      <c r="P145" t="str">
        <f t="shared" si="29"/>
        <v>vrp_100</v>
      </c>
      <c r="Q145">
        <f t="shared" si="30"/>
        <v>9.1483774185180664</v>
      </c>
      <c r="R145" t="str">
        <f t="shared" si="31"/>
        <v>201-500</v>
      </c>
      <c r="S145" t="str">
        <f t="shared" si="32"/>
        <v>5-10%</v>
      </c>
      <c r="T145" t="str">
        <f t="shared" si="33"/>
        <v/>
      </c>
      <c r="U145">
        <f t="shared" si="34"/>
        <v>3.1610784530639648</v>
      </c>
      <c r="V145" s="4">
        <f t="shared" si="35"/>
        <v>0</v>
      </c>
    </row>
    <row r="146" spans="1:22">
      <c r="A146" t="s">
        <v>160</v>
      </c>
      <c r="B146" t="s">
        <v>199</v>
      </c>
      <c r="C146">
        <v>274</v>
      </c>
      <c r="D146">
        <f>Data!J433</f>
        <v>21245</v>
      </c>
      <c r="E146">
        <f>Data!B434</f>
        <v>28511.625</v>
      </c>
      <c r="F146" s="4">
        <f t="shared" si="24"/>
        <v>0.34203930336549782</v>
      </c>
      <c r="G146">
        <f>Data!D434</f>
        <v>2.9259097576141362</v>
      </c>
      <c r="H146">
        <f>Data!B435</f>
        <v>25410.171875</v>
      </c>
      <c r="I146" s="4">
        <f t="shared" si="25"/>
        <v>0.19605421863967987</v>
      </c>
      <c r="J146">
        <f>Data!D435</f>
        <v>3.115998506546021</v>
      </c>
      <c r="K146">
        <f>Data!B433</f>
        <v>24817.734375</v>
      </c>
      <c r="L146" s="4">
        <f t="shared" si="26"/>
        <v>0.16816824546952214</v>
      </c>
      <c r="M146">
        <f>Data!D433</f>
        <v>3.4633796215057369</v>
      </c>
      <c r="N146">
        <f t="shared" si="27"/>
        <v>24817.734375</v>
      </c>
      <c r="O146" s="4">
        <f t="shared" si="28"/>
        <v>0.16816824546952214</v>
      </c>
      <c r="P146" t="str">
        <f t="shared" si="29"/>
        <v>vrp_100</v>
      </c>
      <c r="Q146">
        <f t="shared" si="30"/>
        <v>9.5052878856658936</v>
      </c>
      <c r="R146" t="str">
        <f t="shared" si="31"/>
        <v>201-500</v>
      </c>
      <c r="S146" t="str">
        <f t="shared" si="32"/>
        <v>&gt;10%</v>
      </c>
      <c r="T146" t="str">
        <f t="shared" si="33"/>
        <v/>
      </c>
      <c r="U146">
        <f t="shared" si="34"/>
        <v>3.4633796215057369</v>
      </c>
      <c r="V146" s="4">
        <f t="shared" si="35"/>
        <v>0</v>
      </c>
    </row>
    <row r="147" spans="1:22">
      <c r="A147" t="s">
        <v>160</v>
      </c>
      <c r="B147" t="s">
        <v>200</v>
      </c>
      <c r="C147">
        <v>279</v>
      </c>
      <c r="D147">
        <f>Data!J436</f>
        <v>33503</v>
      </c>
      <c r="E147">
        <f>Data!B437</f>
        <v>38746.5703125</v>
      </c>
      <c r="F147" s="4">
        <f t="shared" si="24"/>
        <v>0.15651047107721694</v>
      </c>
      <c r="G147">
        <f>Data!D437</f>
        <v>2.8752751350402832</v>
      </c>
      <c r="H147">
        <f>Data!B438</f>
        <v>37186.25390625</v>
      </c>
      <c r="I147" s="4">
        <f t="shared" si="25"/>
        <v>0.10993803260155799</v>
      </c>
      <c r="J147">
        <f>Data!D438</f>
        <v>3.1467132568359379</v>
      </c>
      <c r="K147">
        <f>Data!B436</f>
        <v>35943.49609375</v>
      </c>
      <c r="L147" s="4">
        <f t="shared" si="26"/>
        <v>7.2844106311375167E-2</v>
      </c>
      <c r="M147">
        <f>Data!D436</f>
        <v>3.544022798538208</v>
      </c>
      <c r="N147">
        <f t="shared" si="27"/>
        <v>35943.49609375</v>
      </c>
      <c r="O147" s="4">
        <f t="shared" si="28"/>
        <v>7.2844106311375167E-2</v>
      </c>
      <c r="P147" t="str">
        <f t="shared" si="29"/>
        <v>vrp_100</v>
      </c>
      <c r="Q147">
        <f t="shared" si="30"/>
        <v>9.5660111904144287</v>
      </c>
      <c r="R147" t="str">
        <f t="shared" si="31"/>
        <v>201-500</v>
      </c>
      <c r="S147" t="str">
        <f t="shared" si="32"/>
        <v>5-10%</v>
      </c>
      <c r="T147" t="str">
        <f t="shared" si="33"/>
        <v/>
      </c>
      <c r="U147">
        <f t="shared" si="34"/>
        <v>3.544022798538208</v>
      </c>
      <c r="V147" s="4">
        <f t="shared" si="35"/>
        <v>0</v>
      </c>
    </row>
    <row r="148" spans="1:22">
      <c r="A148" t="s">
        <v>160</v>
      </c>
      <c r="B148" t="s">
        <v>201</v>
      </c>
      <c r="C148">
        <v>283</v>
      </c>
      <c r="D148">
        <f>Data!J439</f>
        <v>20226</v>
      </c>
      <c r="E148">
        <f>Data!B440</f>
        <v>26169.04296875</v>
      </c>
      <c r="F148" s="4">
        <f t="shared" si="24"/>
        <v>0.29383184854889755</v>
      </c>
      <c r="G148">
        <f>Data!D440</f>
        <v>2.7972958087921138</v>
      </c>
      <c r="H148">
        <f>Data!B441</f>
        <v>23241.56640625</v>
      </c>
      <c r="I148" s="4">
        <f t="shared" si="25"/>
        <v>0.14909356305003452</v>
      </c>
      <c r="J148">
        <f>Data!D441</f>
        <v>3.1941220760345459</v>
      </c>
      <c r="K148">
        <f>Data!B439</f>
        <v>22331.470703125</v>
      </c>
      <c r="L148" s="4">
        <f t="shared" si="26"/>
        <v>0.10409723638509849</v>
      </c>
      <c r="M148">
        <f>Data!D439</f>
        <v>3.035053968429565</v>
      </c>
      <c r="N148">
        <f t="shared" si="27"/>
        <v>22331.470703125</v>
      </c>
      <c r="O148" s="4">
        <f t="shared" si="28"/>
        <v>0.10409723638509849</v>
      </c>
      <c r="P148" t="str">
        <f t="shared" si="29"/>
        <v>vrp_100</v>
      </c>
      <c r="Q148">
        <f t="shared" si="30"/>
        <v>9.0264718532562256</v>
      </c>
      <c r="R148" t="str">
        <f t="shared" si="31"/>
        <v>201-500</v>
      </c>
      <c r="S148" t="str">
        <f t="shared" si="32"/>
        <v>&gt;10%</v>
      </c>
      <c r="T148" t="str">
        <f t="shared" si="33"/>
        <v/>
      </c>
      <c r="U148">
        <f t="shared" si="34"/>
        <v>3.035053968429565</v>
      </c>
      <c r="V148" s="4">
        <f t="shared" si="35"/>
        <v>0</v>
      </c>
    </row>
    <row r="149" spans="1:22">
      <c r="A149" t="s">
        <v>160</v>
      </c>
      <c r="B149" t="s">
        <v>202</v>
      </c>
      <c r="C149">
        <v>288</v>
      </c>
      <c r="D149">
        <f>Data!J442</f>
        <v>95151</v>
      </c>
      <c r="E149">
        <f>Data!B443</f>
        <v>107523.5703125</v>
      </c>
      <c r="F149" s="4">
        <f t="shared" si="24"/>
        <v>0.13003090154070907</v>
      </c>
      <c r="G149">
        <f>Data!D443</f>
        <v>2.9854612350463872</v>
      </c>
      <c r="H149">
        <f>Data!B444</f>
        <v>105214.8515625</v>
      </c>
      <c r="I149" s="4">
        <f t="shared" si="25"/>
        <v>0.1057671654790806</v>
      </c>
      <c r="J149">
        <f>Data!D444</f>
        <v>3.1921999454498291</v>
      </c>
      <c r="K149">
        <f>Data!B442</f>
        <v>104360.71875</v>
      </c>
      <c r="L149" s="4">
        <f t="shared" si="26"/>
        <v>9.6790561843806078E-2</v>
      </c>
      <c r="M149">
        <f>Data!D442</f>
        <v>3.530210018157959</v>
      </c>
      <c r="N149">
        <f t="shared" si="27"/>
        <v>104360.71875</v>
      </c>
      <c r="O149" s="4">
        <f t="shared" si="28"/>
        <v>9.6790561843806078E-2</v>
      </c>
      <c r="P149" t="str">
        <f t="shared" si="29"/>
        <v>vrp_100</v>
      </c>
      <c r="Q149">
        <f t="shared" si="30"/>
        <v>9.7078711986541748</v>
      </c>
      <c r="R149" t="str">
        <f t="shared" si="31"/>
        <v>201-500</v>
      </c>
      <c r="S149" t="str">
        <f t="shared" si="32"/>
        <v>5-10%</v>
      </c>
      <c r="T149" t="str">
        <f t="shared" si="33"/>
        <v/>
      </c>
      <c r="U149">
        <f t="shared" si="34"/>
        <v>3.530210018157959</v>
      </c>
      <c r="V149" s="4">
        <f t="shared" si="35"/>
        <v>0</v>
      </c>
    </row>
    <row r="150" spans="1:22">
      <c r="A150" t="s">
        <v>160</v>
      </c>
      <c r="B150" t="s">
        <v>203</v>
      </c>
      <c r="C150">
        <v>293</v>
      </c>
      <c r="D150">
        <f>Data!J445</f>
        <v>47161</v>
      </c>
      <c r="E150">
        <f>Data!B446</f>
        <v>56734.796875</v>
      </c>
      <c r="F150" s="4">
        <f t="shared" si="24"/>
        <v>0.2030024146010474</v>
      </c>
      <c r="G150">
        <f>Data!D446</f>
        <v>2.9390461444854741</v>
      </c>
      <c r="H150">
        <f>Data!B447</f>
        <v>52740.90625</v>
      </c>
      <c r="I150" s="4">
        <f t="shared" si="25"/>
        <v>0.1183161139500859</v>
      </c>
      <c r="J150">
        <f>Data!D447</f>
        <v>3.187045574188232</v>
      </c>
      <c r="K150">
        <f>Data!B445</f>
        <v>51624.4296875</v>
      </c>
      <c r="L150" s="4">
        <f t="shared" si="26"/>
        <v>9.4642388573185521E-2</v>
      </c>
      <c r="M150">
        <f>Data!D445</f>
        <v>3.2544069290161128</v>
      </c>
      <c r="N150">
        <f t="shared" si="27"/>
        <v>51624.4296875</v>
      </c>
      <c r="O150" s="4">
        <f t="shared" si="28"/>
        <v>9.4642388573185521E-2</v>
      </c>
      <c r="P150" t="str">
        <f t="shared" si="29"/>
        <v>vrp_100</v>
      </c>
      <c r="Q150">
        <f t="shared" si="30"/>
        <v>9.3804986476898193</v>
      </c>
      <c r="R150" t="str">
        <f t="shared" si="31"/>
        <v>201-500</v>
      </c>
      <c r="S150" t="str">
        <f t="shared" si="32"/>
        <v>5-10%</v>
      </c>
      <c r="T150" t="str">
        <f t="shared" si="33"/>
        <v/>
      </c>
      <c r="U150">
        <f t="shared" si="34"/>
        <v>3.2544069290161128</v>
      </c>
      <c r="V150" s="4">
        <f t="shared" si="35"/>
        <v>0</v>
      </c>
    </row>
    <row r="151" spans="1:22">
      <c r="A151" t="s">
        <v>160</v>
      </c>
      <c r="B151" t="s">
        <v>204</v>
      </c>
      <c r="C151">
        <v>297</v>
      </c>
      <c r="D151">
        <f>Data!J448</f>
        <v>34231</v>
      </c>
      <c r="E151">
        <f>Data!B449</f>
        <v>42044.0078125</v>
      </c>
      <c r="F151" s="4">
        <f t="shared" si="24"/>
        <v>0.2282436333294382</v>
      </c>
      <c r="G151">
        <f>Data!D449</f>
        <v>2.8978326320648189</v>
      </c>
      <c r="H151">
        <f>Data!B450</f>
        <v>38513.40625</v>
      </c>
      <c r="I151" s="4">
        <f t="shared" si="25"/>
        <v>0.12510315941690275</v>
      </c>
      <c r="J151">
        <f>Data!D450</f>
        <v>3.16904616355896</v>
      </c>
      <c r="K151">
        <f>Data!B448</f>
        <v>37194.4375</v>
      </c>
      <c r="L151" s="4">
        <f t="shared" si="26"/>
        <v>8.6571747830913592E-2</v>
      </c>
      <c r="M151">
        <f>Data!D448</f>
        <v>3.1735928058624272</v>
      </c>
      <c r="N151">
        <f t="shared" si="27"/>
        <v>37194.4375</v>
      </c>
      <c r="O151" s="4">
        <f t="shared" si="28"/>
        <v>8.6571747830913592E-2</v>
      </c>
      <c r="P151" t="str">
        <f t="shared" si="29"/>
        <v>vrp_100</v>
      </c>
      <c r="Q151">
        <f t="shared" si="30"/>
        <v>9.2404716014862061</v>
      </c>
      <c r="R151" t="str">
        <f t="shared" si="31"/>
        <v>201-500</v>
      </c>
      <c r="S151" t="str">
        <f t="shared" si="32"/>
        <v>5-10%</v>
      </c>
      <c r="T151" t="str">
        <f t="shared" si="33"/>
        <v/>
      </c>
      <c r="U151">
        <f t="shared" si="34"/>
        <v>3.1735928058624272</v>
      </c>
      <c r="V151" s="4">
        <f t="shared" si="35"/>
        <v>0</v>
      </c>
    </row>
    <row r="152" spans="1:22">
      <c r="A152" t="s">
        <v>160</v>
      </c>
      <c r="B152" t="s">
        <v>205</v>
      </c>
      <c r="C152">
        <v>302</v>
      </c>
      <c r="D152">
        <f>Data!J451</f>
        <v>21736</v>
      </c>
      <c r="E152">
        <f>Data!B452</f>
        <v>26694.95703125</v>
      </c>
      <c r="F152" s="4">
        <f t="shared" si="24"/>
        <v>0.22814487629968716</v>
      </c>
      <c r="G152">
        <f>Data!D452</f>
        <v>2.960188627243042</v>
      </c>
      <c r="H152">
        <f>Data!B453</f>
        <v>23849.1875</v>
      </c>
      <c r="I152" s="4">
        <f t="shared" si="25"/>
        <v>9.7220624769966957E-2</v>
      </c>
      <c r="J152">
        <f>Data!D453</f>
        <v>2.9110054969787602</v>
      </c>
      <c r="K152">
        <f>Data!B451</f>
        <v>23516.525390625</v>
      </c>
      <c r="L152" s="4">
        <f t="shared" si="26"/>
        <v>8.1915963867546848E-2</v>
      </c>
      <c r="M152">
        <f>Data!D451</f>
        <v>3.2920172214508061</v>
      </c>
      <c r="N152">
        <f t="shared" si="27"/>
        <v>23516.525390625</v>
      </c>
      <c r="O152" s="4">
        <f t="shared" si="28"/>
        <v>8.1915963867546848E-2</v>
      </c>
      <c r="P152" t="str">
        <f t="shared" si="29"/>
        <v>vrp_100</v>
      </c>
      <c r="Q152">
        <f t="shared" si="30"/>
        <v>9.1632113456726074</v>
      </c>
      <c r="R152" t="str">
        <f t="shared" si="31"/>
        <v>201-500</v>
      </c>
      <c r="S152" t="str">
        <f t="shared" si="32"/>
        <v>5-10%</v>
      </c>
      <c r="T152" t="str">
        <f t="shared" si="33"/>
        <v/>
      </c>
      <c r="U152">
        <f t="shared" si="34"/>
        <v>3.2920172214508061</v>
      </c>
      <c r="V152" s="4">
        <f t="shared" si="35"/>
        <v>0</v>
      </c>
    </row>
    <row r="153" spans="1:22">
      <c r="A153" t="s">
        <v>160</v>
      </c>
      <c r="B153" t="s">
        <v>206</v>
      </c>
      <c r="C153">
        <v>307</v>
      </c>
      <c r="D153">
        <f>Data!J454</f>
        <v>25859</v>
      </c>
      <c r="E153">
        <f>Data!B455</f>
        <v>30899.583984375</v>
      </c>
      <c r="F153" s="4">
        <f t="shared" si="24"/>
        <v>0.19492571191364716</v>
      </c>
      <c r="G153">
        <f>Data!D455</f>
        <v>2.8489663600921631</v>
      </c>
      <c r="H153">
        <f>Data!B456</f>
        <v>28421.869140625</v>
      </c>
      <c r="I153" s="4">
        <f t="shared" si="25"/>
        <v>9.9109367749139476E-2</v>
      </c>
      <c r="J153">
        <f>Data!D456</f>
        <v>3.5416502952575679</v>
      </c>
      <c r="K153">
        <f>Data!B454</f>
        <v>28215.310546875</v>
      </c>
      <c r="L153" s="4">
        <f t="shared" si="26"/>
        <v>9.1121487562357384E-2</v>
      </c>
      <c r="M153">
        <f>Data!D454</f>
        <v>3.7242364883422852</v>
      </c>
      <c r="N153">
        <f t="shared" si="27"/>
        <v>28215.310546875</v>
      </c>
      <c r="O153" s="4">
        <f t="shared" si="28"/>
        <v>9.1121487562357384E-2</v>
      </c>
      <c r="P153" t="str">
        <f t="shared" si="29"/>
        <v>vrp_100</v>
      </c>
      <c r="Q153">
        <f t="shared" si="30"/>
        <v>10.114853143692017</v>
      </c>
      <c r="R153" t="str">
        <f t="shared" si="31"/>
        <v>201-500</v>
      </c>
      <c r="S153" t="str">
        <f t="shared" si="32"/>
        <v>5-10%</v>
      </c>
      <c r="T153" t="str">
        <f t="shared" si="33"/>
        <v/>
      </c>
      <c r="U153">
        <f t="shared" si="34"/>
        <v>3.7242364883422852</v>
      </c>
      <c r="V153" s="4">
        <f t="shared" si="35"/>
        <v>0</v>
      </c>
    </row>
    <row r="154" spans="1:22">
      <c r="A154" t="s">
        <v>160</v>
      </c>
      <c r="B154" t="s">
        <v>207</v>
      </c>
      <c r="C154">
        <v>312</v>
      </c>
      <c r="D154">
        <f>Data!J457</f>
        <v>94043</v>
      </c>
      <c r="E154">
        <f>Data!B458</f>
        <v>104699.3984375</v>
      </c>
      <c r="F154" s="4">
        <f t="shared" si="24"/>
        <v>0.11331410564847988</v>
      </c>
      <c r="G154">
        <f>Data!D458</f>
        <v>2.9092707633972168</v>
      </c>
      <c r="H154">
        <f>Data!B459</f>
        <v>104765.8828125</v>
      </c>
      <c r="I154" s="4">
        <f t="shared" si="25"/>
        <v>0.11402106283827607</v>
      </c>
      <c r="J154">
        <f>Data!D459</f>
        <v>3.7412078380584721</v>
      </c>
      <c r="K154">
        <f>Data!B457</f>
        <v>101518.078125</v>
      </c>
      <c r="L154" s="4">
        <f t="shared" si="26"/>
        <v>7.948574721138213E-2</v>
      </c>
      <c r="M154">
        <f>Data!D457</f>
        <v>4.9863784313201904</v>
      </c>
      <c r="N154">
        <f t="shared" si="27"/>
        <v>101518.078125</v>
      </c>
      <c r="O154" s="4">
        <f t="shared" si="28"/>
        <v>7.948574721138213E-2</v>
      </c>
      <c r="P154" t="str">
        <f t="shared" si="29"/>
        <v>vrp_100</v>
      </c>
      <c r="Q154">
        <f t="shared" si="30"/>
        <v>11.636857032775879</v>
      </c>
      <c r="R154" t="str">
        <f t="shared" si="31"/>
        <v>201-500</v>
      </c>
      <c r="S154" t="str">
        <f t="shared" si="32"/>
        <v>5-10%</v>
      </c>
      <c r="T154" t="str">
        <f t="shared" si="33"/>
        <v/>
      </c>
      <c r="U154">
        <f t="shared" si="34"/>
        <v>4.9863784313201904</v>
      </c>
      <c r="V154" s="4">
        <f t="shared" si="35"/>
        <v>0</v>
      </c>
    </row>
    <row r="155" spans="1:22">
      <c r="A155" t="s">
        <v>160</v>
      </c>
      <c r="B155" t="s">
        <v>208</v>
      </c>
      <c r="C155">
        <v>316</v>
      </c>
      <c r="D155">
        <f>Data!J460</f>
        <v>78355</v>
      </c>
      <c r="E155">
        <f>Data!B461</f>
        <v>85772.65625</v>
      </c>
      <c r="F155" s="4">
        <f t="shared" si="24"/>
        <v>9.4667299470359234E-2</v>
      </c>
      <c r="G155">
        <f>Data!D461</f>
        <v>2.8468079566955571</v>
      </c>
      <c r="H155">
        <f>Data!B462</f>
        <v>83648.65625</v>
      </c>
      <c r="I155" s="4">
        <f t="shared" si="25"/>
        <v>6.7559903643672925E-2</v>
      </c>
      <c r="J155">
        <f>Data!D462</f>
        <v>3.1463384628295898</v>
      </c>
      <c r="K155">
        <f>Data!B460</f>
        <v>83284.9453125</v>
      </c>
      <c r="L155" s="4">
        <f t="shared" si="26"/>
        <v>6.2918069204262572E-2</v>
      </c>
      <c r="M155">
        <f>Data!D460</f>
        <v>3.2997007369995122</v>
      </c>
      <c r="N155">
        <f t="shared" si="27"/>
        <v>83284.9453125</v>
      </c>
      <c r="O155" s="4">
        <f t="shared" si="28"/>
        <v>6.2918069204262572E-2</v>
      </c>
      <c r="P155" t="str">
        <f t="shared" si="29"/>
        <v>vrp_100</v>
      </c>
      <c r="Q155">
        <f t="shared" si="30"/>
        <v>9.2928471565246582</v>
      </c>
      <c r="R155" t="str">
        <f t="shared" si="31"/>
        <v>201-500</v>
      </c>
      <c r="S155" t="str">
        <f t="shared" si="32"/>
        <v>5-10%</v>
      </c>
      <c r="T155" t="str">
        <f t="shared" si="33"/>
        <v/>
      </c>
      <c r="U155">
        <f t="shared" si="34"/>
        <v>3.2997007369995122</v>
      </c>
      <c r="V155" s="4">
        <f t="shared" si="35"/>
        <v>0</v>
      </c>
    </row>
    <row r="156" spans="1:22">
      <c r="A156" t="s">
        <v>160</v>
      </c>
      <c r="B156" t="s">
        <v>209</v>
      </c>
      <c r="C156">
        <v>321</v>
      </c>
      <c r="D156">
        <f>Data!J463</f>
        <v>29834</v>
      </c>
      <c r="E156">
        <f>Data!B464</f>
        <v>36935.5390625</v>
      </c>
      <c r="F156" s="4">
        <f t="shared" si="24"/>
        <v>0.23803509628276465</v>
      </c>
      <c r="G156">
        <f>Data!D464</f>
        <v>2.9279937744140621</v>
      </c>
      <c r="H156">
        <f>Data!B465</f>
        <v>33440.9453125</v>
      </c>
      <c r="I156" s="4">
        <f t="shared" si="25"/>
        <v>0.12090049314540452</v>
      </c>
      <c r="J156">
        <f>Data!D465</f>
        <v>2.9573318958282471</v>
      </c>
      <c r="K156">
        <f>Data!B463</f>
        <v>32346.662109375</v>
      </c>
      <c r="L156" s="4">
        <f t="shared" si="26"/>
        <v>8.4221428885667304E-2</v>
      </c>
      <c r="M156">
        <f>Data!D463</f>
        <v>3.3626606464385991</v>
      </c>
      <c r="N156">
        <f t="shared" si="27"/>
        <v>32346.662109375</v>
      </c>
      <c r="O156" s="4">
        <f t="shared" si="28"/>
        <v>8.4221428885667304E-2</v>
      </c>
      <c r="P156" t="str">
        <f t="shared" si="29"/>
        <v>vrp_100</v>
      </c>
      <c r="Q156">
        <f t="shared" si="30"/>
        <v>9.2479863166809082</v>
      </c>
      <c r="R156" t="str">
        <f t="shared" si="31"/>
        <v>201-500</v>
      </c>
      <c r="S156" t="str">
        <f t="shared" si="32"/>
        <v>5-10%</v>
      </c>
      <c r="T156" t="str">
        <f t="shared" si="33"/>
        <v/>
      </c>
      <c r="U156">
        <f t="shared" si="34"/>
        <v>3.3626606464385991</v>
      </c>
      <c r="V156" s="4">
        <f t="shared" si="35"/>
        <v>0</v>
      </c>
    </row>
    <row r="157" spans="1:22">
      <c r="A157" t="s">
        <v>160</v>
      </c>
      <c r="B157" t="s">
        <v>210</v>
      </c>
      <c r="C157">
        <v>326</v>
      </c>
      <c r="D157">
        <f>Data!J466</f>
        <v>27532</v>
      </c>
      <c r="E157">
        <f>Data!B467</f>
        <v>33019.06640625</v>
      </c>
      <c r="F157" s="4">
        <f t="shared" si="24"/>
        <v>0.19929777735907317</v>
      </c>
      <c r="G157">
        <f>Data!D467</f>
        <v>2.9901595115661621</v>
      </c>
      <c r="H157">
        <f>Data!B468</f>
        <v>30378.6171875</v>
      </c>
      <c r="I157" s="4">
        <f t="shared" si="25"/>
        <v>0.10339304037120445</v>
      </c>
      <c r="J157">
        <f>Data!D468</f>
        <v>2.998679399490356</v>
      </c>
      <c r="K157">
        <f>Data!B466</f>
        <v>29694.22265625</v>
      </c>
      <c r="L157" s="4">
        <f t="shared" si="26"/>
        <v>7.8534892352535302E-2</v>
      </c>
      <c r="M157">
        <f>Data!D466</f>
        <v>3.5535051822662349</v>
      </c>
      <c r="N157">
        <f t="shared" si="27"/>
        <v>29694.22265625</v>
      </c>
      <c r="O157" s="4">
        <f t="shared" si="28"/>
        <v>7.8534892352535302E-2</v>
      </c>
      <c r="P157" t="str">
        <f t="shared" si="29"/>
        <v>vrp_100</v>
      </c>
      <c r="Q157">
        <f t="shared" si="30"/>
        <v>9.5423440933227539</v>
      </c>
      <c r="R157" t="str">
        <f t="shared" si="31"/>
        <v>201-500</v>
      </c>
      <c r="S157" t="str">
        <f t="shared" si="32"/>
        <v>5-10%</v>
      </c>
      <c r="T157" t="str">
        <f t="shared" si="33"/>
        <v/>
      </c>
      <c r="U157">
        <f t="shared" si="34"/>
        <v>3.5535051822662349</v>
      </c>
      <c r="V157" s="4">
        <f t="shared" si="35"/>
        <v>0</v>
      </c>
    </row>
    <row r="158" spans="1:22">
      <c r="A158" t="s">
        <v>160</v>
      </c>
      <c r="B158" t="s">
        <v>211</v>
      </c>
      <c r="C158">
        <v>330</v>
      </c>
      <c r="D158">
        <f>Data!J469</f>
        <v>31102</v>
      </c>
      <c r="E158">
        <f>Data!B470</f>
        <v>35118.140625</v>
      </c>
      <c r="F158" s="4">
        <f t="shared" si="24"/>
        <v>0.12912805044691655</v>
      </c>
      <c r="G158">
        <f>Data!D470</f>
        <v>3.2990000247955318</v>
      </c>
      <c r="H158">
        <f>Data!B471</f>
        <v>34456.42578125</v>
      </c>
      <c r="I158" s="4">
        <f t="shared" si="25"/>
        <v>0.10785241403285961</v>
      </c>
      <c r="J158">
        <f>Data!D471</f>
        <v>3.142554759979248</v>
      </c>
      <c r="K158">
        <f>Data!B469</f>
        <v>33380.515625</v>
      </c>
      <c r="L158" s="4">
        <f t="shared" si="26"/>
        <v>7.3259456787344801E-2</v>
      </c>
      <c r="M158">
        <f>Data!D469</f>
        <v>3.356906652450562</v>
      </c>
      <c r="N158">
        <f t="shared" si="27"/>
        <v>33380.515625</v>
      </c>
      <c r="O158" s="4">
        <f t="shared" si="28"/>
        <v>7.3259456787344801E-2</v>
      </c>
      <c r="P158" t="str">
        <f t="shared" si="29"/>
        <v>vrp_100</v>
      </c>
      <c r="Q158">
        <f t="shared" si="30"/>
        <v>9.7984614372253418</v>
      </c>
      <c r="R158" t="str">
        <f t="shared" si="31"/>
        <v>201-500</v>
      </c>
      <c r="S158" t="str">
        <f t="shared" si="32"/>
        <v>5-10%</v>
      </c>
      <c r="T158" t="str">
        <f t="shared" si="33"/>
        <v/>
      </c>
      <c r="U158">
        <f t="shared" si="34"/>
        <v>3.356906652450562</v>
      </c>
      <c r="V158" s="4">
        <f t="shared" si="35"/>
        <v>0</v>
      </c>
    </row>
    <row r="159" spans="1:22">
      <c r="A159" t="s">
        <v>160</v>
      </c>
      <c r="B159" t="s">
        <v>212</v>
      </c>
      <c r="C159">
        <v>335</v>
      </c>
      <c r="D159">
        <f>Data!J472</f>
        <v>139111</v>
      </c>
      <c r="E159">
        <f>Data!B473</f>
        <v>154345.75</v>
      </c>
      <c r="F159" s="4">
        <f t="shared" si="24"/>
        <v>0.10951506351043405</v>
      </c>
      <c r="G159">
        <f>Data!D473</f>
        <v>3.5522582530975342</v>
      </c>
      <c r="H159">
        <f>Data!B474</f>
        <v>150972.96875</v>
      </c>
      <c r="I159" s="4">
        <f t="shared" si="25"/>
        <v>8.5269811517421301E-2</v>
      </c>
      <c r="J159">
        <f>Data!D474</f>
        <v>5.2889790534973136</v>
      </c>
      <c r="K159">
        <f>Data!B472</f>
        <v>149223.625</v>
      </c>
      <c r="L159" s="4">
        <f t="shared" si="26"/>
        <v>7.2694646720963929E-2</v>
      </c>
      <c r="M159">
        <f>Data!D472</f>
        <v>4.7788581848144531</v>
      </c>
      <c r="N159">
        <f t="shared" si="27"/>
        <v>149223.625</v>
      </c>
      <c r="O159" s="4">
        <f t="shared" si="28"/>
        <v>7.2694646720963929E-2</v>
      </c>
      <c r="P159" t="str">
        <f t="shared" si="29"/>
        <v>vrp_100</v>
      </c>
      <c r="Q159">
        <f t="shared" si="30"/>
        <v>13.620095491409302</v>
      </c>
      <c r="R159" t="str">
        <f t="shared" si="31"/>
        <v>201-500</v>
      </c>
      <c r="S159" t="str">
        <f t="shared" si="32"/>
        <v>5-10%</v>
      </c>
      <c r="T159" t="str">
        <f t="shared" si="33"/>
        <v/>
      </c>
      <c r="U159">
        <f t="shared" si="34"/>
        <v>4.7788581848144531</v>
      </c>
      <c r="V159" s="4">
        <f t="shared" si="35"/>
        <v>0</v>
      </c>
    </row>
    <row r="160" spans="1:22">
      <c r="A160" t="s">
        <v>160</v>
      </c>
      <c r="B160" t="s">
        <v>213</v>
      </c>
      <c r="C160">
        <v>343</v>
      </c>
      <c r="D160">
        <f>Data!J475</f>
        <v>42050</v>
      </c>
      <c r="E160">
        <f>Data!B476</f>
        <v>51624.1875</v>
      </c>
      <c r="F160" s="4">
        <f t="shared" si="24"/>
        <v>0.22768579072532691</v>
      </c>
      <c r="G160">
        <f>Data!D476</f>
        <v>5.1238982677459717</v>
      </c>
      <c r="H160">
        <f>Data!B477</f>
        <v>47560.7265625</v>
      </c>
      <c r="I160" s="4">
        <f t="shared" si="25"/>
        <v>0.13105176129607621</v>
      </c>
      <c r="J160">
        <f>Data!D477</f>
        <v>5.0749950408935547</v>
      </c>
      <c r="K160">
        <f>Data!B475</f>
        <v>45849.3671875</v>
      </c>
      <c r="L160" s="4">
        <f t="shared" si="26"/>
        <v>9.0353559750297352E-2</v>
      </c>
      <c r="M160">
        <f>Data!D475</f>
        <v>3.4384546279907231</v>
      </c>
      <c r="N160">
        <f t="shared" si="27"/>
        <v>45849.3671875</v>
      </c>
      <c r="O160" s="4">
        <f t="shared" si="28"/>
        <v>9.0353559750297352E-2</v>
      </c>
      <c r="P160" t="str">
        <f t="shared" si="29"/>
        <v>vrp_100</v>
      </c>
      <c r="Q160">
        <f t="shared" si="30"/>
        <v>13.637347936630249</v>
      </c>
      <c r="R160" t="str">
        <f t="shared" si="31"/>
        <v>201-500</v>
      </c>
      <c r="S160" t="str">
        <f t="shared" si="32"/>
        <v>5-10%</v>
      </c>
      <c r="T160" t="str">
        <f t="shared" si="33"/>
        <v/>
      </c>
      <c r="U160">
        <f t="shared" si="34"/>
        <v>3.4384546279907231</v>
      </c>
      <c r="V160" s="4">
        <f t="shared" si="35"/>
        <v>0</v>
      </c>
    </row>
    <row r="161" spans="1:22">
      <c r="A161" t="s">
        <v>160</v>
      </c>
      <c r="B161" t="s">
        <v>214</v>
      </c>
      <c r="C161">
        <v>350</v>
      </c>
      <c r="D161">
        <f>Data!J478</f>
        <v>25896</v>
      </c>
      <c r="E161">
        <f>Data!B479</f>
        <v>33095.3125</v>
      </c>
      <c r="F161" s="4">
        <f t="shared" si="24"/>
        <v>0.27800866929255474</v>
      </c>
      <c r="G161">
        <f>Data!D479</f>
        <v>5.2010955810546884</v>
      </c>
      <c r="H161">
        <f>Data!B480</f>
        <v>31237.439453125</v>
      </c>
      <c r="I161" s="4">
        <f t="shared" si="25"/>
        <v>0.20626503912283756</v>
      </c>
      <c r="J161">
        <f>Data!D480</f>
        <v>4.7737860679626456</v>
      </c>
      <c r="K161">
        <f>Data!B478</f>
        <v>30207.86328125</v>
      </c>
      <c r="L161" s="4">
        <f t="shared" si="26"/>
        <v>0.166506923125193</v>
      </c>
      <c r="M161">
        <f>Data!D478</f>
        <v>3.3651795387268071</v>
      </c>
      <c r="N161">
        <f t="shared" si="27"/>
        <v>30207.86328125</v>
      </c>
      <c r="O161" s="4">
        <f t="shared" si="28"/>
        <v>0.166506923125193</v>
      </c>
      <c r="P161" t="str">
        <f t="shared" si="29"/>
        <v>vrp_100</v>
      </c>
      <c r="Q161">
        <f t="shared" si="30"/>
        <v>13.340061187744141</v>
      </c>
      <c r="R161" t="str">
        <f t="shared" si="31"/>
        <v>201-500</v>
      </c>
      <c r="S161" t="str">
        <f t="shared" si="32"/>
        <v>&gt;10%</v>
      </c>
      <c r="T161" t="str">
        <f t="shared" si="33"/>
        <v/>
      </c>
      <c r="U161">
        <f t="shared" si="34"/>
        <v>3.3651795387268071</v>
      </c>
      <c r="V161" s="4">
        <f t="shared" si="35"/>
        <v>0</v>
      </c>
    </row>
    <row r="162" spans="1:22">
      <c r="A162" t="s">
        <v>160</v>
      </c>
      <c r="B162" t="s">
        <v>215</v>
      </c>
      <c r="C162">
        <v>358</v>
      </c>
      <c r="D162">
        <f>Data!J481</f>
        <v>51505</v>
      </c>
      <c r="E162">
        <f>Data!B482</f>
        <v>61369.0625</v>
      </c>
      <c r="F162" s="4">
        <f t="shared" ref="F162:F207" si="36">IF(E162="","",IFERROR(E162/D162-1,""))</f>
        <v>0.19151660033006501</v>
      </c>
      <c r="G162">
        <f>Data!D482</f>
        <v>5.1545724868774414</v>
      </c>
      <c r="H162">
        <f>Data!B483</f>
        <v>57753.63671875</v>
      </c>
      <c r="I162" s="4">
        <f t="shared" ref="I162:I207" si="37">IF(H162="","",IFERROR(H162/D162-1,""))</f>
        <v>0.12132097308513745</v>
      </c>
      <c r="J162">
        <f>Data!D483</f>
        <v>4.3286278247833252</v>
      </c>
      <c r="K162">
        <f>Data!B481</f>
        <v>55033.7734375</v>
      </c>
      <c r="L162" s="4">
        <f t="shared" ref="L162:L207" si="38">IF(K162="","",IFERROR(K162/D162-1,""))</f>
        <v>6.8513220803805508E-2</v>
      </c>
      <c r="M162">
        <f>Data!D481</f>
        <v>3.403876781463623</v>
      </c>
      <c r="N162">
        <f t="shared" ref="N162:N207" si="39">MIN(E162,H162,K162)</f>
        <v>55033.7734375</v>
      </c>
      <c r="O162" s="4">
        <f t="shared" ref="O162:O207" si="40">MIN(F162,I162,L162)</f>
        <v>6.8513220803805508E-2</v>
      </c>
      <c r="P162" t="str">
        <f t="shared" ref="P162:P207" si="41">IF(N162=E162,"vrp_20",IF(N162=H162,"vrp_50","vrp_100"))</f>
        <v>vrp_100</v>
      </c>
      <c r="Q162">
        <f t="shared" ref="Q162:Q207" si="42">SUM(G162,J162,M162)</f>
        <v>12.88707709312439</v>
      </c>
      <c r="R162" t="str">
        <f t="shared" ref="R162:R207" si="43">IF(C162&lt;=50,"≤50",IF(C162&lt;=100,"51-100",IF(C162&lt;=200,"101-200",IF(C162&lt;=500,"201-500","&gt;500"))))</f>
        <v>201-500</v>
      </c>
      <c r="S162" t="str">
        <f t="shared" ref="S162:S207" si="44">IF(O162&lt;=0,"≤0%",IF(O162&lt;=0.01,"0-1%",IF(O162&lt;=0.02,"1-2%",IF(O162&lt;=0.05,"2-5%",IF(O162&lt;=0.1,"5-10%","&gt;10%")))))</f>
        <v>5-10%</v>
      </c>
      <c r="T162" t="str">
        <f t="shared" ref="T162:T207" si="45">IF(O162&lt;0,"VERIFICAR: gap &lt; 0",IF(O162&gt;0.2,"ATENÇÃO: gap &gt; 20%",""))</f>
        <v/>
      </c>
      <c r="U162">
        <f t="shared" ref="U162:U207" si="46">IF(P162="vrp_20",G162,IF(P162="vrp_50",J162,M162))</f>
        <v>3.403876781463623</v>
      </c>
      <c r="V162" s="4">
        <f t="shared" ref="V162:V207" si="47">L162-O162</f>
        <v>0</v>
      </c>
    </row>
    <row r="163" spans="1:22">
      <c r="A163" t="s">
        <v>160</v>
      </c>
      <c r="B163" t="s">
        <v>216</v>
      </c>
      <c r="C163">
        <v>366</v>
      </c>
      <c r="D163">
        <f>Data!J484</f>
        <v>22814</v>
      </c>
      <c r="E163">
        <f>Data!B485</f>
        <v>27831.3203125</v>
      </c>
      <c r="F163" s="4">
        <f t="shared" si="36"/>
        <v>0.21992286808538619</v>
      </c>
      <c r="G163">
        <f>Data!D485</f>
        <v>4.7530105113983154</v>
      </c>
      <c r="H163">
        <f>Data!B486</f>
        <v>26097.681640625</v>
      </c>
      <c r="I163" s="4">
        <f t="shared" si="37"/>
        <v>0.14393274483321639</v>
      </c>
      <c r="J163">
        <f>Data!D486</f>
        <v>4.6759321689605713</v>
      </c>
      <c r="K163">
        <f>Data!B484</f>
        <v>25672.53125</v>
      </c>
      <c r="L163" s="4">
        <f t="shared" si="38"/>
        <v>0.12529724072937665</v>
      </c>
      <c r="M163">
        <f>Data!D484</f>
        <v>3.711106538772583</v>
      </c>
      <c r="N163">
        <f t="shared" si="39"/>
        <v>25672.53125</v>
      </c>
      <c r="O163" s="4">
        <f t="shared" si="40"/>
        <v>0.12529724072937665</v>
      </c>
      <c r="P163" t="str">
        <f t="shared" si="41"/>
        <v>vrp_100</v>
      </c>
      <c r="Q163">
        <f t="shared" si="42"/>
        <v>13.14004921913147</v>
      </c>
      <c r="R163" t="str">
        <f t="shared" si="43"/>
        <v>201-500</v>
      </c>
      <c r="S163" t="str">
        <f t="shared" si="44"/>
        <v>&gt;10%</v>
      </c>
      <c r="T163" t="str">
        <f t="shared" si="45"/>
        <v/>
      </c>
      <c r="U163">
        <f t="shared" si="46"/>
        <v>3.711106538772583</v>
      </c>
      <c r="V163" s="4">
        <f t="shared" si="47"/>
        <v>0</v>
      </c>
    </row>
    <row r="164" spans="1:22">
      <c r="A164" t="s">
        <v>160</v>
      </c>
      <c r="B164" t="s">
        <v>217</v>
      </c>
      <c r="C164">
        <v>375</v>
      </c>
      <c r="D164">
        <f>Data!J487</f>
        <v>147713</v>
      </c>
      <c r="E164">
        <f>Data!B488</f>
        <v>163600.625</v>
      </c>
      <c r="F164" s="4">
        <f t="shared" si="36"/>
        <v>0.1075573916987671</v>
      </c>
      <c r="G164">
        <f>Data!D488</f>
        <v>3.9167449474334721</v>
      </c>
      <c r="H164">
        <f>Data!B489</f>
        <v>159190.125</v>
      </c>
      <c r="I164" s="4">
        <f t="shared" si="37"/>
        <v>7.7698814593163856E-2</v>
      </c>
      <c r="J164">
        <f>Data!D489</f>
        <v>4.8023219108581543</v>
      </c>
      <c r="K164">
        <f>Data!B487</f>
        <v>157551.625</v>
      </c>
      <c r="L164" s="4">
        <f t="shared" si="38"/>
        <v>6.6606358275845823E-2</v>
      </c>
      <c r="M164">
        <f>Data!D487</f>
        <v>4.721959114074707</v>
      </c>
      <c r="N164">
        <f t="shared" si="39"/>
        <v>157551.625</v>
      </c>
      <c r="O164" s="4">
        <f t="shared" si="40"/>
        <v>6.6606358275845823E-2</v>
      </c>
      <c r="P164" t="str">
        <f t="shared" si="41"/>
        <v>vrp_100</v>
      </c>
      <c r="Q164">
        <f t="shared" si="42"/>
        <v>13.441025972366333</v>
      </c>
      <c r="R164" t="str">
        <f t="shared" si="43"/>
        <v>201-500</v>
      </c>
      <c r="S164" t="str">
        <f t="shared" si="44"/>
        <v>5-10%</v>
      </c>
      <c r="T164" t="str">
        <f t="shared" si="45"/>
        <v/>
      </c>
      <c r="U164">
        <f t="shared" si="46"/>
        <v>4.721959114074707</v>
      </c>
      <c r="V164" s="4">
        <f t="shared" si="47"/>
        <v>0</v>
      </c>
    </row>
    <row r="165" spans="1:22">
      <c r="A165" t="s">
        <v>160</v>
      </c>
      <c r="B165" t="s">
        <v>218</v>
      </c>
      <c r="C165">
        <v>383</v>
      </c>
      <c r="D165">
        <f>Data!J490</f>
        <v>65940</v>
      </c>
      <c r="E165">
        <f>Data!B491</f>
        <v>78169.28125</v>
      </c>
      <c r="F165" s="4">
        <f t="shared" si="36"/>
        <v>0.18546074082499242</v>
      </c>
      <c r="G165">
        <f>Data!D491</f>
        <v>3.244296550750732</v>
      </c>
      <c r="H165">
        <f>Data!B492</f>
        <v>75032.6796875</v>
      </c>
      <c r="I165" s="4">
        <f t="shared" si="37"/>
        <v>0.13789323153624511</v>
      </c>
      <c r="J165">
        <f>Data!D492</f>
        <v>3.8030004501342769</v>
      </c>
      <c r="K165">
        <f>Data!B490</f>
        <v>72258.34375</v>
      </c>
      <c r="L165" s="4">
        <f t="shared" si="38"/>
        <v>9.5819589778586511E-2</v>
      </c>
      <c r="M165">
        <f>Data!D490</f>
        <v>3.636609792709351</v>
      </c>
      <c r="N165">
        <f t="shared" si="39"/>
        <v>72258.34375</v>
      </c>
      <c r="O165" s="4">
        <f t="shared" si="40"/>
        <v>9.5819589778586511E-2</v>
      </c>
      <c r="P165" t="str">
        <f t="shared" si="41"/>
        <v>vrp_100</v>
      </c>
      <c r="Q165">
        <f t="shared" si="42"/>
        <v>10.68390679359436</v>
      </c>
      <c r="R165" t="str">
        <f t="shared" si="43"/>
        <v>201-500</v>
      </c>
      <c r="S165" t="str">
        <f t="shared" si="44"/>
        <v>5-10%</v>
      </c>
      <c r="T165" t="str">
        <f t="shared" si="45"/>
        <v/>
      </c>
      <c r="U165">
        <f t="shared" si="46"/>
        <v>3.636609792709351</v>
      </c>
      <c r="V165" s="4">
        <f t="shared" si="47"/>
        <v>0</v>
      </c>
    </row>
    <row r="166" spans="1:22">
      <c r="A166" t="s">
        <v>160</v>
      </c>
      <c r="B166" t="s">
        <v>219</v>
      </c>
      <c r="C166">
        <v>392</v>
      </c>
      <c r="D166">
        <f>Data!J493</f>
        <v>38260</v>
      </c>
      <c r="E166">
        <f>Data!B494</f>
        <v>49726.09375</v>
      </c>
      <c r="F166" s="4">
        <f t="shared" si="36"/>
        <v>0.2996888068478829</v>
      </c>
      <c r="G166">
        <f>Data!D494</f>
        <v>3.8975546360015869</v>
      </c>
      <c r="H166">
        <f>Data!B495</f>
        <v>43665.0859375</v>
      </c>
      <c r="I166" s="4">
        <f t="shared" si="37"/>
        <v>0.14127250228698385</v>
      </c>
      <c r="J166">
        <f>Data!D495</f>
        <v>3.8439440727233891</v>
      </c>
      <c r="K166">
        <f>Data!B493</f>
        <v>42496.9375</v>
      </c>
      <c r="L166" s="4">
        <f t="shared" si="38"/>
        <v>0.11074065603763716</v>
      </c>
      <c r="M166">
        <f>Data!D493</f>
        <v>3.5860128402709961</v>
      </c>
      <c r="N166">
        <f t="shared" si="39"/>
        <v>42496.9375</v>
      </c>
      <c r="O166" s="4">
        <f t="shared" si="40"/>
        <v>0.11074065603763716</v>
      </c>
      <c r="P166" t="str">
        <f t="shared" si="41"/>
        <v>vrp_100</v>
      </c>
      <c r="Q166">
        <f t="shared" si="42"/>
        <v>11.327511548995972</v>
      </c>
      <c r="R166" t="str">
        <f t="shared" si="43"/>
        <v>201-500</v>
      </c>
      <c r="S166" t="str">
        <f t="shared" si="44"/>
        <v>&gt;10%</v>
      </c>
      <c r="T166" t="str">
        <f t="shared" si="45"/>
        <v/>
      </c>
      <c r="U166">
        <f t="shared" si="46"/>
        <v>3.5860128402709961</v>
      </c>
      <c r="V166" s="4">
        <f t="shared" si="47"/>
        <v>0</v>
      </c>
    </row>
    <row r="167" spans="1:22">
      <c r="A167" t="s">
        <v>160</v>
      </c>
      <c r="B167" t="s">
        <v>220</v>
      </c>
      <c r="C167">
        <v>400</v>
      </c>
      <c r="D167">
        <f>Data!J496</f>
        <v>66154</v>
      </c>
      <c r="E167">
        <f>Data!B497</f>
        <v>75893.1484375</v>
      </c>
      <c r="F167" s="4">
        <f t="shared" si="36"/>
        <v>0.14721934331257369</v>
      </c>
      <c r="G167">
        <f>Data!D497</f>
        <v>5.4272348880767822</v>
      </c>
      <c r="H167">
        <f>Data!B498</f>
        <v>73690.0546875</v>
      </c>
      <c r="I167" s="4">
        <f t="shared" si="37"/>
        <v>0.11391684081839348</v>
      </c>
      <c r="J167">
        <f>Data!D498</f>
        <v>3.633622407913208</v>
      </c>
      <c r="K167">
        <f>Data!B496</f>
        <v>70477</v>
      </c>
      <c r="L167" s="4">
        <f t="shared" si="38"/>
        <v>6.5347522447622319E-2</v>
      </c>
      <c r="M167">
        <f>Data!D496</f>
        <v>4.1848447322845459</v>
      </c>
      <c r="N167">
        <f t="shared" si="39"/>
        <v>70477</v>
      </c>
      <c r="O167" s="4">
        <f t="shared" si="40"/>
        <v>6.5347522447622319E-2</v>
      </c>
      <c r="P167" t="str">
        <f t="shared" si="41"/>
        <v>vrp_100</v>
      </c>
      <c r="Q167">
        <f t="shared" si="42"/>
        <v>13.245702028274536</v>
      </c>
      <c r="R167" t="str">
        <f t="shared" si="43"/>
        <v>201-500</v>
      </c>
      <c r="S167" t="str">
        <f t="shared" si="44"/>
        <v>5-10%</v>
      </c>
      <c r="T167" t="str">
        <f t="shared" si="45"/>
        <v/>
      </c>
      <c r="U167">
        <f t="shared" si="46"/>
        <v>4.1848447322845459</v>
      </c>
      <c r="V167" s="4">
        <f t="shared" si="47"/>
        <v>0</v>
      </c>
    </row>
    <row r="168" spans="1:22">
      <c r="A168" t="s">
        <v>160</v>
      </c>
      <c r="B168" t="s">
        <v>221</v>
      </c>
      <c r="C168">
        <v>410</v>
      </c>
      <c r="D168">
        <f>Data!J499</f>
        <v>19712</v>
      </c>
      <c r="E168">
        <f>Data!B500</f>
        <v>28295.958984375</v>
      </c>
      <c r="F168" s="4">
        <f t="shared" si="36"/>
        <v>0.43546869847681613</v>
      </c>
      <c r="G168">
        <f>Data!D500</f>
        <v>5.3311271667480469</v>
      </c>
      <c r="H168">
        <f>Data!B501</f>
        <v>23892.7109375</v>
      </c>
      <c r="I168" s="4">
        <f t="shared" si="37"/>
        <v>0.21208963765726452</v>
      </c>
      <c r="J168">
        <f>Data!D501</f>
        <v>3.5223054885864258</v>
      </c>
      <c r="K168">
        <f>Data!B499</f>
        <v>23779.455078125</v>
      </c>
      <c r="L168" s="4">
        <f t="shared" si="38"/>
        <v>0.20634410907695822</v>
      </c>
      <c r="M168">
        <f>Data!D499</f>
        <v>4.0051286220550537</v>
      </c>
      <c r="N168">
        <f t="shared" si="39"/>
        <v>23779.455078125</v>
      </c>
      <c r="O168" s="4">
        <f t="shared" si="40"/>
        <v>0.20634410907695822</v>
      </c>
      <c r="P168" t="str">
        <f t="shared" si="41"/>
        <v>vrp_100</v>
      </c>
      <c r="Q168">
        <f t="shared" si="42"/>
        <v>12.858561277389526</v>
      </c>
      <c r="R168" t="str">
        <f t="shared" si="43"/>
        <v>201-500</v>
      </c>
      <c r="S168" t="str">
        <f t="shared" si="44"/>
        <v>&gt;10%</v>
      </c>
      <c r="T168" t="str">
        <f t="shared" si="45"/>
        <v>ATENÇÃO: gap &gt; 20%</v>
      </c>
      <c r="U168">
        <f t="shared" si="46"/>
        <v>4.0051286220550537</v>
      </c>
      <c r="V168" s="4">
        <f t="shared" si="47"/>
        <v>0</v>
      </c>
    </row>
    <row r="169" spans="1:22">
      <c r="A169" t="s">
        <v>160</v>
      </c>
      <c r="B169" t="s">
        <v>222</v>
      </c>
      <c r="C169">
        <v>419</v>
      </c>
      <c r="D169">
        <f>Data!J502</f>
        <v>107798</v>
      </c>
      <c r="E169">
        <f>Data!B503</f>
        <v>122759.1796875</v>
      </c>
      <c r="F169" s="4">
        <f t="shared" si="36"/>
        <v>0.13878902843744778</v>
      </c>
      <c r="G169">
        <f>Data!D503</f>
        <v>5.4181432723999023</v>
      </c>
      <c r="H169">
        <f>Data!B504</f>
        <v>122473.6875</v>
      </c>
      <c r="I169" s="4">
        <f t="shared" si="37"/>
        <v>0.13614062876862287</v>
      </c>
      <c r="J169">
        <f>Data!D504</f>
        <v>6.1437051296234131</v>
      </c>
      <c r="K169">
        <f>Data!B502</f>
        <v>118772.0390625</v>
      </c>
      <c r="L169" s="4">
        <f t="shared" si="38"/>
        <v>0.10180188002096524</v>
      </c>
      <c r="M169">
        <f>Data!D502</f>
        <v>6.9164538383483887</v>
      </c>
      <c r="N169">
        <f t="shared" si="39"/>
        <v>118772.0390625</v>
      </c>
      <c r="O169" s="4">
        <f t="shared" si="40"/>
        <v>0.10180188002096524</v>
      </c>
      <c r="P169" t="str">
        <f t="shared" si="41"/>
        <v>vrp_100</v>
      </c>
      <c r="Q169">
        <f t="shared" si="42"/>
        <v>18.478302240371704</v>
      </c>
      <c r="R169" t="str">
        <f t="shared" si="43"/>
        <v>201-500</v>
      </c>
      <c r="S169" t="str">
        <f t="shared" si="44"/>
        <v>&gt;10%</v>
      </c>
      <c r="T169" t="str">
        <f t="shared" si="45"/>
        <v/>
      </c>
      <c r="U169">
        <f t="shared" si="46"/>
        <v>6.9164538383483887</v>
      </c>
      <c r="V169" s="4">
        <f t="shared" si="47"/>
        <v>0</v>
      </c>
    </row>
    <row r="170" spans="1:22">
      <c r="A170" t="s">
        <v>160</v>
      </c>
      <c r="B170" t="s">
        <v>223</v>
      </c>
      <c r="C170">
        <v>428</v>
      </c>
      <c r="D170">
        <f>Data!J505</f>
        <v>65449</v>
      </c>
      <c r="E170">
        <f>Data!B506</f>
        <v>80320.140625</v>
      </c>
      <c r="F170" s="4">
        <f t="shared" si="36"/>
        <v>0.22721723211966571</v>
      </c>
      <c r="G170">
        <f>Data!D506</f>
        <v>4.7731571197509766</v>
      </c>
      <c r="H170">
        <f>Data!B507</f>
        <v>75016.515625</v>
      </c>
      <c r="I170" s="4">
        <f t="shared" si="37"/>
        <v>0.14618276253265905</v>
      </c>
      <c r="J170">
        <f>Data!D507</f>
        <v>5.8587589263916016</v>
      </c>
      <c r="K170">
        <f>Data!B505</f>
        <v>72237.96875</v>
      </c>
      <c r="L170" s="4">
        <f t="shared" si="38"/>
        <v>0.10372914406637235</v>
      </c>
      <c r="M170">
        <f>Data!D505</f>
        <v>3.9746265411376949</v>
      </c>
      <c r="N170">
        <f t="shared" si="39"/>
        <v>72237.96875</v>
      </c>
      <c r="O170" s="4">
        <f t="shared" si="40"/>
        <v>0.10372914406637235</v>
      </c>
      <c r="P170" t="str">
        <f t="shared" si="41"/>
        <v>vrp_100</v>
      </c>
      <c r="Q170">
        <f t="shared" si="42"/>
        <v>14.606542587280273</v>
      </c>
      <c r="R170" t="str">
        <f t="shared" si="43"/>
        <v>201-500</v>
      </c>
      <c r="S170" t="str">
        <f t="shared" si="44"/>
        <v>&gt;10%</v>
      </c>
      <c r="T170" t="str">
        <f t="shared" si="45"/>
        <v/>
      </c>
      <c r="U170">
        <f t="shared" si="46"/>
        <v>3.9746265411376949</v>
      </c>
      <c r="V170" s="4">
        <f t="shared" si="47"/>
        <v>0</v>
      </c>
    </row>
    <row r="171" spans="1:22">
      <c r="A171" t="s">
        <v>160</v>
      </c>
      <c r="B171" t="s">
        <v>224</v>
      </c>
      <c r="C171">
        <v>438</v>
      </c>
      <c r="D171">
        <f>Data!J508</f>
        <v>36391</v>
      </c>
      <c r="E171">
        <f>Data!B509</f>
        <v>46802.17578125</v>
      </c>
      <c r="F171" s="4">
        <f t="shared" si="36"/>
        <v>0.286092049716963</v>
      </c>
      <c r="G171">
        <f>Data!D509</f>
        <v>3.4116122722625728</v>
      </c>
      <c r="H171">
        <f>Data!B510</f>
        <v>41416.5390625</v>
      </c>
      <c r="I171" s="4">
        <f t="shared" si="37"/>
        <v>0.13809840516886052</v>
      </c>
      <c r="J171">
        <f>Data!D510</f>
        <v>5.8447144031524658</v>
      </c>
      <c r="K171">
        <f>Data!B508</f>
        <v>39717.484375</v>
      </c>
      <c r="L171" s="4">
        <f t="shared" si="38"/>
        <v>9.1409534637685086E-2</v>
      </c>
      <c r="M171">
        <f>Data!D508</f>
        <v>3.8277051448822021</v>
      </c>
      <c r="N171">
        <f t="shared" si="39"/>
        <v>39717.484375</v>
      </c>
      <c r="O171" s="4">
        <f t="shared" si="40"/>
        <v>9.1409534637685086E-2</v>
      </c>
      <c r="P171" t="str">
        <f t="shared" si="41"/>
        <v>vrp_100</v>
      </c>
      <c r="Q171">
        <f t="shared" si="42"/>
        <v>13.084031820297241</v>
      </c>
      <c r="R171" t="str">
        <f t="shared" si="43"/>
        <v>201-500</v>
      </c>
      <c r="S171" t="str">
        <f t="shared" si="44"/>
        <v>5-10%</v>
      </c>
      <c r="T171" t="str">
        <f t="shared" si="45"/>
        <v/>
      </c>
      <c r="U171">
        <f t="shared" si="46"/>
        <v>3.8277051448822021</v>
      </c>
      <c r="V171" s="4">
        <f t="shared" si="47"/>
        <v>0</v>
      </c>
    </row>
    <row r="172" spans="1:22">
      <c r="A172" t="s">
        <v>160</v>
      </c>
      <c r="B172" t="s">
        <v>225</v>
      </c>
      <c r="C172">
        <v>448</v>
      </c>
      <c r="D172">
        <f>Data!J511</f>
        <v>55233</v>
      </c>
      <c r="E172">
        <f>Data!B512</f>
        <v>66660.34375</v>
      </c>
      <c r="F172" s="4">
        <f t="shared" si="36"/>
        <v>0.20689341064218847</v>
      </c>
      <c r="G172">
        <f>Data!D512</f>
        <v>3.4112014770507808</v>
      </c>
      <c r="H172">
        <f>Data!B513</f>
        <v>62375.015625</v>
      </c>
      <c r="I172" s="4">
        <f t="shared" si="37"/>
        <v>0.12930703791211773</v>
      </c>
      <c r="J172">
        <f>Data!D513</f>
        <v>5.5391876697540283</v>
      </c>
      <c r="K172">
        <f>Data!B511</f>
        <v>59758.9296875</v>
      </c>
      <c r="L172" s="4">
        <f t="shared" si="38"/>
        <v>8.1942492486375862E-2</v>
      </c>
      <c r="M172">
        <f>Data!D511</f>
        <v>3.991818904876709</v>
      </c>
      <c r="N172">
        <f t="shared" si="39"/>
        <v>59758.9296875</v>
      </c>
      <c r="O172" s="4">
        <f t="shared" si="40"/>
        <v>8.1942492486375862E-2</v>
      </c>
      <c r="P172" t="str">
        <f t="shared" si="41"/>
        <v>vrp_100</v>
      </c>
      <c r="Q172">
        <f t="shared" si="42"/>
        <v>12.942208051681519</v>
      </c>
      <c r="R172" t="str">
        <f t="shared" si="43"/>
        <v>201-500</v>
      </c>
      <c r="S172" t="str">
        <f t="shared" si="44"/>
        <v>5-10%</v>
      </c>
      <c r="T172" t="str">
        <f t="shared" si="45"/>
        <v/>
      </c>
      <c r="U172">
        <f t="shared" si="46"/>
        <v>3.991818904876709</v>
      </c>
      <c r="V172" s="4">
        <f t="shared" si="47"/>
        <v>0</v>
      </c>
    </row>
    <row r="173" spans="1:22">
      <c r="A173" t="s">
        <v>160</v>
      </c>
      <c r="B173" t="s">
        <v>226</v>
      </c>
      <c r="C173">
        <v>458</v>
      </c>
      <c r="D173">
        <f>Data!J514</f>
        <v>24139</v>
      </c>
      <c r="E173">
        <f>Data!B515</f>
        <v>34827.76953125</v>
      </c>
      <c r="F173" s="4">
        <f t="shared" si="36"/>
        <v>0.44280084225734284</v>
      </c>
      <c r="G173">
        <f>Data!D515</f>
        <v>3.350753545761108</v>
      </c>
      <c r="H173">
        <f>Data!B516</f>
        <v>29669.69921875</v>
      </c>
      <c r="I173" s="4">
        <f t="shared" si="37"/>
        <v>0.22911882094328684</v>
      </c>
      <c r="J173">
        <f>Data!D516</f>
        <v>5.0240893363952637</v>
      </c>
      <c r="K173">
        <f>Data!B514</f>
        <v>29844.875</v>
      </c>
      <c r="L173" s="4">
        <f t="shared" si="38"/>
        <v>0.23637578192965747</v>
      </c>
      <c r="M173">
        <f>Data!D514</f>
        <v>5.5244719982147217</v>
      </c>
      <c r="N173">
        <f t="shared" si="39"/>
        <v>29669.69921875</v>
      </c>
      <c r="O173" s="4">
        <f t="shared" si="40"/>
        <v>0.22911882094328684</v>
      </c>
      <c r="P173" t="str">
        <f t="shared" si="41"/>
        <v>vrp_50</v>
      </c>
      <c r="Q173">
        <f t="shared" si="42"/>
        <v>13.899314880371094</v>
      </c>
      <c r="R173" t="str">
        <f t="shared" si="43"/>
        <v>201-500</v>
      </c>
      <c r="S173" t="str">
        <f t="shared" si="44"/>
        <v>&gt;10%</v>
      </c>
      <c r="T173" t="str">
        <f t="shared" si="45"/>
        <v>ATENÇÃO: gap &gt; 20%</v>
      </c>
      <c r="U173">
        <f t="shared" si="46"/>
        <v>5.0240893363952637</v>
      </c>
      <c r="V173" s="4">
        <f t="shared" si="47"/>
        <v>7.2569609863706308E-3</v>
      </c>
    </row>
    <row r="174" spans="1:22">
      <c r="A174" t="s">
        <v>160</v>
      </c>
      <c r="B174" t="s">
        <v>227</v>
      </c>
      <c r="C174">
        <v>468</v>
      </c>
      <c r="D174">
        <f>Data!J517</f>
        <v>221824</v>
      </c>
      <c r="E174">
        <f>Data!B518</f>
        <v>252336.609375</v>
      </c>
      <c r="F174" s="4">
        <f t="shared" si="36"/>
        <v>0.13755323758925986</v>
      </c>
      <c r="G174">
        <f>Data!D518</f>
        <v>4.9844684600830078</v>
      </c>
      <c r="H174">
        <f>Data!B519</f>
        <v>246642.609375</v>
      </c>
      <c r="I174" s="4">
        <f t="shared" si="37"/>
        <v>0.11188423874332809</v>
      </c>
      <c r="J174">
        <f>Data!D519</f>
        <v>7.0359036922454834</v>
      </c>
      <c r="K174">
        <f>Data!B517</f>
        <v>247725.375</v>
      </c>
      <c r="L174" s="4">
        <f t="shared" si="38"/>
        <v>0.11676543115262561</v>
      </c>
      <c r="M174">
        <f>Data!D517</f>
        <v>7.1975193023681641</v>
      </c>
      <c r="N174">
        <f t="shared" si="39"/>
        <v>246642.609375</v>
      </c>
      <c r="O174" s="4">
        <f t="shared" si="40"/>
        <v>0.11188423874332809</v>
      </c>
      <c r="P174" t="str">
        <f t="shared" si="41"/>
        <v>vrp_50</v>
      </c>
      <c r="Q174">
        <f t="shared" si="42"/>
        <v>19.217891454696655</v>
      </c>
      <c r="R174" t="str">
        <f t="shared" si="43"/>
        <v>201-500</v>
      </c>
      <c r="S174" t="str">
        <f t="shared" si="44"/>
        <v>&gt;10%</v>
      </c>
      <c r="T174" t="str">
        <f t="shared" si="45"/>
        <v/>
      </c>
      <c r="U174">
        <f t="shared" si="46"/>
        <v>7.0359036922454834</v>
      </c>
      <c r="V174" s="4">
        <f t="shared" si="47"/>
        <v>4.881192409297519E-3</v>
      </c>
    </row>
    <row r="175" spans="1:22">
      <c r="A175" t="s">
        <v>160</v>
      </c>
      <c r="B175" t="s">
        <v>228</v>
      </c>
      <c r="C175">
        <v>479</v>
      </c>
      <c r="D175">
        <f>Data!J520</f>
        <v>89449</v>
      </c>
      <c r="E175">
        <f>Data!B521</f>
        <v>104501.6953125</v>
      </c>
      <c r="F175" s="4">
        <f t="shared" si="36"/>
        <v>0.16828243258728448</v>
      </c>
      <c r="G175">
        <f>Data!D521</f>
        <v>3.6729617118835449</v>
      </c>
      <c r="H175">
        <f>Data!B522</f>
        <v>100432.6953125</v>
      </c>
      <c r="I175" s="4">
        <f t="shared" si="37"/>
        <v>0.122792823983499</v>
      </c>
      <c r="J175">
        <f>Data!D522</f>
        <v>5.2639756202697754</v>
      </c>
      <c r="K175">
        <f>Data!B520</f>
        <v>97433.546875</v>
      </c>
      <c r="L175" s="4">
        <f t="shared" si="38"/>
        <v>8.9263679582779032E-2</v>
      </c>
      <c r="M175">
        <f>Data!D520</f>
        <v>6.3564865589141846</v>
      </c>
      <c r="N175">
        <f t="shared" si="39"/>
        <v>97433.546875</v>
      </c>
      <c r="O175" s="4">
        <f t="shared" si="40"/>
        <v>8.9263679582779032E-2</v>
      </c>
      <c r="P175" t="str">
        <f t="shared" si="41"/>
        <v>vrp_100</v>
      </c>
      <c r="Q175">
        <f t="shared" si="42"/>
        <v>15.293423891067505</v>
      </c>
      <c r="R175" t="str">
        <f t="shared" si="43"/>
        <v>201-500</v>
      </c>
      <c r="S175" t="str">
        <f t="shared" si="44"/>
        <v>5-10%</v>
      </c>
      <c r="T175" t="str">
        <f t="shared" si="45"/>
        <v/>
      </c>
      <c r="U175">
        <f t="shared" si="46"/>
        <v>6.3564865589141846</v>
      </c>
      <c r="V175" s="4">
        <f t="shared" si="47"/>
        <v>0</v>
      </c>
    </row>
    <row r="176" spans="1:22">
      <c r="A176" t="s">
        <v>160</v>
      </c>
      <c r="B176" t="s">
        <v>229</v>
      </c>
      <c r="C176">
        <v>490</v>
      </c>
      <c r="D176">
        <f>Data!J523</f>
        <v>66483</v>
      </c>
      <c r="E176">
        <f>Data!B524</f>
        <v>87579.390625</v>
      </c>
      <c r="F176" s="4">
        <f t="shared" si="36"/>
        <v>0.31732007618488933</v>
      </c>
      <c r="G176">
        <f>Data!D524</f>
        <v>3.8529212474822998</v>
      </c>
      <c r="H176">
        <f>Data!B525</f>
        <v>76910.671875</v>
      </c>
      <c r="I176" s="4">
        <f t="shared" si="37"/>
        <v>0.15684719213934395</v>
      </c>
      <c r="J176">
        <f>Data!D525</f>
        <v>4.764615535736084</v>
      </c>
      <c r="K176">
        <f>Data!B523</f>
        <v>72947.921875</v>
      </c>
      <c r="L176" s="4">
        <f t="shared" si="38"/>
        <v>9.7241729088639151E-2</v>
      </c>
      <c r="M176">
        <f>Data!D523</f>
        <v>3.977703332901001</v>
      </c>
      <c r="N176">
        <f t="shared" si="39"/>
        <v>72947.921875</v>
      </c>
      <c r="O176" s="4">
        <f t="shared" si="40"/>
        <v>9.7241729088639151E-2</v>
      </c>
      <c r="P176" t="str">
        <f t="shared" si="41"/>
        <v>vrp_100</v>
      </c>
      <c r="Q176">
        <f t="shared" si="42"/>
        <v>12.595240116119385</v>
      </c>
      <c r="R176" t="str">
        <f t="shared" si="43"/>
        <v>201-500</v>
      </c>
      <c r="S176" t="str">
        <f t="shared" si="44"/>
        <v>5-10%</v>
      </c>
      <c r="T176" t="str">
        <f t="shared" si="45"/>
        <v/>
      </c>
      <c r="U176">
        <f t="shared" si="46"/>
        <v>3.977703332901001</v>
      </c>
      <c r="V176" s="4">
        <f t="shared" si="47"/>
        <v>0</v>
      </c>
    </row>
    <row r="177" spans="1:22">
      <c r="A177" t="s">
        <v>160</v>
      </c>
      <c r="B177" t="s">
        <v>230</v>
      </c>
      <c r="C177">
        <v>501</v>
      </c>
      <c r="D177">
        <f>Data!J526</f>
        <v>69226</v>
      </c>
      <c r="E177">
        <f>Data!B527</f>
        <v>77125.0625</v>
      </c>
      <c r="F177" s="4">
        <f t="shared" si="36"/>
        <v>0.11410543004073603</v>
      </c>
      <c r="G177">
        <f>Data!D527</f>
        <v>4.0426056385040283</v>
      </c>
      <c r="H177">
        <f>Data!B528</f>
        <v>95005.890625</v>
      </c>
      <c r="I177" s="4">
        <f t="shared" si="37"/>
        <v>0.37240185226648936</v>
      </c>
      <c r="J177">
        <f>Data!D528</f>
        <v>4.6217935085296631</v>
      </c>
      <c r="K177">
        <f>Data!B526</f>
        <v>72928.9375</v>
      </c>
      <c r="L177" s="4">
        <f t="shared" si="38"/>
        <v>5.3490559905237989E-2</v>
      </c>
      <c r="M177">
        <f>Data!D526</f>
        <v>4.2209887504577637</v>
      </c>
      <c r="N177">
        <f t="shared" si="39"/>
        <v>72928.9375</v>
      </c>
      <c r="O177" s="4">
        <f t="shared" si="40"/>
        <v>5.3490559905237989E-2</v>
      </c>
      <c r="P177" t="str">
        <f t="shared" si="41"/>
        <v>vrp_100</v>
      </c>
      <c r="Q177">
        <f t="shared" si="42"/>
        <v>12.885387897491455</v>
      </c>
      <c r="R177" t="str">
        <f t="shared" si="43"/>
        <v>&gt;500</v>
      </c>
      <c r="S177" t="str">
        <f t="shared" si="44"/>
        <v>5-10%</v>
      </c>
      <c r="T177" t="str">
        <f t="shared" si="45"/>
        <v/>
      </c>
      <c r="U177">
        <f t="shared" si="46"/>
        <v>4.2209887504577637</v>
      </c>
      <c r="V177" s="4">
        <f t="shared" si="47"/>
        <v>0</v>
      </c>
    </row>
    <row r="178" spans="1:22">
      <c r="A178" t="s">
        <v>160</v>
      </c>
      <c r="B178" t="s">
        <v>231</v>
      </c>
      <c r="C178">
        <v>512</v>
      </c>
      <c r="D178">
        <f>Data!J529</f>
        <v>24201</v>
      </c>
      <c r="E178">
        <f>Data!B530</f>
        <v>32034.46875</v>
      </c>
      <c r="F178" s="4">
        <f t="shared" si="36"/>
        <v>0.3236836804264287</v>
      </c>
      <c r="G178">
        <f>Data!D530</f>
        <v>3.5331659317016602</v>
      </c>
      <c r="H178">
        <f>Data!B531</f>
        <v>29118.7578125</v>
      </c>
      <c r="I178" s="4">
        <f t="shared" si="37"/>
        <v>0.20320473585802246</v>
      </c>
      <c r="J178">
        <f>Data!D531</f>
        <v>4.6102609634399414</v>
      </c>
      <c r="K178">
        <f>Data!B529</f>
        <v>27211.748046875</v>
      </c>
      <c r="L178" s="4">
        <f t="shared" si="38"/>
        <v>0.12440593557600921</v>
      </c>
      <c r="M178">
        <f>Data!D529</f>
        <v>4.2172939777374268</v>
      </c>
      <c r="N178">
        <f t="shared" si="39"/>
        <v>27211.748046875</v>
      </c>
      <c r="O178" s="4">
        <f t="shared" si="40"/>
        <v>0.12440593557600921</v>
      </c>
      <c r="P178" t="str">
        <f t="shared" si="41"/>
        <v>vrp_100</v>
      </c>
      <c r="Q178">
        <f t="shared" si="42"/>
        <v>12.360720872879028</v>
      </c>
      <c r="R178" t="str">
        <f t="shared" si="43"/>
        <v>&gt;500</v>
      </c>
      <c r="S178" t="str">
        <f t="shared" si="44"/>
        <v>&gt;10%</v>
      </c>
      <c r="T178" t="str">
        <f t="shared" si="45"/>
        <v/>
      </c>
      <c r="U178">
        <f t="shared" si="46"/>
        <v>4.2172939777374268</v>
      </c>
      <c r="V178" s="4">
        <f t="shared" si="47"/>
        <v>0</v>
      </c>
    </row>
    <row r="179" spans="1:22">
      <c r="A179" t="s">
        <v>160</v>
      </c>
      <c r="B179" t="s">
        <v>232</v>
      </c>
      <c r="C179">
        <v>523</v>
      </c>
      <c r="D179">
        <f>Data!J532</f>
        <v>154593</v>
      </c>
      <c r="E179">
        <f>Data!B533</f>
        <v>182711</v>
      </c>
      <c r="F179" s="4">
        <f t="shared" si="36"/>
        <v>0.18188404390884449</v>
      </c>
      <c r="G179">
        <f>Data!D533</f>
        <v>5.4267203807830811</v>
      </c>
      <c r="H179">
        <f>Data!B534</f>
        <v>174985.671875</v>
      </c>
      <c r="I179" s="4">
        <f t="shared" si="37"/>
        <v>0.13191200038164719</v>
      </c>
      <c r="J179">
        <f>Data!D534</f>
        <v>6.5050003528594971</v>
      </c>
      <c r="K179">
        <f>Data!B532</f>
        <v>170679.96875</v>
      </c>
      <c r="L179" s="4">
        <f t="shared" si="38"/>
        <v>0.10406013694022365</v>
      </c>
      <c r="M179">
        <f>Data!D532</f>
        <v>7.6924009323120117</v>
      </c>
      <c r="N179">
        <f t="shared" si="39"/>
        <v>170679.96875</v>
      </c>
      <c r="O179" s="4">
        <f t="shared" si="40"/>
        <v>0.10406013694022365</v>
      </c>
      <c r="P179" t="str">
        <f t="shared" si="41"/>
        <v>vrp_100</v>
      </c>
      <c r="Q179">
        <f t="shared" si="42"/>
        <v>19.62412166595459</v>
      </c>
      <c r="R179" t="str">
        <f t="shared" si="43"/>
        <v>&gt;500</v>
      </c>
      <c r="S179" t="str">
        <f t="shared" si="44"/>
        <v>&gt;10%</v>
      </c>
      <c r="T179" t="str">
        <f t="shared" si="45"/>
        <v/>
      </c>
      <c r="U179">
        <f t="shared" si="46"/>
        <v>7.6924009323120117</v>
      </c>
      <c r="V179" s="4">
        <f t="shared" si="47"/>
        <v>0</v>
      </c>
    </row>
    <row r="180" spans="1:22">
      <c r="A180" t="s">
        <v>160</v>
      </c>
      <c r="B180" t="s">
        <v>233</v>
      </c>
      <c r="C180">
        <v>535</v>
      </c>
      <c r="D180">
        <f>Data!J535</f>
        <v>94846</v>
      </c>
      <c r="E180">
        <f>Data!B536</f>
        <v>113827.921875</v>
      </c>
      <c r="F180" s="4">
        <f t="shared" si="36"/>
        <v>0.20013413190856766</v>
      </c>
      <c r="G180">
        <f>Data!D536</f>
        <v>3.6674187183380131</v>
      </c>
      <c r="H180">
        <f>Data!B537</f>
        <v>110396.421875</v>
      </c>
      <c r="I180" s="4">
        <f t="shared" si="37"/>
        <v>0.16395443007612331</v>
      </c>
      <c r="J180">
        <f>Data!D537</f>
        <v>4.9912252426147461</v>
      </c>
      <c r="K180">
        <f>Data!B535</f>
        <v>105274.21875</v>
      </c>
      <c r="L180" s="4">
        <f t="shared" si="38"/>
        <v>0.10994895672985683</v>
      </c>
      <c r="M180">
        <f>Data!D535</f>
        <v>5.9977829456329346</v>
      </c>
      <c r="N180">
        <f t="shared" si="39"/>
        <v>105274.21875</v>
      </c>
      <c r="O180" s="4">
        <f t="shared" si="40"/>
        <v>0.10994895672985683</v>
      </c>
      <c r="P180" t="str">
        <f t="shared" si="41"/>
        <v>vrp_100</v>
      </c>
      <c r="Q180">
        <f t="shared" si="42"/>
        <v>14.656426906585693</v>
      </c>
      <c r="R180" t="str">
        <f t="shared" si="43"/>
        <v>&gt;500</v>
      </c>
      <c r="S180" t="str">
        <f t="shared" si="44"/>
        <v>&gt;10%</v>
      </c>
      <c r="T180" t="str">
        <f t="shared" si="45"/>
        <v/>
      </c>
      <c r="U180">
        <f t="shared" si="46"/>
        <v>5.9977829456329346</v>
      </c>
      <c r="V180" s="4">
        <f t="shared" si="47"/>
        <v>0</v>
      </c>
    </row>
    <row r="181" spans="1:22">
      <c r="A181" t="s">
        <v>160</v>
      </c>
      <c r="B181" t="s">
        <v>234</v>
      </c>
      <c r="C181">
        <v>547</v>
      </c>
      <c r="D181">
        <f>Data!J538</f>
        <v>86700</v>
      </c>
      <c r="E181">
        <f>Data!B539</f>
        <v>113619.7265625</v>
      </c>
      <c r="F181" s="4">
        <f t="shared" si="36"/>
        <v>0.31049280925605527</v>
      </c>
      <c r="G181">
        <f>Data!D539</f>
        <v>3.571320772171021</v>
      </c>
      <c r="H181">
        <f>Data!B540</f>
        <v>106136.3515625</v>
      </c>
      <c r="I181" s="4">
        <f t="shared" si="37"/>
        <v>0.22417937211649375</v>
      </c>
      <c r="J181">
        <f>Data!D540</f>
        <v>4.2081582546234131</v>
      </c>
      <c r="K181">
        <f>Data!B538</f>
        <v>102623.03125</v>
      </c>
      <c r="L181" s="4">
        <f t="shared" si="38"/>
        <v>0.18365664648212232</v>
      </c>
      <c r="M181">
        <f>Data!D538</f>
        <v>4.3046698570251456</v>
      </c>
      <c r="N181">
        <f t="shared" si="39"/>
        <v>102623.03125</v>
      </c>
      <c r="O181" s="4">
        <f t="shared" si="40"/>
        <v>0.18365664648212232</v>
      </c>
      <c r="P181" t="str">
        <f t="shared" si="41"/>
        <v>vrp_100</v>
      </c>
      <c r="Q181">
        <f t="shared" si="42"/>
        <v>12.08414888381958</v>
      </c>
      <c r="R181" t="str">
        <f t="shared" si="43"/>
        <v>&gt;500</v>
      </c>
      <c r="S181" t="str">
        <f t="shared" si="44"/>
        <v>&gt;10%</v>
      </c>
      <c r="T181" t="str">
        <f t="shared" si="45"/>
        <v/>
      </c>
      <c r="U181">
        <f t="shared" si="46"/>
        <v>4.3046698570251456</v>
      </c>
      <c r="V181" s="4">
        <f t="shared" si="47"/>
        <v>0</v>
      </c>
    </row>
    <row r="182" spans="1:22">
      <c r="A182" t="s">
        <v>160</v>
      </c>
      <c r="B182" t="s">
        <v>235</v>
      </c>
      <c r="C182">
        <v>560</v>
      </c>
      <c r="D182">
        <f>Data!J541</f>
        <v>42717</v>
      </c>
      <c r="E182">
        <f>Data!B542</f>
        <v>57902.23046875</v>
      </c>
      <c r="F182" s="4">
        <f t="shared" si="36"/>
        <v>0.35548447851557929</v>
      </c>
      <c r="G182">
        <f>Data!D542</f>
        <v>3.8534615039825439</v>
      </c>
      <c r="H182">
        <f>Data!B543</f>
        <v>49624.953125</v>
      </c>
      <c r="I182" s="4">
        <f t="shared" si="37"/>
        <v>0.16171437893578666</v>
      </c>
      <c r="J182">
        <f>Data!D543</f>
        <v>4.3587892055511466</v>
      </c>
      <c r="K182">
        <f>Data!B541</f>
        <v>47877.41796875</v>
      </c>
      <c r="L182" s="4">
        <f t="shared" si="38"/>
        <v>0.1208047842486597</v>
      </c>
      <c r="M182">
        <f>Data!D541</f>
        <v>4.28562331199646</v>
      </c>
      <c r="N182">
        <f t="shared" si="39"/>
        <v>47877.41796875</v>
      </c>
      <c r="O182" s="4">
        <f t="shared" si="40"/>
        <v>0.1208047842486597</v>
      </c>
      <c r="P182" t="str">
        <f t="shared" si="41"/>
        <v>vrp_100</v>
      </c>
      <c r="Q182">
        <f t="shared" si="42"/>
        <v>12.497874021530151</v>
      </c>
      <c r="R182" t="str">
        <f t="shared" si="43"/>
        <v>&gt;500</v>
      </c>
      <c r="S182" t="str">
        <f t="shared" si="44"/>
        <v>&gt;10%</v>
      </c>
      <c r="T182" t="str">
        <f t="shared" si="45"/>
        <v/>
      </c>
      <c r="U182">
        <f t="shared" si="46"/>
        <v>4.28562331199646</v>
      </c>
      <c r="V182" s="4">
        <f t="shared" si="47"/>
        <v>0</v>
      </c>
    </row>
    <row r="183" spans="1:22">
      <c r="A183" t="s">
        <v>160</v>
      </c>
      <c r="B183" t="s">
        <v>236</v>
      </c>
      <c r="C183">
        <v>572</v>
      </c>
      <c r="D183">
        <f>Data!J544</f>
        <v>50673</v>
      </c>
      <c r="E183">
        <f>Data!B545</f>
        <v>63176.37890625</v>
      </c>
      <c r="F183" s="4">
        <f t="shared" si="36"/>
        <v>0.24674637195843951</v>
      </c>
      <c r="G183">
        <f>Data!D545</f>
        <v>3.96668529510498</v>
      </c>
      <c r="H183">
        <f>Data!B546</f>
        <v>58097.26171875</v>
      </c>
      <c r="I183" s="4">
        <f t="shared" si="37"/>
        <v>0.14651316714522533</v>
      </c>
      <c r="J183">
        <f>Data!D546</f>
        <v>4.7475693225860596</v>
      </c>
      <c r="K183">
        <f>Data!B544</f>
        <v>68682.390625</v>
      </c>
      <c r="L183" s="4">
        <f t="shared" si="38"/>
        <v>0.35540407366842297</v>
      </c>
      <c r="M183">
        <f>Data!D544</f>
        <v>5.7367475032806396</v>
      </c>
      <c r="N183">
        <f t="shared" si="39"/>
        <v>58097.26171875</v>
      </c>
      <c r="O183" s="4">
        <f t="shared" si="40"/>
        <v>0.14651316714522533</v>
      </c>
      <c r="P183" t="str">
        <f t="shared" si="41"/>
        <v>vrp_50</v>
      </c>
      <c r="Q183">
        <f t="shared" si="42"/>
        <v>14.45100212097168</v>
      </c>
      <c r="R183" t="str">
        <f t="shared" si="43"/>
        <v>&gt;500</v>
      </c>
      <c r="S183" t="str">
        <f t="shared" si="44"/>
        <v>&gt;10%</v>
      </c>
      <c r="T183" t="str">
        <f t="shared" si="45"/>
        <v/>
      </c>
      <c r="U183">
        <f t="shared" si="46"/>
        <v>4.7475693225860596</v>
      </c>
      <c r="V183" s="4">
        <f t="shared" si="47"/>
        <v>0.20889090652319764</v>
      </c>
    </row>
    <row r="184" spans="1:22">
      <c r="A184" t="s">
        <v>160</v>
      </c>
      <c r="B184" t="s">
        <v>237</v>
      </c>
      <c r="C184">
        <v>585</v>
      </c>
      <c r="D184">
        <f>Data!J547</f>
        <v>190316</v>
      </c>
      <c r="E184">
        <f>Data!B548</f>
        <v>224741.390625</v>
      </c>
      <c r="F184" s="4">
        <f t="shared" si="36"/>
        <v>0.18088542542403152</v>
      </c>
      <c r="G184">
        <f>Data!D548</f>
        <v>5.731266975402832</v>
      </c>
      <c r="H184">
        <f>Data!B549</f>
        <v>218975.234375</v>
      </c>
      <c r="I184" s="4">
        <f t="shared" si="37"/>
        <v>0.15058762466108999</v>
      </c>
      <c r="J184">
        <f>Data!D549</f>
        <v>6.2301850318908691</v>
      </c>
      <c r="K184">
        <f>Data!B547</f>
        <v>213602</v>
      </c>
      <c r="L184" s="4">
        <f t="shared" si="38"/>
        <v>0.1223544000504424</v>
      </c>
      <c r="M184">
        <f>Data!D547</f>
        <v>7.2887382507324219</v>
      </c>
      <c r="N184">
        <f t="shared" si="39"/>
        <v>213602</v>
      </c>
      <c r="O184" s="4">
        <f t="shared" si="40"/>
        <v>0.1223544000504424</v>
      </c>
      <c r="P184" t="str">
        <f t="shared" si="41"/>
        <v>vrp_100</v>
      </c>
      <c r="Q184">
        <f t="shared" si="42"/>
        <v>19.250190258026123</v>
      </c>
      <c r="R184" t="str">
        <f t="shared" si="43"/>
        <v>&gt;500</v>
      </c>
      <c r="S184" t="str">
        <f t="shared" si="44"/>
        <v>&gt;10%</v>
      </c>
      <c r="T184" t="str">
        <f t="shared" si="45"/>
        <v/>
      </c>
      <c r="U184">
        <f t="shared" si="46"/>
        <v>7.2887382507324219</v>
      </c>
      <c r="V184" s="4">
        <f t="shared" si="47"/>
        <v>0</v>
      </c>
    </row>
    <row r="185" spans="1:22">
      <c r="A185" t="s">
        <v>160</v>
      </c>
      <c r="B185" t="s">
        <v>238</v>
      </c>
      <c r="C185">
        <v>598</v>
      </c>
      <c r="D185">
        <f>Data!J550</f>
        <v>108451</v>
      </c>
      <c r="E185">
        <f>Data!B551</f>
        <v>136538.25</v>
      </c>
      <c r="F185" s="4">
        <f t="shared" si="36"/>
        <v>0.2589856248443998</v>
      </c>
      <c r="G185">
        <f>Data!D551</f>
        <v>3.9650578498840332</v>
      </c>
      <c r="H185">
        <f>Data!B552</f>
        <v>126050.3359375</v>
      </c>
      <c r="I185" s="4">
        <f t="shared" si="37"/>
        <v>0.16227914853251701</v>
      </c>
      <c r="J185">
        <f>Data!D552</f>
        <v>4.8113713264465332</v>
      </c>
      <c r="K185">
        <f>Data!B550</f>
        <v>123547.71875</v>
      </c>
      <c r="L185" s="4">
        <f t="shared" si="38"/>
        <v>0.13920313090704561</v>
      </c>
      <c r="M185">
        <f>Data!D550</f>
        <v>5.5793147087097168</v>
      </c>
      <c r="N185">
        <f t="shared" si="39"/>
        <v>123547.71875</v>
      </c>
      <c r="O185" s="4">
        <f t="shared" si="40"/>
        <v>0.13920313090704561</v>
      </c>
      <c r="P185" t="str">
        <f t="shared" si="41"/>
        <v>vrp_100</v>
      </c>
      <c r="Q185">
        <f t="shared" si="42"/>
        <v>14.355743885040283</v>
      </c>
      <c r="R185" t="str">
        <f t="shared" si="43"/>
        <v>&gt;500</v>
      </c>
      <c r="S185" t="str">
        <f t="shared" si="44"/>
        <v>&gt;10%</v>
      </c>
      <c r="T185" t="str">
        <f t="shared" si="45"/>
        <v/>
      </c>
      <c r="U185">
        <f t="shared" si="46"/>
        <v>5.5793147087097168</v>
      </c>
      <c r="V185" s="4">
        <f t="shared" si="47"/>
        <v>0</v>
      </c>
    </row>
    <row r="186" spans="1:22">
      <c r="A186" t="s">
        <v>160</v>
      </c>
      <c r="B186" t="s">
        <v>239</v>
      </c>
      <c r="C186">
        <v>612</v>
      </c>
      <c r="D186">
        <f>Data!J553</f>
        <v>59535</v>
      </c>
      <c r="E186">
        <f>Data!B554</f>
        <v>79989.5078125</v>
      </c>
      <c r="F186" s="4">
        <f t="shared" si="36"/>
        <v>0.34357113987570331</v>
      </c>
      <c r="G186">
        <f>Data!D554</f>
        <v>4.3246946334838867</v>
      </c>
      <c r="H186">
        <f>Data!B555</f>
        <v>69963.046875</v>
      </c>
      <c r="I186" s="4">
        <f t="shared" si="37"/>
        <v>0.17515825774754346</v>
      </c>
      <c r="J186">
        <f>Data!D555</f>
        <v>4.5533185005187988</v>
      </c>
      <c r="K186">
        <f>Data!B553</f>
        <v>67107.2109375</v>
      </c>
      <c r="L186" s="4">
        <f t="shared" si="38"/>
        <v>0.1271892321743513</v>
      </c>
      <c r="M186">
        <f>Data!D553</f>
        <v>4.2039332389831543</v>
      </c>
      <c r="N186">
        <f t="shared" si="39"/>
        <v>67107.2109375</v>
      </c>
      <c r="O186" s="4">
        <f t="shared" si="40"/>
        <v>0.1271892321743513</v>
      </c>
      <c r="P186" t="str">
        <f t="shared" si="41"/>
        <v>vrp_100</v>
      </c>
      <c r="Q186">
        <f t="shared" si="42"/>
        <v>13.08194637298584</v>
      </c>
      <c r="R186" t="str">
        <f t="shared" si="43"/>
        <v>&gt;500</v>
      </c>
      <c r="S186" t="str">
        <f t="shared" si="44"/>
        <v>&gt;10%</v>
      </c>
      <c r="T186" t="str">
        <f t="shared" si="45"/>
        <v/>
      </c>
      <c r="U186">
        <f t="shared" si="46"/>
        <v>4.2039332389831543</v>
      </c>
      <c r="V186" s="4">
        <f t="shared" si="47"/>
        <v>0</v>
      </c>
    </row>
    <row r="187" spans="1:22">
      <c r="A187" t="s">
        <v>160</v>
      </c>
      <c r="B187" t="s">
        <v>240</v>
      </c>
      <c r="C187">
        <v>626</v>
      </c>
      <c r="D187">
        <f>Data!J556</f>
        <v>62164</v>
      </c>
      <c r="E187">
        <f>Data!B557</f>
        <v>84868.59375</v>
      </c>
      <c r="F187" s="4">
        <f t="shared" si="36"/>
        <v>0.36523701418827614</v>
      </c>
      <c r="G187">
        <f>Data!D557</f>
        <v>4.2048954963684082</v>
      </c>
      <c r="H187">
        <f>Data!B558</f>
        <v>73704.65625</v>
      </c>
      <c r="I187" s="4">
        <f t="shared" si="37"/>
        <v>0.1856485465864488</v>
      </c>
      <c r="J187">
        <f>Data!D558</f>
        <v>4.1347610950469971</v>
      </c>
      <c r="K187">
        <f>Data!B556</f>
        <v>82065.59375</v>
      </c>
      <c r="L187" s="4">
        <f t="shared" si="38"/>
        <v>0.32014660816549778</v>
      </c>
      <c r="M187">
        <f>Data!D556</f>
        <v>4.1948461532592773</v>
      </c>
      <c r="N187">
        <f t="shared" si="39"/>
        <v>73704.65625</v>
      </c>
      <c r="O187" s="4">
        <f t="shared" si="40"/>
        <v>0.1856485465864488</v>
      </c>
      <c r="P187" t="str">
        <f t="shared" si="41"/>
        <v>vrp_50</v>
      </c>
      <c r="Q187">
        <f t="shared" si="42"/>
        <v>12.534502744674683</v>
      </c>
      <c r="R187" t="str">
        <f t="shared" si="43"/>
        <v>&gt;500</v>
      </c>
      <c r="S187" t="str">
        <f t="shared" si="44"/>
        <v>&gt;10%</v>
      </c>
      <c r="T187" t="str">
        <f t="shared" si="45"/>
        <v/>
      </c>
      <c r="U187">
        <f t="shared" si="46"/>
        <v>4.1347610950469971</v>
      </c>
      <c r="V187" s="4">
        <f t="shared" si="47"/>
        <v>0.13449806157904898</v>
      </c>
    </row>
    <row r="188" spans="1:22">
      <c r="A188" t="s">
        <v>160</v>
      </c>
      <c r="B188" t="s">
        <v>241</v>
      </c>
      <c r="C188">
        <v>640</v>
      </c>
      <c r="D188">
        <f>Data!J559</f>
        <v>63684</v>
      </c>
      <c r="E188">
        <f>Data!B560</f>
        <v>76997.34375</v>
      </c>
      <c r="F188" s="4">
        <f t="shared" si="36"/>
        <v>0.20905319625023555</v>
      </c>
      <c r="G188">
        <f>Data!D560</f>
        <v>4.160207986831665</v>
      </c>
      <c r="H188">
        <f>Data!B561</f>
        <v>73010.9453125</v>
      </c>
      <c r="I188" s="4">
        <f t="shared" si="37"/>
        <v>0.14645665021826515</v>
      </c>
      <c r="J188">
        <f>Data!D561</f>
        <v>4.5685088634490967</v>
      </c>
      <c r="K188">
        <f>Data!B559</f>
        <v>69823.4609375</v>
      </c>
      <c r="L188" s="4">
        <f t="shared" si="38"/>
        <v>9.6405077217197377E-2</v>
      </c>
      <c r="M188">
        <f>Data!D559</f>
        <v>4.3515102863311768</v>
      </c>
      <c r="N188">
        <f t="shared" si="39"/>
        <v>69823.4609375</v>
      </c>
      <c r="O188" s="4">
        <f t="shared" si="40"/>
        <v>9.6405077217197377E-2</v>
      </c>
      <c r="P188" t="str">
        <f t="shared" si="41"/>
        <v>vrp_100</v>
      </c>
      <c r="Q188">
        <f t="shared" si="42"/>
        <v>13.080227136611938</v>
      </c>
      <c r="R188" t="str">
        <f t="shared" si="43"/>
        <v>&gt;500</v>
      </c>
      <c r="S188" t="str">
        <f t="shared" si="44"/>
        <v>5-10%</v>
      </c>
      <c r="T188" t="str">
        <f t="shared" si="45"/>
        <v/>
      </c>
      <c r="U188">
        <f t="shared" si="46"/>
        <v>4.3515102863311768</v>
      </c>
      <c r="V188" s="4">
        <f t="shared" si="47"/>
        <v>0</v>
      </c>
    </row>
    <row r="189" spans="1:22">
      <c r="A189" t="s">
        <v>160</v>
      </c>
      <c r="B189" t="s">
        <v>242</v>
      </c>
      <c r="C189">
        <v>654</v>
      </c>
      <c r="D189">
        <f>Data!J562</f>
        <v>106780</v>
      </c>
      <c r="E189">
        <f>Data!B563</f>
        <v>125736.328125</v>
      </c>
      <c r="F189" s="4">
        <f t="shared" si="36"/>
        <v>0.17752695378348005</v>
      </c>
      <c r="G189">
        <f>Data!D563</f>
        <v>5.7171149253845206</v>
      </c>
      <c r="H189">
        <f>Data!B564</f>
        <v>122206.9375</v>
      </c>
      <c r="I189" s="4">
        <f t="shared" si="37"/>
        <v>0.14447403539988768</v>
      </c>
      <c r="J189">
        <f>Data!D564</f>
        <v>9.5028665065765381</v>
      </c>
      <c r="K189">
        <f>Data!B562</f>
        <v>122541.78125</v>
      </c>
      <c r="L189" s="4">
        <f t="shared" si="38"/>
        <v>0.14760986373852791</v>
      </c>
      <c r="M189">
        <f>Data!D562</f>
        <v>7.6648499965667716</v>
      </c>
      <c r="N189">
        <f t="shared" si="39"/>
        <v>122206.9375</v>
      </c>
      <c r="O189" s="4">
        <f t="shared" si="40"/>
        <v>0.14447403539988768</v>
      </c>
      <c r="P189" t="str">
        <f t="shared" si="41"/>
        <v>vrp_50</v>
      </c>
      <c r="Q189">
        <f t="shared" si="42"/>
        <v>22.884831428527832</v>
      </c>
      <c r="R189" t="str">
        <f t="shared" si="43"/>
        <v>&gt;500</v>
      </c>
      <c r="S189" t="str">
        <f t="shared" si="44"/>
        <v>&gt;10%</v>
      </c>
      <c r="T189" t="str">
        <f t="shared" si="45"/>
        <v/>
      </c>
      <c r="U189">
        <f t="shared" si="46"/>
        <v>9.5028665065765381</v>
      </c>
      <c r="V189" s="4">
        <f t="shared" si="47"/>
        <v>3.1358283386402341E-3</v>
      </c>
    </row>
    <row r="190" spans="1:22">
      <c r="A190" t="s">
        <v>160</v>
      </c>
      <c r="B190" t="s">
        <v>243</v>
      </c>
      <c r="C190">
        <v>669</v>
      </c>
      <c r="D190">
        <f>Data!J565</f>
        <v>146332</v>
      </c>
      <c r="E190">
        <f>Data!B566</f>
        <v>174549.59375</v>
      </c>
      <c r="F190" s="4">
        <f t="shared" si="36"/>
        <v>0.19283269380586621</v>
      </c>
      <c r="G190">
        <f>Data!D566</f>
        <v>7.2184548377990723</v>
      </c>
      <c r="H190">
        <f>Data!B567</f>
        <v>166497.0625</v>
      </c>
      <c r="I190" s="4">
        <f t="shared" si="37"/>
        <v>0.13780350504332617</v>
      </c>
      <c r="J190">
        <f>Data!D567</f>
        <v>8.2351593971252441</v>
      </c>
      <c r="K190">
        <f>Data!B565</f>
        <v>167861.15625</v>
      </c>
      <c r="L190" s="4">
        <f t="shared" si="38"/>
        <v>0.14712541515184641</v>
      </c>
      <c r="M190">
        <f>Data!D565</f>
        <v>8.5458202362060547</v>
      </c>
      <c r="N190">
        <f t="shared" si="39"/>
        <v>166497.0625</v>
      </c>
      <c r="O190" s="4">
        <f t="shared" si="40"/>
        <v>0.13780350504332617</v>
      </c>
      <c r="P190" t="str">
        <f t="shared" si="41"/>
        <v>vrp_50</v>
      </c>
      <c r="Q190">
        <f t="shared" si="42"/>
        <v>23.999434471130371</v>
      </c>
      <c r="R190" t="str">
        <f t="shared" si="43"/>
        <v>&gt;500</v>
      </c>
      <c r="S190" t="str">
        <f t="shared" si="44"/>
        <v>&gt;10%</v>
      </c>
      <c r="T190" t="str">
        <f t="shared" si="45"/>
        <v/>
      </c>
      <c r="U190">
        <f t="shared" si="46"/>
        <v>8.2351593971252441</v>
      </c>
      <c r="V190" s="4">
        <f t="shared" si="47"/>
        <v>9.3219101085202372E-3</v>
      </c>
    </row>
    <row r="191" spans="1:22">
      <c r="A191" t="s">
        <v>160</v>
      </c>
      <c r="B191" t="s">
        <v>244</v>
      </c>
      <c r="C191">
        <v>684</v>
      </c>
      <c r="D191">
        <f>Data!J568</f>
        <v>68205</v>
      </c>
      <c r="E191">
        <f>Data!B569</f>
        <v>91893.75</v>
      </c>
      <c r="F191" s="4">
        <f t="shared" si="36"/>
        <v>0.34731691224983496</v>
      </c>
      <c r="G191">
        <f>Data!D569</f>
        <v>4.8065297603607178</v>
      </c>
      <c r="H191">
        <f>Data!B570</f>
        <v>80525.421875</v>
      </c>
      <c r="I191" s="4">
        <f t="shared" si="37"/>
        <v>0.18063810387801471</v>
      </c>
      <c r="J191">
        <f>Data!D570</f>
        <v>4.2850077152252197</v>
      </c>
      <c r="K191">
        <f>Data!B568</f>
        <v>77175.171875</v>
      </c>
      <c r="L191" s="4">
        <f t="shared" si="38"/>
        <v>0.13151780477970831</v>
      </c>
      <c r="M191">
        <f>Data!D568</f>
        <v>6.5493643283843994</v>
      </c>
      <c r="N191">
        <f t="shared" si="39"/>
        <v>77175.171875</v>
      </c>
      <c r="O191" s="4">
        <f t="shared" si="40"/>
        <v>0.13151780477970831</v>
      </c>
      <c r="P191" t="str">
        <f t="shared" si="41"/>
        <v>vrp_100</v>
      </c>
      <c r="Q191">
        <f t="shared" si="42"/>
        <v>15.640901803970337</v>
      </c>
      <c r="R191" t="str">
        <f t="shared" si="43"/>
        <v>&gt;500</v>
      </c>
      <c r="S191" t="str">
        <f t="shared" si="44"/>
        <v>&gt;10%</v>
      </c>
      <c r="T191" t="str">
        <f t="shared" si="45"/>
        <v/>
      </c>
      <c r="U191">
        <f t="shared" si="46"/>
        <v>6.5493643283843994</v>
      </c>
      <c r="V191" s="4">
        <f t="shared" si="47"/>
        <v>0</v>
      </c>
    </row>
    <row r="192" spans="1:22">
      <c r="A192" t="s">
        <v>160</v>
      </c>
      <c r="B192" t="s">
        <v>245</v>
      </c>
      <c r="C192">
        <v>700</v>
      </c>
      <c r="D192">
        <f>Data!J571</f>
        <v>81923</v>
      </c>
      <c r="E192">
        <f>Data!B572</f>
        <v>101383.9765625</v>
      </c>
      <c r="F192" s="4">
        <f t="shared" si="36"/>
        <v>0.23755204963807475</v>
      </c>
      <c r="G192">
        <f>Data!D572</f>
        <v>5.8252782821655273</v>
      </c>
      <c r="H192">
        <f>Data!B573</f>
        <v>92721.015625</v>
      </c>
      <c r="I192" s="4">
        <f t="shared" si="37"/>
        <v>0.13180688725998801</v>
      </c>
      <c r="J192">
        <f>Data!D573</f>
        <v>4.2293722629547119</v>
      </c>
      <c r="K192">
        <f>Data!B571</f>
        <v>87955.8515625</v>
      </c>
      <c r="L192" s="4">
        <f t="shared" si="38"/>
        <v>7.3640510754000799E-2</v>
      </c>
      <c r="M192">
        <f>Data!D571</f>
        <v>4.6699559688568124</v>
      </c>
      <c r="N192">
        <f t="shared" si="39"/>
        <v>87955.8515625</v>
      </c>
      <c r="O192" s="4">
        <f t="shared" si="40"/>
        <v>7.3640510754000799E-2</v>
      </c>
      <c r="P192" t="str">
        <f t="shared" si="41"/>
        <v>vrp_100</v>
      </c>
      <c r="Q192">
        <f t="shared" si="42"/>
        <v>14.724606513977051</v>
      </c>
      <c r="R192" t="str">
        <f t="shared" si="43"/>
        <v>&gt;500</v>
      </c>
      <c r="S192" t="str">
        <f t="shared" si="44"/>
        <v>5-10%</v>
      </c>
      <c r="T192" t="str">
        <f t="shared" si="45"/>
        <v/>
      </c>
      <c r="U192">
        <f t="shared" si="46"/>
        <v>4.6699559688568124</v>
      </c>
      <c r="V192" s="4">
        <f t="shared" si="47"/>
        <v>0</v>
      </c>
    </row>
    <row r="193" spans="1:22">
      <c r="A193" t="s">
        <v>160</v>
      </c>
      <c r="B193" t="s">
        <v>246</v>
      </c>
      <c r="C193">
        <v>715</v>
      </c>
      <c r="D193">
        <f>Data!J574</f>
        <v>43373</v>
      </c>
      <c r="E193">
        <f>Data!B575</f>
        <v>64478.703125</v>
      </c>
      <c r="F193" s="4">
        <f t="shared" si="36"/>
        <v>0.48660925287621337</v>
      </c>
      <c r="G193">
        <f>Data!D575</f>
        <v>6.3651740550994873</v>
      </c>
      <c r="H193">
        <f>Data!B576</f>
        <v>52413.375</v>
      </c>
      <c r="I193" s="4">
        <f t="shared" si="37"/>
        <v>0.20843324187858814</v>
      </c>
      <c r="J193">
        <f>Data!D576</f>
        <v>4.3605067729949951</v>
      </c>
      <c r="K193">
        <f>Data!B574</f>
        <v>51040.10546875</v>
      </c>
      <c r="L193" s="4">
        <f t="shared" si="38"/>
        <v>0.17677138931478109</v>
      </c>
      <c r="M193">
        <f>Data!D574</f>
        <v>5.4424245357513428</v>
      </c>
      <c r="N193">
        <f t="shared" si="39"/>
        <v>51040.10546875</v>
      </c>
      <c r="O193" s="4">
        <f t="shared" si="40"/>
        <v>0.17677138931478109</v>
      </c>
      <c r="P193" t="str">
        <f t="shared" si="41"/>
        <v>vrp_100</v>
      </c>
      <c r="Q193">
        <f t="shared" si="42"/>
        <v>16.168105363845825</v>
      </c>
      <c r="R193" t="str">
        <f t="shared" si="43"/>
        <v>&gt;500</v>
      </c>
      <c r="S193" t="str">
        <f t="shared" si="44"/>
        <v>&gt;10%</v>
      </c>
      <c r="T193" t="str">
        <f t="shared" si="45"/>
        <v/>
      </c>
      <c r="U193">
        <f t="shared" si="46"/>
        <v>5.4424245357513428</v>
      </c>
      <c r="V193" s="4">
        <f t="shared" si="47"/>
        <v>0</v>
      </c>
    </row>
    <row r="194" spans="1:22">
      <c r="A194" t="s">
        <v>160</v>
      </c>
      <c r="B194" t="s">
        <v>247</v>
      </c>
      <c r="C194">
        <v>732</v>
      </c>
      <c r="D194">
        <f>Data!J577</f>
        <v>136187</v>
      </c>
      <c r="E194">
        <f>Data!B578</f>
        <v>166332.828125</v>
      </c>
      <c r="F194" s="4">
        <f t="shared" si="36"/>
        <v>0.22135613623179884</v>
      </c>
      <c r="G194">
        <f>Data!D578</f>
        <v>6.2758150100708008</v>
      </c>
      <c r="H194">
        <f>Data!B579</f>
        <v>155282.34375</v>
      </c>
      <c r="I194" s="4">
        <f t="shared" si="37"/>
        <v>0.14021414488901285</v>
      </c>
      <c r="J194">
        <f>Data!D579</f>
        <v>6.3029379844665527</v>
      </c>
      <c r="K194">
        <f>Data!B577</f>
        <v>152807.328125</v>
      </c>
      <c r="L194" s="4">
        <f t="shared" si="38"/>
        <v>0.12204048936388934</v>
      </c>
      <c r="M194">
        <f>Data!D577</f>
        <v>10.535243988037109</v>
      </c>
      <c r="N194">
        <f t="shared" si="39"/>
        <v>152807.328125</v>
      </c>
      <c r="O194" s="4">
        <f t="shared" si="40"/>
        <v>0.12204048936388934</v>
      </c>
      <c r="P194" t="str">
        <f t="shared" si="41"/>
        <v>vrp_100</v>
      </c>
      <c r="Q194">
        <f t="shared" si="42"/>
        <v>23.113996982574463</v>
      </c>
      <c r="R194" t="str">
        <f t="shared" si="43"/>
        <v>&gt;500</v>
      </c>
      <c r="S194" t="str">
        <f t="shared" si="44"/>
        <v>&gt;10%</v>
      </c>
      <c r="T194" t="str">
        <f t="shared" si="45"/>
        <v/>
      </c>
      <c r="U194">
        <f t="shared" si="46"/>
        <v>10.535243988037109</v>
      </c>
      <c r="V194" s="4">
        <f t="shared" si="47"/>
        <v>0</v>
      </c>
    </row>
    <row r="195" spans="1:22">
      <c r="A195" t="s">
        <v>160</v>
      </c>
      <c r="B195" t="s">
        <v>248</v>
      </c>
      <c r="C195">
        <v>748</v>
      </c>
      <c r="D195">
        <f>Data!J580</f>
        <v>77269</v>
      </c>
      <c r="E195">
        <f>Data!B581</f>
        <v>110831.7734375</v>
      </c>
      <c r="F195" s="4">
        <f t="shared" si="36"/>
        <v>0.43436272551087751</v>
      </c>
      <c r="G195">
        <f>Data!D581</f>
        <v>5.6654336452484131</v>
      </c>
      <c r="H195">
        <f>Data!B582</f>
        <v>92147.734375</v>
      </c>
      <c r="I195" s="4">
        <f t="shared" si="37"/>
        <v>0.19255761527908999</v>
      </c>
      <c r="J195">
        <f>Data!D582</f>
        <v>4.7581663131713867</v>
      </c>
      <c r="K195">
        <f>Data!B580</f>
        <v>89364.078125</v>
      </c>
      <c r="L195" s="4">
        <f t="shared" si="38"/>
        <v>0.15653209081261577</v>
      </c>
      <c r="M195">
        <f>Data!D580</f>
        <v>7.0556538105010986</v>
      </c>
      <c r="N195">
        <f t="shared" si="39"/>
        <v>89364.078125</v>
      </c>
      <c r="O195" s="4">
        <f t="shared" si="40"/>
        <v>0.15653209081261577</v>
      </c>
      <c r="P195" t="str">
        <f t="shared" si="41"/>
        <v>vrp_100</v>
      </c>
      <c r="Q195">
        <f t="shared" si="42"/>
        <v>17.479253768920898</v>
      </c>
      <c r="R195" t="str">
        <f t="shared" si="43"/>
        <v>&gt;500</v>
      </c>
      <c r="S195" t="str">
        <f t="shared" si="44"/>
        <v>&gt;10%</v>
      </c>
      <c r="T195" t="str">
        <f t="shared" si="45"/>
        <v/>
      </c>
      <c r="U195">
        <f t="shared" si="46"/>
        <v>7.0556538105010986</v>
      </c>
      <c r="V195" s="4">
        <f t="shared" si="47"/>
        <v>0</v>
      </c>
    </row>
    <row r="196" spans="1:22">
      <c r="A196" t="s">
        <v>160</v>
      </c>
      <c r="B196" t="s">
        <v>249</v>
      </c>
      <c r="C196">
        <v>765</v>
      </c>
      <c r="D196">
        <f>Data!J583</f>
        <v>114417</v>
      </c>
      <c r="E196">
        <f>Data!B584</f>
        <v>138442.625</v>
      </c>
      <c r="F196" s="4">
        <f t="shared" si="36"/>
        <v>0.20998300077785648</v>
      </c>
      <c r="G196">
        <f>Data!D584</f>
        <v>6.6166858673095703</v>
      </c>
      <c r="H196">
        <f>Data!B585</f>
        <v>130126.0546875</v>
      </c>
      <c r="I196" s="4">
        <f t="shared" si="37"/>
        <v>0.1372965091507381</v>
      </c>
      <c r="J196">
        <f>Data!D585</f>
        <v>7.397197961807251</v>
      </c>
      <c r="K196">
        <f>Data!B583</f>
        <v>128891.96875</v>
      </c>
      <c r="L196" s="4">
        <f t="shared" si="38"/>
        <v>0.12651064745623475</v>
      </c>
      <c r="M196">
        <f>Data!D583</f>
        <v>9.8971655368804932</v>
      </c>
      <c r="N196">
        <f t="shared" si="39"/>
        <v>128891.96875</v>
      </c>
      <c r="O196" s="4">
        <f t="shared" si="40"/>
        <v>0.12651064745623475</v>
      </c>
      <c r="P196" t="str">
        <f t="shared" si="41"/>
        <v>vrp_100</v>
      </c>
      <c r="Q196">
        <f t="shared" si="42"/>
        <v>23.911049365997314</v>
      </c>
      <c r="R196" t="str">
        <f t="shared" si="43"/>
        <v>&gt;500</v>
      </c>
      <c r="S196" t="str">
        <f t="shared" si="44"/>
        <v>&gt;10%</v>
      </c>
      <c r="T196" t="str">
        <f t="shared" si="45"/>
        <v/>
      </c>
      <c r="U196">
        <f t="shared" si="46"/>
        <v>9.8971655368804932</v>
      </c>
      <c r="V196" s="4">
        <f t="shared" si="47"/>
        <v>0</v>
      </c>
    </row>
    <row r="197" spans="1:22">
      <c r="A197" t="s">
        <v>160</v>
      </c>
      <c r="B197" t="s">
        <v>250</v>
      </c>
      <c r="C197">
        <v>782</v>
      </c>
      <c r="D197">
        <f>Data!J586</f>
        <v>72386</v>
      </c>
      <c r="E197">
        <f>Data!B587</f>
        <v>95664.21875</v>
      </c>
      <c r="F197" s="4">
        <f t="shared" si="36"/>
        <v>0.32158454328185004</v>
      </c>
      <c r="G197">
        <f>Data!D587</f>
        <v>4.7636833190917969</v>
      </c>
      <c r="H197">
        <f>Data!B588</f>
        <v>84881.34375</v>
      </c>
      <c r="I197" s="4">
        <f t="shared" si="37"/>
        <v>0.17262100060785235</v>
      </c>
      <c r="J197">
        <f>Data!D588</f>
        <v>4.9241642951965332</v>
      </c>
      <c r="K197">
        <f>Data!B586</f>
        <v>81297.921875</v>
      </c>
      <c r="L197" s="4">
        <f t="shared" si="38"/>
        <v>0.12311665066449318</v>
      </c>
      <c r="M197">
        <f>Data!D586</f>
        <v>7.9261257648468018</v>
      </c>
      <c r="N197">
        <f t="shared" si="39"/>
        <v>81297.921875</v>
      </c>
      <c r="O197" s="4">
        <f t="shared" si="40"/>
        <v>0.12311665066449318</v>
      </c>
      <c r="P197" t="str">
        <f t="shared" si="41"/>
        <v>vrp_100</v>
      </c>
      <c r="Q197">
        <f t="shared" si="42"/>
        <v>17.613973379135132</v>
      </c>
      <c r="R197" t="str">
        <f t="shared" si="43"/>
        <v>&gt;500</v>
      </c>
      <c r="S197" t="str">
        <f t="shared" si="44"/>
        <v>&gt;10%</v>
      </c>
      <c r="T197" t="str">
        <f t="shared" si="45"/>
        <v/>
      </c>
      <c r="U197">
        <f t="shared" si="46"/>
        <v>7.9261257648468018</v>
      </c>
      <c r="V197" s="4">
        <f t="shared" si="47"/>
        <v>0</v>
      </c>
    </row>
    <row r="198" spans="1:22">
      <c r="A198" t="s">
        <v>160</v>
      </c>
      <c r="B198" t="s">
        <v>251</v>
      </c>
      <c r="C198">
        <v>800</v>
      </c>
      <c r="D198">
        <f>Data!J589</f>
        <v>73311</v>
      </c>
      <c r="E198">
        <f>Data!B590</f>
        <v>94772.015625</v>
      </c>
      <c r="F198" s="4">
        <f t="shared" si="36"/>
        <v>0.29273936551131485</v>
      </c>
      <c r="G198">
        <f>Data!D590</f>
        <v>4.0989890098571777</v>
      </c>
      <c r="H198">
        <f>Data!B591</f>
        <v>88187.5390625</v>
      </c>
      <c r="I198" s="4">
        <f t="shared" si="37"/>
        <v>0.20292369579599234</v>
      </c>
      <c r="J198">
        <f>Data!D591</f>
        <v>4.7897729873657227</v>
      </c>
      <c r="K198">
        <f>Data!B589</f>
        <v>85022.828125</v>
      </c>
      <c r="L198" s="4">
        <f t="shared" si="38"/>
        <v>0.15975539993998167</v>
      </c>
      <c r="M198">
        <f>Data!D589</f>
        <v>4.862715482711792</v>
      </c>
      <c r="N198">
        <f t="shared" si="39"/>
        <v>85022.828125</v>
      </c>
      <c r="O198" s="4">
        <f t="shared" si="40"/>
        <v>0.15975539993998167</v>
      </c>
      <c r="P198" t="str">
        <f t="shared" si="41"/>
        <v>vrp_100</v>
      </c>
      <c r="Q198">
        <f t="shared" si="42"/>
        <v>13.751477479934692</v>
      </c>
      <c r="R198" t="str">
        <f t="shared" si="43"/>
        <v>&gt;500</v>
      </c>
      <c r="S198" t="str">
        <f t="shared" si="44"/>
        <v>&gt;10%</v>
      </c>
      <c r="T198" t="str">
        <f t="shared" si="45"/>
        <v/>
      </c>
      <c r="U198">
        <f t="shared" si="46"/>
        <v>4.862715482711792</v>
      </c>
      <c r="V198" s="4">
        <f t="shared" si="47"/>
        <v>0</v>
      </c>
    </row>
    <row r="199" spans="1:22">
      <c r="A199" t="s">
        <v>160</v>
      </c>
      <c r="B199" t="s">
        <v>252</v>
      </c>
      <c r="C199">
        <v>818</v>
      </c>
      <c r="D199">
        <f>Data!J592</f>
        <v>158121</v>
      </c>
      <c r="E199">
        <f>Data!B593</f>
        <v>192433.96875</v>
      </c>
      <c r="F199" s="4">
        <f t="shared" si="36"/>
        <v>0.21700450129963755</v>
      </c>
      <c r="G199">
        <f>Data!D593</f>
        <v>6.3142843246459961</v>
      </c>
      <c r="H199">
        <f>Data!B594</f>
        <v>190827.78125</v>
      </c>
      <c r="I199" s="4">
        <f t="shared" si="37"/>
        <v>0.20684653682939014</v>
      </c>
      <c r="J199">
        <f>Data!D594</f>
        <v>7.9372501373291016</v>
      </c>
      <c r="K199">
        <f>Data!B592</f>
        <v>183390.6875</v>
      </c>
      <c r="L199" s="4">
        <f t="shared" si="38"/>
        <v>0.15981234307903436</v>
      </c>
      <c r="M199">
        <f>Data!D592</f>
        <v>12.31290030479431</v>
      </c>
      <c r="N199">
        <f t="shared" si="39"/>
        <v>183390.6875</v>
      </c>
      <c r="O199" s="4">
        <f t="shared" si="40"/>
        <v>0.15981234307903436</v>
      </c>
      <c r="P199" t="str">
        <f t="shared" si="41"/>
        <v>vrp_100</v>
      </c>
      <c r="Q199">
        <f t="shared" si="42"/>
        <v>26.564434766769409</v>
      </c>
      <c r="R199" t="str">
        <f t="shared" si="43"/>
        <v>&gt;500</v>
      </c>
      <c r="S199" t="str">
        <f t="shared" si="44"/>
        <v>&gt;10%</v>
      </c>
      <c r="T199" t="str">
        <f t="shared" si="45"/>
        <v/>
      </c>
      <c r="U199">
        <f t="shared" si="46"/>
        <v>12.31290030479431</v>
      </c>
      <c r="V199" s="4">
        <f t="shared" si="47"/>
        <v>0</v>
      </c>
    </row>
    <row r="200" spans="1:22">
      <c r="A200" t="s">
        <v>160</v>
      </c>
      <c r="B200" t="s">
        <v>253</v>
      </c>
      <c r="C200">
        <v>836</v>
      </c>
      <c r="D200">
        <f>Data!J595</f>
        <v>193737</v>
      </c>
      <c r="E200">
        <f>Data!B596</f>
        <v>235447.25</v>
      </c>
      <c r="F200" s="4">
        <f t="shared" si="36"/>
        <v>0.21529315515363612</v>
      </c>
      <c r="G200">
        <f>Data!D596</f>
        <v>6.6157922744750977</v>
      </c>
      <c r="H200">
        <f>Data!B597</f>
        <v>224332.125</v>
      </c>
      <c r="I200" s="4">
        <f t="shared" si="37"/>
        <v>0.15792091856485846</v>
      </c>
      <c r="J200">
        <f>Data!D597</f>
        <v>7.3984439373016357</v>
      </c>
      <c r="K200">
        <f>Data!B595</f>
        <v>215459.140625</v>
      </c>
      <c r="L200" s="4">
        <f t="shared" si="38"/>
        <v>0.1121217972044577</v>
      </c>
      <c r="M200">
        <f>Data!D595</f>
        <v>11.70023822784424</v>
      </c>
      <c r="N200">
        <f t="shared" si="39"/>
        <v>215459.140625</v>
      </c>
      <c r="O200" s="4">
        <f t="shared" si="40"/>
        <v>0.1121217972044577</v>
      </c>
      <c r="P200" t="str">
        <f t="shared" si="41"/>
        <v>vrp_100</v>
      </c>
      <c r="Q200">
        <f t="shared" si="42"/>
        <v>25.714474439620972</v>
      </c>
      <c r="R200" t="str">
        <f t="shared" si="43"/>
        <v>&gt;500</v>
      </c>
      <c r="S200" t="str">
        <f t="shared" si="44"/>
        <v>&gt;10%</v>
      </c>
      <c r="T200" t="str">
        <f t="shared" si="45"/>
        <v/>
      </c>
      <c r="U200">
        <f t="shared" si="46"/>
        <v>11.70023822784424</v>
      </c>
      <c r="V200" s="4">
        <f t="shared" si="47"/>
        <v>0</v>
      </c>
    </row>
    <row r="201" spans="1:22">
      <c r="A201" t="s">
        <v>160</v>
      </c>
      <c r="B201" t="s">
        <v>254</v>
      </c>
      <c r="C201">
        <v>855</v>
      </c>
      <c r="D201">
        <f>Data!J598</f>
        <v>88965</v>
      </c>
      <c r="E201">
        <f>Data!B599</f>
        <v>124747.3671875</v>
      </c>
      <c r="F201" s="4">
        <f t="shared" si="36"/>
        <v>0.40220724090934645</v>
      </c>
      <c r="G201">
        <f>Data!D599</f>
        <v>6.0106086730957031</v>
      </c>
      <c r="H201">
        <f>Data!B600</f>
        <v>105173.78125</v>
      </c>
      <c r="I201" s="4">
        <f t="shared" si="37"/>
        <v>0.18219278648906867</v>
      </c>
      <c r="J201">
        <f>Data!D600</f>
        <v>5.8649353981018066</v>
      </c>
      <c r="K201">
        <f>Data!B598</f>
        <v>100889.0078125</v>
      </c>
      <c r="L201" s="4">
        <f t="shared" si="38"/>
        <v>0.1340303244253358</v>
      </c>
      <c r="M201">
        <f>Data!D598</f>
        <v>7.4975242614746094</v>
      </c>
      <c r="N201">
        <f t="shared" si="39"/>
        <v>100889.0078125</v>
      </c>
      <c r="O201" s="4">
        <f t="shared" si="40"/>
        <v>0.1340303244253358</v>
      </c>
      <c r="P201" t="str">
        <f t="shared" si="41"/>
        <v>vrp_100</v>
      </c>
      <c r="Q201">
        <f t="shared" si="42"/>
        <v>19.373068332672119</v>
      </c>
      <c r="R201" t="str">
        <f t="shared" si="43"/>
        <v>&gt;500</v>
      </c>
      <c r="S201" t="str">
        <f t="shared" si="44"/>
        <v>&gt;10%</v>
      </c>
      <c r="T201" t="str">
        <f t="shared" si="45"/>
        <v/>
      </c>
      <c r="U201">
        <f t="shared" si="46"/>
        <v>7.4975242614746094</v>
      </c>
      <c r="V201" s="4">
        <f t="shared" si="47"/>
        <v>0</v>
      </c>
    </row>
    <row r="202" spans="1:22">
      <c r="A202" t="s">
        <v>160</v>
      </c>
      <c r="B202" t="s">
        <v>255</v>
      </c>
      <c r="C202">
        <v>875</v>
      </c>
      <c r="D202">
        <f>Data!J601</f>
        <v>99299</v>
      </c>
      <c r="E202">
        <f>Data!B602</f>
        <v>124438.34375</v>
      </c>
      <c r="F202" s="4">
        <f t="shared" si="36"/>
        <v>0.25316814620489625</v>
      </c>
      <c r="G202">
        <f>Data!D602</f>
        <v>4.6888704299926758</v>
      </c>
      <c r="H202">
        <f>Data!B603</f>
        <v>118757.421875</v>
      </c>
      <c r="I202" s="4">
        <f t="shared" si="37"/>
        <v>0.19595788351342924</v>
      </c>
      <c r="J202">
        <f>Data!D603</f>
        <v>5.9172179698944092</v>
      </c>
      <c r="K202">
        <f>Data!B601</f>
        <v>109252.421875</v>
      </c>
      <c r="L202" s="4">
        <f t="shared" si="38"/>
        <v>0.10023687927370872</v>
      </c>
      <c r="M202">
        <f>Data!D601</f>
        <v>6.1692237854003906</v>
      </c>
      <c r="N202">
        <f t="shared" si="39"/>
        <v>109252.421875</v>
      </c>
      <c r="O202" s="4">
        <f t="shared" si="40"/>
        <v>0.10023687927370872</v>
      </c>
      <c r="P202" t="str">
        <f t="shared" si="41"/>
        <v>vrp_100</v>
      </c>
      <c r="Q202">
        <f t="shared" si="42"/>
        <v>16.775312185287476</v>
      </c>
      <c r="R202" t="str">
        <f t="shared" si="43"/>
        <v>&gt;500</v>
      </c>
      <c r="S202" t="str">
        <f t="shared" si="44"/>
        <v>&gt;10%</v>
      </c>
      <c r="T202" t="str">
        <f t="shared" si="45"/>
        <v/>
      </c>
      <c r="U202">
        <f t="shared" si="46"/>
        <v>6.1692237854003906</v>
      </c>
      <c r="V202" s="4">
        <f t="shared" si="47"/>
        <v>0</v>
      </c>
    </row>
    <row r="203" spans="1:22">
      <c r="A203" t="s">
        <v>160</v>
      </c>
      <c r="B203" t="s">
        <v>256</v>
      </c>
      <c r="C203">
        <v>894</v>
      </c>
      <c r="D203">
        <f>Data!J604</f>
        <v>53860</v>
      </c>
      <c r="E203">
        <f>Data!B605</f>
        <v>71722.640625</v>
      </c>
      <c r="F203" s="4">
        <f t="shared" si="36"/>
        <v>0.33164947317118454</v>
      </c>
      <c r="G203">
        <f>Data!D605</f>
        <v>4.6706147193908691</v>
      </c>
      <c r="H203">
        <f>Data!B606</f>
        <v>65580.53125</v>
      </c>
      <c r="I203" s="4">
        <f t="shared" si="37"/>
        <v>0.21761105180096552</v>
      </c>
      <c r="J203">
        <f>Data!D606</f>
        <v>5.4556407928466797</v>
      </c>
      <c r="K203">
        <f>Data!B604</f>
        <v>61798.0234375</v>
      </c>
      <c r="L203" s="4">
        <f t="shared" si="38"/>
        <v>0.14738253690122538</v>
      </c>
      <c r="M203">
        <f>Data!D604</f>
        <v>5.9110758304595947</v>
      </c>
      <c r="N203">
        <f t="shared" si="39"/>
        <v>61798.0234375</v>
      </c>
      <c r="O203" s="4">
        <f t="shared" si="40"/>
        <v>0.14738253690122538</v>
      </c>
      <c r="P203" t="str">
        <f t="shared" si="41"/>
        <v>vrp_100</v>
      </c>
      <c r="Q203">
        <f t="shared" si="42"/>
        <v>16.037331342697144</v>
      </c>
      <c r="R203" t="str">
        <f t="shared" si="43"/>
        <v>&gt;500</v>
      </c>
      <c r="S203" t="str">
        <f t="shared" si="44"/>
        <v>&gt;10%</v>
      </c>
      <c r="T203" t="str">
        <f t="shared" si="45"/>
        <v/>
      </c>
      <c r="U203">
        <f t="shared" si="46"/>
        <v>5.9110758304595947</v>
      </c>
      <c r="V203" s="4">
        <f t="shared" si="47"/>
        <v>0</v>
      </c>
    </row>
    <row r="204" spans="1:22">
      <c r="A204" t="s">
        <v>160</v>
      </c>
      <c r="B204" t="s">
        <v>257</v>
      </c>
      <c r="C204">
        <v>915</v>
      </c>
      <c r="D204">
        <f>Data!J607</f>
        <v>329179</v>
      </c>
      <c r="E204">
        <f>Data!B608</f>
        <v>382034.25</v>
      </c>
      <c r="F204" s="4">
        <f t="shared" si="36"/>
        <v>0.1605668952150654</v>
      </c>
      <c r="G204">
        <f>Data!D608</f>
        <v>9.0620517730712891</v>
      </c>
      <c r="H204">
        <f>Data!B609</f>
        <v>371764.21875</v>
      </c>
      <c r="I204" s="4">
        <f t="shared" si="37"/>
        <v>0.12936796925077232</v>
      </c>
      <c r="J204">
        <f>Data!D609</f>
        <v>8.737368106842041</v>
      </c>
      <c r="K204">
        <f>Data!B607</f>
        <v>368872.03125</v>
      </c>
      <c r="L204" s="4">
        <f t="shared" si="38"/>
        <v>0.12058190604503927</v>
      </c>
      <c r="M204">
        <f>Data!D607</f>
        <v>17.02250242233276</v>
      </c>
      <c r="N204">
        <f t="shared" si="39"/>
        <v>368872.03125</v>
      </c>
      <c r="O204" s="4">
        <f t="shared" si="40"/>
        <v>0.12058190604503927</v>
      </c>
      <c r="P204" t="str">
        <f t="shared" si="41"/>
        <v>vrp_100</v>
      </c>
      <c r="Q204">
        <f t="shared" si="42"/>
        <v>34.821922302246094</v>
      </c>
      <c r="R204" t="str">
        <f t="shared" si="43"/>
        <v>&gt;500</v>
      </c>
      <c r="S204" t="str">
        <f t="shared" si="44"/>
        <v>&gt;10%</v>
      </c>
      <c r="T204" t="str">
        <f t="shared" si="45"/>
        <v/>
      </c>
      <c r="U204">
        <f t="shared" si="46"/>
        <v>17.02250242233276</v>
      </c>
      <c r="V204" s="4">
        <f t="shared" si="47"/>
        <v>0</v>
      </c>
    </row>
    <row r="205" spans="1:22">
      <c r="A205" t="s">
        <v>160</v>
      </c>
      <c r="B205" t="s">
        <v>258</v>
      </c>
      <c r="C205">
        <v>935</v>
      </c>
      <c r="D205">
        <f>Data!J610</f>
        <v>132715</v>
      </c>
      <c r="E205">
        <f>Data!B611</f>
        <v>170461.84375</v>
      </c>
      <c r="F205" s="4">
        <f t="shared" si="36"/>
        <v>0.28442032739328638</v>
      </c>
      <c r="G205">
        <f>Data!D611</f>
        <v>8.5126533508300781</v>
      </c>
      <c r="H205">
        <f>Data!B612</f>
        <v>160374.25</v>
      </c>
      <c r="I205" s="4">
        <f t="shared" si="37"/>
        <v>0.20841088045812461</v>
      </c>
      <c r="J205">
        <f>Data!D612</f>
        <v>11.374032974243161</v>
      </c>
      <c r="K205">
        <f>Data!B610</f>
        <v>157378.25</v>
      </c>
      <c r="L205" s="4">
        <f t="shared" si="38"/>
        <v>0.18583619033266774</v>
      </c>
      <c r="M205">
        <f>Data!D610</f>
        <v>13.29560375213623</v>
      </c>
      <c r="N205">
        <f t="shared" si="39"/>
        <v>157378.25</v>
      </c>
      <c r="O205" s="4">
        <f t="shared" si="40"/>
        <v>0.18583619033266774</v>
      </c>
      <c r="P205" t="str">
        <f t="shared" si="41"/>
        <v>vrp_100</v>
      </c>
      <c r="Q205">
        <f t="shared" si="42"/>
        <v>33.182290077209473</v>
      </c>
      <c r="R205" t="str">
        <f t="shared" si="43"/>
        <v>&gt;500</v>
      </c>
      <c r="S205" t="str">
        <f t="shared" si="44"/>
        <v>&gt;10%</v>
      </c>
      <c r="T205" t="str">
        <f t="shared" si="45"/>
        <v/>
      </c>
      <c r="U205">
        <f t="shared" si="46"/>
        <v>13.29560375213623</v>
      </c>
      <c r="V205" s="4">
        <f t="shared" si="47"/>
        <v>0</v>
      </c>
    </row>
    <row r="206" spans="1:22">
      <c r="A206" t="s">
        <v>160</v>
      </c>
      <c r="B206" t="s">
        <v>259</v>
      </c>
      <c r="C206">
        <v>956</v>
      </c>
      <c r="D206">
        <f>Data!J613</f>
        <v>85465</v>
      </c>
      <c r="E206">
        <f>Data!B614</f>
        <v>137550.75</v>
      </c>
      <c r="F206" s="4">
        <f t="shared" si="36"/>
        <v>0.60943953665243078</v>
      </c>
      <c r="G206">
        <f>Data!D614</f>
        <v>6.1925833225250244</v>
      </c>
      <c r="H206">
        <f>Data!B615</f>
        <v>115716.453125</v>
      </c>
      <c r="I206" s="4">
        <f t="shared" si="37"/>
        <v>0.35396306236471076</v>
      </c>
      <c r="J206">
        <f>Data!D615</f>
        <v>5.1560418605804443</v>
      </c>
      <c r="K206">
        <f>Data!B613</f>
        <v>107013.6484375</v>
      </c>
      <c r="L206" s="4">
        <f t="shared" si="38"/>
        <v>0.25213418870297777</v>
      </c>
      <c r="M206">
        <f>Data!D613</f>
        <v>5.1890792846679688</v>
      </c>
      <c r="N206">
        <f t="shared" si="39"/>
        <v>107013.6484375</v>
      </c>
      <c r="O206" s="4">
        <f t="shared" si="40"/>
        <v>0.25213418870297777</v>
      </c>
      <c r="P206" t="str">
        <f t="shared" si="41"/>
        <v>vrp_100</v>
      </c>
      <c r="Q206">
        <f t="shared" si="42"/>
        <v>16.537704467773438</v>
      </c>
      <c r="R206" t="str">
        <f t="shared" si="43"/>
        <v>&gt;500</v>
      </c>
      <c r="S206" t="str">
        <f t="shared" si="44"/>
        <v>&gt;10%</v>
      </c>
      <c r="T206" t="str">
        <f t="shared" si="45"/>
        <v>ATENÇÃO: gap &gt; 20%</v>
      </c>
      <c r="U206">
        <f t="shared" si="46"/>
        <v>5.1890792846679688</v>
      </c>
      <c r="V206" s="4">
        <f t="shared" si="47"/>
        <v>0</v>
      </c>
    </row>
    <row r="207" spans="1:22">
      <c r="A207" t="s">
        <v>160</v>
      </c>
      <c r="B207" t="s">
        <v>260</v>
      </c>
      <c r="C207">
        <v>978</v>
      </c>
      <c r="D207">
        <f>Data!J616</f>
        <v>118976</v>
      </c>
      <c r="E207">
        <f>Data!B617</f>
        <v>164858.09375</v>
      </c>
      <c r="F207" s="4">
        <f t="shared" si="36"/>
        <v>0.38564158948023142</v>
      </c>
      <c r="G207">
        <f>Data!D617</f>
        <v>11.60901880264282</v>
      </c>
      <c r="H207">
        <f>Data!B618</f>
        <v>133056.296875</v>
      </c>
      <c r="I207" s="4">
        <f t="shared" si="37"/>
        <v>0.11834569051741517</v>
      </c>
      <c r="J207">
        <f>Data!D618</f>
        <v>7.4955377578735352</v>
      </c>
      <c r="K207">
        <f>Data!B616</f>
        <v>129569.109375</v>
      </c>
      <c r="L207" s="4">
        <f t="shared" si="38"/>
        <v>8.9035682616662282E-2</v>
      </c>
      <c r="M207">
        <f>Data!D616</f>
        <v>7.2582247257232666</v>
      </c>
      <c r="N207">
        <f t="shared" si="39"/>
        <v>129569.109375</v>
      </c>
      <c r="O207" s="4">
        <f t="shared" si="40"/>
        <v>8.9035682616662282E-2</v>
      </c>
      <c r="P207" t="str">
        <f t="shared" si="41"/>
        <v>vrp_100</v>
      </c>
      <c r="Q207">
        <f t="shared" si="42"/>
        <v>26.362781286239624</v>
      </c>
      <c r="R207" t="str">
        <f t="shared" si="43"/>
        <v>&gt;500</v>
      </c>
      <c r="S207" t="str">
        <f t="shared" si="44"/>
        <v>5-10%</v>
      </c>
      <c r="T207" t="str">
        <f t="shared" si="45"/>
        <v/>
      </c>
      <c r="U207">
        <f t="shared" si="46"/>
        <v>7.2582247257232666</v>
      </c>
      <c r="V207" s="4">
        <f t="shared" si="47"/>
        <v>0</v>
      </c>
    </row>
  </sheetData>
  <autoFilter ref="A1:V207" xr:uid="{00000000-0001-0000-0400-000000000000}"/>
  <conditionalFormatting sqref="O2:O207">
    <cfRule type="colorScale" priority="2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20"/>
  <sheetViews>
    <sheetView workbookViewId="0"/>
  </sheetViews>
  <sheetFormatPr defaultRowHeight="14"/>
  <cols>
    <col min="1" max="1" width="12" customWidth="1"/>
    <col min="2" max="2" width="8" customWidth="1"/>
    <col min="3" max="3" width="12" customWidth="1"/>
    <col min="4" max="4" width="11" customWidth="1"/>
    <col min="5" max="6" width="10" customWidth="1"/>
    <col min="7" max="7" width="11" customWidth="1"/>
    <col min="8" max="13" width="10" customWidth="1"/>
    <col min="14" max="14" width="13" customWidth="1"/>
    <col min="15" max="15" width="20" customWidth="1"/>
    <col min="16" max="17" width="16" customWidth="1"/>
    <col min="18" max="18" width="17" customWidth="1"/>
    <col min="19" max="19" width="12" customWidth="1"/>
    <col min="22" max="22" width="24" customWidth="1"/>
    <col min="23" max="23" width="18" customWidth="1"/>
  </cols>
  <sheetData>
    <row r="1" spans="1:23" ht="18">
      <c r="A1" s="1" t="s">
        <v>5</v>
      </c>
      <c r="B1" s="1" t="s">
        <v>1183</v>
      </c>
      <c r="C1" s="1" t="s">
        <v>1184</v>
      </c>
      <c r="D1" s="1" t="s">
        <v>267</v>
      </c>
      <c r="E1" s="1" t="s">
        <v>268</v>
      </c>
      <c r="F1" s="1" t="s">
        <v>269</v>
      </c>
      <c r="G1" s="1" t="s">
        <v>1185</v>
      </c>
      <c r="H1" s="1" t="s">
        <v>271</v>
      </c>
      <c r="I1" s="1" t="s">
        <v>272</v>
      </c>
      <c r="J1" s="1" t="s">
        <v>1186</v>
      </c>
      <c r="K1" s="1" t="s">
        <v>1187</v>
      </c>
      <c r="L1" s="1" t="s">
        <v>1188</v>
      </c>
      <c r="M1" s="1" t="s">
        <v>1189</v>
      </c>
      <c r="N1" s="1" t="s">
        <v>1190</v>
      </c>
      <c r="O1" s="1" t="s">
        <v>1191</v>
      </c>
      <c r="P1" s="1" t="s">
        <v>1192</v>
      </c>
      <c r="Q1" s="1" t="s">
        <v>1193</v>
      </c>
      <c r="R1" s="1" t="s">
        <v>1194</v>
      </c>
      <c r="S1" s="1" t="s">
        <v>1195</v>
      </c>
      <c r="V1" s="10" t="s">
        <v>1196</v>
      </c>
      <c r="W1" s="10"/>
    </row>
    <row r="2" spans="1:23">
      <c r="A2" t="s">
        <v>15</v>
      </c>
      <c r="B2">
        <f>COUNT($D$15:$D$41)</f>
        <v>27</v>
      </c>
      <c r="C2" s="4">
        <f>AVERAGE($D$15:$D$41)</f>
        <v>1.9698879973811163E-2</v>
      </c>
      <c r="D2" s="4">
        <f>STDEV($D$15:$D$41)</f>
        <v>1.265327895827237E-2</v>
      </c>
      <c r="E2" s="4">
        <f>MIN($D$15:$D$41)</f>
        <v>3.4561362870619838E-3</v>
      </c>
      <c r="F2" s="4">
        <f>QUARTILE($D$15:$D$41,1)</f>
        <v>1.1750388295948544E-2</v>
      </c>
      <c r="G2" s="4">
        <f>MEDIAN($D$15:$D$41)</f>
        <v>1.5008983045521118E-2</v>
      </c>
      <c r="H2" s="4">
        <f>QUARTILE($D$15:$D$41,3)</f>
        <v>2.3399457801431933E-2</v>
      </c>
      <c r="I2" s="4">
        <f>MAX($D$15:$D$41)</f>
        <v>5.0454026561672416E-2</v>
      </c>
      <c r="J2" s="4">
        <f>COUNTIF($D$15:$D$41,"&lt;=0.01")/B2</f>
        <v>0</v>
      </c>
      <c r="K2" s="4">
        <f>COUNTIF($D$15:$D$41,"&lt;=0.02")/B2</f>
        <v>0</v>
      </c>
      <c r="L2" s="4">
        <f>COUNTIF($D$15:$D$41,"&lt;=0.05")/B2</f>
        <v>0</v>
      </c>
      <c r="M2" s="4">
        <f>COUNTIF($D$15:$D$41,"&gt;0.10")/B2</f>
        <v>0</v>
      </c>
      <c r="N2" s="4">
        <f>COUNTIF($D$15:$D$41,"&lt;0")/B2</f>
        <v>0</v>
      </c>
      <c r="O2" s="6">
        <f>AVERAGE($F$15:$F$41)</f>
        <v>11.292921684406421</v>
      </c>
      <c r="P2" s="4">
        <f>COUNTIF($E$15:$E$41,"vrp_20")/B2</f>
        <v>0.18518518518518517</v>
      </c>
      <c r="Q2" s="4">
        <f>COUNTIF($E$15:$E$41,"vrp_50")/B2</f>
        <v>0.44444444444444442</v>
      </c>
      <c r="R2" s="4">
        <f>COUNTIF($E$15:$E$41,"vrp_100")/B2</f>
        <v>0.37037037037037035</v>
      </c>
      <c r="S2" s="7">
        <f>48.4444444444444</f>
        <v>48.4444444444444</v>
      </c>
      <c r="V2" s="2" t="s">
        <v>1197</v>
      </c>
      <c r="W2" s="4">
        <f>AVERAGE(Analise_Instancias!$O$2:$O$207)</f>
        <v>6.4105870032170248E-2</v>
      </c>
    </row>
    <row r="3" spans="1:23">
      <c r="A3" t="s">
        <v>43</v>
      </c>
      <c r="B3">
        <f>COUNT($D$42:$D$64)</f>
        <v>23</v>
      </c>
      <c r="C3" s="4">
        <f>AVERAGE($D$42:$D$64)</f>
        <v>2.4573060672367232E-2</v>
      </c>
      <c r="D3" s="4">
        <f>STDEV($D$42:$D$64)</f>
        <v>1.5822579092432093E-2</v>
      </c>
      <c r="E3" s="4">
        <f>MIN($D$42:$D$64)</f>
        <v>0</v>
      </c>
      <c r="F3" s="4">
        <f>QUARTILE($D$42:$D$64,1)</f>
        <v>1.5492650536313213E-2</v>
      </c>
      <c r="G3" s="4">
        <f>MEDIAN($D$42:$D$64)</f>
        <v>2.2957774366395567E-2</v>
      </c>
      <c r="H3" s="4">
        <f>QUARTILE($D$42:$D$64,3)</f>
        <v>3.3337965888174392E-2</v>
      </c>
      <c r="I3" s="4">
        <f>MAX($D$42:$D$64)</f>
        <v>6.4526043107024256E-2</v>
      </c>
      <c r="J3" s="4">
        <f>COUNTIF($D$42:$D$64,"&lt;=0.01")/B3</f>
        <v>0</v>
      </c>
      <c r="K3" s="4">
        <f>COUNTIF($D$42:$D$64,"&lt;=0.02")/B3</f>
        <v>0</v>
      </c>
      <c r="L3" s="4">
        <f>COUNTIF($D$42:$D$64,"&lt;=0.05")/B3</f>
        <v>0</v>
      </c>
      <c r="M3" s="4">
        <f>COUNTIF($D$42:$D$64,"&gt;0.10")/B3</f>
        <v>0</v>
      </c>
      <c r="N3" s="4">
        <f>COUNTIF($D$42:$D$64,"&lt;0")/B3</f>
        <v>0</v>
      </c>
      <c r="O3" s="6">
        <f>AVERAGE($F$42:$F$64)</f>
        <v>11.885841411093008</v>
      </c>
      <c r="P3" s="4">
        <f>COUNTIF($E$42:$E$64,"vrp_20")/B3</f>
        <v>0.39130434782608697</v>
      </c>
      <c r="Q3" s="4">
        <f>COUNTIF($E$42:$E$64,"vrp_50")/B3</f>
        <v>0.34782608695652173</v>
      </c>
      <c r="R3" s="4">
        <f>COUNTIF($E$42:$E$64,"vrp_100")/B3</f>
        <v>0.2608695652173913</v>
      </c>
      <c r="S3" s="7">
        <f>50.0434782608695</f>
        <v>50.043478260869499</v>
      </c>
      <c r="V3" s="2" t="s">
        <v>1198</v>
      </c>
      <c r="W3" s="4">
        <f>AVERAGE(C2:C9)</f>
        <v>4.7745369863532075E-2</v>
      </c>
    </row>
    <row r="4" spans="1:23">
      <c r="A4" t="s">
        <v>67</v>
      </c>
      <c r="B4">
        <f>COUNT($D$65:$D$75)</f>
        <v>11</v>
      </c>
      <c r="C4" s="4">
        <f>AVERAGE($D$65:$D$75)</f>
        <v>2.0385736575471079E-2</v>
      </c>
      <c r="D4" s="4">
        <f>STDEV($D$65:$D$75)</f>
        <v>1.7565842344328907E-2</v>
      </c>
      <c r="E4" s="4">
        <f>MIN($D$65:$D$75)</f>
        <v>0</v>
      </c>
      <c r="F4" s="4">
        <f>QUARTILE($D$65:$D$75,1)</f>
        <v>4.4643483955241203E-3</v>
      </c>
      <c r="G4" s="4">
        <f>MEDIAN($D$65:$D$75)</f>
        <v>1.9138465933248305E-2</v>
      </c>
      <c r="H4" s="4">
        <f>QUARTILE($D$65:$D$75,3)</f>
        <v>3.5754710887317187E-2</v>
      </c>
      <c r="I4" s="4">
        <f>MAX($D$65:$D$75)</f>
        <v>4.5604530627636253E-2</v>
      </c>
      <c r="J4" s="4">
        <f>COUNTIF($D$65:$D$75,"&lt;=0.01")/B4</f>
        <v>0</v>
      </c>
      <c r="K4" s="4">
        <f>COUNTIF($D$65:$D$75,"&lt;=0.02")/B4</f>
        <v>0</v>
      </c>
      <c r="L4" s="4">
        <f>COUNTIF($D$65:$D$75,"&lt;=0.05")/B4</f>
        <v>0</v>
      </c>
      <c r="M4" s="4">
        <f>COUNTIF($D$65:$D$75,"&gt;0.10")/B4</f>
        <v>0</v>
      </c>
      <c r="N4" s="4">
        <f>COUNTIF($D$65:$D$75,"&lt;0")/B4</f>
        <v>0</v>
      </c>
      <c r="O4" s="6">
        <f>AVERAGE($F$65:$F$75)</f>
        <v>19.385840892791748</v>
      </c>
      <c r="P4" s="4">
        <f>COUNTIF($E$65:$E$75,"vrp_20")/B4</f>
        <v>0.27272727272727271</v>
      </c>
      <c r="Q4" s="4">
        <f>COUNTIF($E$65:$E$75,"vrp_50")/B4</f>
        <v>0.27272727272727271</v>
      </c>
      <c r="R4" s="4">
        <f>COUNTIF($E$65:$E$75,"vrp_100")/B4</f>
        <v>0.45454545454545453</v>
      </c>
      <c r="S4" s="7">
        <f>59.4545454545454</f>
        <v>59.454545454545404</v>
      </c>
      <c r="V4" s="2" t="s">
        <v>1199</v>
      </c>
      <c r="W4" s="4">
        <f>MEDIAN(Analise_Instancias!$O$2:$O$207)</f>
        <v>5.5118892210851644E-2</v>
      </c>
    </row>
    <row r="5" spans="1:23">
      <c r="A5" t="s">
        <v>79</v>
      </c>
      <c r="B5">
        <f>COUNT($D$76:$D$78)</f>
        <v>3</v>
      </c>
      <c r="C5" s="4">
        <f>AVERAGE($D$76:$D$78)</f>
        <v>7.3723506397937788E-2</v>
      </c>
      <c r="D5" s="4">
        <f>STDEV($D$76:$D$78)</f>
        <v>6.8354820337337502E-2</v>
      </c>
      <c r="E5" s="4">
        <f>MIN($D$76:$D$78)</f>
        <v>5.1744998489295924E-3</v>
      </c>
      <c r="F5" s="4">
        <f>QUARTILE($D$76:$D$78,1)</f>
        <v>3.9644023951198815E-2</v>
      </c>
      <c r="G5" s="4">
        <f>MEDIAN($D$76:$D$78)</f>
        <v>7.4113548053468037E-2</v>
      </c>
      <c r="H5" s="4">
        <f>QUARTILE($D$76:$D$78,3)</f>
        <v>0.10799800967244189</v>
      </c>
      <c r="I5" s="4">
        <f>MAX($D$76:$D$78)</f>
        <v>0.14188247129141573</v>
      </c>
      <c r="J5" s="4">
        <f>COUNTIF($D$76:$D$78,"&lt;=0.01")/B5</f>
        <v>0</v>
      </c>
      <c r="K5" s="4">
        <f>COUNTIF($D$76:$D$78,"&lt;=0.02")/B5</f>
        <v>0</v>
      </c>
      <c r="L5" s="4">
        <f>COUNTIF($D$76:$D$78,"&lt;=0.05")/B5</f>
        <v>0</v>
      </c>
      <c r="M5" s="4">
        <f>COUNTIF($D$76:$D$78,"&gt;0.10")/B5</f>
        <v>0</v>
      </c>
      <c r="N5" s="4">
        <f>COUNTIF($D$76:$D$78,"&lt;0")/B5</f>
        <v>0</v>
      </c>
      <c r="O5" s="6">
        <f>AVERAGE($F$76:$F$78)</f>
        <v>19.976678291956585</v>
      </c>
      <c r="P5" s="4">
        <f>COUNTIF($E$76:$E$78,"vrp_20")/B5</f>
        <v>0</v>
      </c>
      <c r="Q5" s="4">
        <f>COUNTIF($E$76:$E$78,"vrp_50")/B5</f>
        <v>0.66666666666666663</v>
      </c>
      <c r="R5" s="4">
        <f>COUNTIF($E$76:$E$78,"vrp_100")/B5</f>
        <v>0.33333333333333331</v>
      </c>
      <c r="S5" s="7">
        <f>83</f>
        <v>83</v>
      </c>
      <c r="V5" s="2" t="s">
        <v>1200</v>
      </c>
      <c r="W5" s="4">
        <f>COUNTIF(Analise_Instancias!$O$2:$O$207,"&lt;=0.05")/COUNT(Analise_Instancias!$O$2:$O$207)</f>
        <v>0</v>
      </c>
    </row>
    <row r="6" spans="1:23">
      <c r="A6" t="s">
        <v>115</v>
      </c>
      <c r="B6">
        <f>COUNT($D$79:$D$83)</f>
        <v>5</v>
      </c>
      <c r="C6" s="4">
        <f>AVERAGE($D$79:$D$83)</f>
        <v>5.1418655023051318E-2</v>
      </c>
      <c r="D6" s="4">
        <f>STDEV($D$79:$D$83)</f>
        <v>2.3391577844062698E-2</v>
      </c>
      <c r="E6" s="4">
        <f>MIN($D$79:$D$83)</f>
        <v>1.4147130454458923E-2</v>
      </c>
      <c r="F6" s="4">
        <f>QUARTILE($D$79:$D$83,1)</f>
        <v>4.2398537611822995E-2</v>
      </c>
      <c r="G6" s="4">
        <f>MEDIAN($D$79:$D$83)</f>
        <v>6.6024043642241459E-2</v>
      </c>
      <c r="H6" s="4">
        <f>QUARTILE($D$79:$D$83,3)</f>
        <v>6.6076899509803999E-2</v>
      </c>
      <c r="I6" s="4">
        <f>MAX($D$79:$D$83)</f>
        <v>6.8446663896929216E-2</v>
      </c>
      <c r="J6" s="4">
        <f>COUNTIF($D$79:$D$83,"&lt;=0.01")/B6</f>
        <v>0</v>
      </c>
      <c r="K6" s="4">
        <f>COUNTIF($D$79:$D$83,"&lt;=0.02")/B6</f>
        <v>0</v>
      </c>
      <c r="L6" s="4">
        <f>COUNTIF($D$79:$D$83,"&lt;=0.05")/B6</f>
        <v>0</v>
      </c>
      <c r="M6" s="4">
        <f>COUNTIF($D$79:$D$83,"&gt;0.10")/B6</f>
        <v>0</v>
      </c>
      <c r="N6" s="4">
        <f>COUNTIF($D$79:$D$83,"&lt;0")/B6</f>
        <v>0</v>
      </c>
      <c r="O6" s="6">
        <f>AVERAGE($F$79:$F$83)</f>
        <v>12.215056991577148</v>
      </c>
      <c r="P6" s="4">
        <f>COUNTIF($E$79:$E$83,"vrp_20")/B6</f>
        <v>0</v>
      </c>
      <c r="Q6" s="4">
        <f>COUNTIF($E$79:$E$83,"vrp_50")/B6</f>
        <v>0.4</v>
      </c>
      <c r="R6" s="4">
        <f>COUNTIF($E$79:$E$83,"vrp_100")/B6</f>
        <v>0.6</v>
      </c>
      <c r="S6" s="7">
        <f>153.6</f>
        <v>153.6</v>
      </c>
      <c r="V6" s="2" t="s">
        <v>1201</v>
      </c>
      <c r="W6" s="5">
        <f>COUNT(Analise_Instancias!$O$2:$O$207)</f>
        <v>206</v>
      </c>
    </row>
    <row r="7" spans="1:23">
      <c r="A7" t="s">
        <v>121</v>
      </c>
      <c r="B7">
        <f>COUNT($D$84:$D$107)</f>
        <v>24</v>
      </c>
      <c r="C7" s="4">
        <f>AVERAGE($D$84:$D$107)</f>
        <v>2.3712541317419029E-2</v>
      </c>
      <c r="D7" s="4">
        <f>STDEV($D$84:$D$107)</f>
        <v>1.9470974527149562E-2</v>
      </c>
      <c r="E7" s="4">
        <f>MIN($D$84:$D$107)</f>
        <v>0</v>
      </c>
      <c r="F7" s="4">
        <f>QUARTILE($D$84:$D$107,1)</f>
        <v>8.53580971655854E-3</v>
      </c>
      <c r="G7" s="4">
        <f>MEDIAN($D$84:$D$107)</f>
        <v>2.2569660036524941E-2</v>
      </c>
      <c r="H7" s="4">
        <f>QUARTILE($D$84:$D$107,3)</f>
        <v>3.069986785047607E-2</v>
      </c>
      <c r="I7" s="4">
        <f>MAX($D$84:$D$107)</f>
        <v>7.8291946076623153E-2</v>
      </c>
      <c r="J7" s="4">
        <f>COUNTIF($D$84:$D$107,"&lt;=0.01")/B7</f>
        <v>0</v>
      </c>
      <c r="K7" s="4">
        <f>COUNTIF($D$84:$D$107,"&lt;=0.02")/B7</f>
        <v>0</v>
      </c>
      <c r="L7" s="4">
        <f>COUNTIF($D$84:$D$107,"&lt;=0.05")/B7</f>
        <v>0</v>
      </c>
      <c r="M7" s="4">
        <f>COUNTIF($D$84:$D$107,"&gt;0.10")/B7</f>
        <v>0</v>
      </c>
      <c r="N7" s="4">
        <f>COUNTIF($D$84:$D$107,"&lt;0")/B7</f>
        <v>0</v>
      </c>
      <c r="O7" s="6">
        <f>AVERAGE($F$84:$F$107)</f>
        <v>14.499927779038748</v>
      </c>
      <c r="P7" s="4">
        <f>COUNTIF($E$84:$E$107,"vrp_20")/B7</f>
        <v>0.41666666666666669</v>
      </c>
      <c r="Q7" s="4">
        <f>COUNTIF($E$84:$E$107,"vrp_50")/B7</f>
        <v>0.45833333333333331</v>
      </c>
      <c r="R7" s="4">
        <f>COUNTIF($E$84:$E$107,"vrp_100")/B7</f>
        <v>0.125</v>
      </c>
      <c r="S7" s="7">
        <f>47.2083333333333</f>
        <v>47.2083333333333</v>
      </c>
    </row>
    <row r="8" spans="1:23">
      <c r="A8" t="s">
        <v>146</v>
      </c>
      <c r="B8">
        <f>COUNT($D$108:$D$120)</f>
        <v>13</v>
      </c>
      <c r="C8" s="4">
        <f>AVERAGE($D$108:$D$120)</f>
        <v>6.9056398979396291E-2</v>
      </c>
      <c r="D8" s="4">
        <f>STDEV($D$108:$D$120)</f>
        <v>2.4427950792579228E-2</v>
      </c>
      <c r="E8" s="4">
        <f>MIN($D$108:$D$120)</f>
        <v>4.0010494057361123E-2</v>
      </c>
      <c r="F8" s="4">
        <f>QUARTILE($D$108:$D$120,1)</f>
        <v>6.1838101440399251E-2</v>
      </c>
      <c r="G8" s="4">
        <f>MEDIAN($D$108:$D$120)</f>
        <v>6.7534396770788874E-2</v>
      </c>
      <c r="H8" s="4">
        <f>QUARTILE($D$108:$D$120,3)</f>
        <v>6.8383309368279965E-2</v>
      </c>
      <c r="I8" s="4">
        <f>MAX($D$108:$D$120)</f>
        <v>0.13418335421050642</v>
      </c>
      <c r="J8" s="4">
        <f>COUNTIF($D$108:$D$120,"&lt;=0.01")/B8</f>
        <v>0</v>
      </c>
      <c r="K8" s="4">
        <f>COUNTIF($D$108:$D$120,"&lt;=0.02")/B8</f>
        <v>0</v>
      </c>
      <c r="L8" s="4">
        <f>COUNTIF($D$108:$D$120,"&lt;=0.05")/B8</f>
        <v>0</v>
      </c>
      <c r="M8" s="4">
        <f>COUNTIF($D$108:$D$120,"&gt;0.10")/B8</f>
        <v>0</v>
      </c>
      <c r="N8" s="4">
        <f>COUNTIF($D$108:$D$120,"&lt;0")/B8</f>
        <v>0</v>
      </c>
      <c r="O8" s="6">
        <f>AVERAGE($F$108:$F$120)</f>
        <v>19.63747237278865</v>
      </c>
      <c r="P8" s="4">
        <f>COUNTIF($E$108:$E$120,"vrp_20")/B8</f>
        <v>0</v>
      </c>
      <c r="Q8" s="4">
        <f>COUNTIF($E$108:$E$120,"vrp_50")/B8</f>
        <v>0.69230769230769229</v>
      </c>
      <c r="R8" s="4">
        <f>COUNTIF($E$108:$E$120,"vrp_100")/B8</f>
        <v>0.30769230769230771</v>
      </c>
      <c r="S8" s="7">
        <f>129.615384615384</f>
        <v>129.61538461538399</v>
      </c>
      <c r="V8" s="11" t="s">
        <v>1202</v>
      </c>
      <c r="W8" s="11"/>
    </row>
    <row r="9" spans="1:23">
      <c r="A9" t="s">
        <v>160</v>
      </c>
      <c r="B9">
        <f>COUNT($D$121:$D$220)</f>
        <v>100</v>
      </c>
      <c r="C9" s="4">
        <f>AVERAGE($D$121:$D$220)</f>
        <v>9.9394179968802662E-2</v>
      </c>
      <c r="D9" s="4">
        <f>STDEV($D$121:$D$220)</f>
        <v>4.4483975785646904E-2</v>
      </c>
      <c r="E9" s="4">
        <f>MIN($D$121:$D$220)</f>
        <v>2.3559803853936634E-2</v>
      </c>
      <c r="F9" s="4">
        <f>QUARTILE($D$121:$D$220,1)</f>
        <v>6.5771706172925937E-2</v>
      </c>
      <c r="G9" s="4">
        <f>MEDIAN($D$121:$D$220)</f>
        <v>9.3025961605435303E-2</v>
      </c>
      <c r="H9" s="4">
        <f>QUARTILE($D$121:$D$220,3)</f>
        <v>0.1243821994198816</v>
      </c>
      <c r="I9" s="4">
        <f>MAX($D$121:$D$220)</f>
        <v>0.25213418870297777</v>
      </c>
      <c r="J9" s="4">
        <f>COUNTIF($D$121:$D$220,"&lt;=0.01")/B9</f>
        <v>0</v>
      </c>
      <c r="K9" s="4">
        <f>COUNTIF($D$121:$D$220,"&lt;=0.02")/B9</f>
        <v>0</v>
      </c>
      <c r="L9" s="4">
        <f>COUNTIF($D$121:$D$220,"&lt;=0.05")/B9</f>
        <v>0</v>
      </c>
      <c r="M9" s="4">
        <f>COUNTIF($D$121:$D$220,"&gt;0.10")/B9</f>
        <v>0</v>
      </c>
      <c r="N9" s="4">
        <f>COUNTIF($D$121:$D$220,"&lt;0")/B9</f>
        <v>0</v>
      </c>
      <c r="O9" s="6">
        <f>AVERAGE($F$121:$F$220)</f>
        <v>13.02729240655899</v>
      </c>
      <c r="P9" s="4">
        <f>COUNTIF($E$121:$E$220,"vrp_20")/B9</f>
        <v>0.01</v>
      </c>
      <c r="Q9" s="4">
        <f>COUNTIF($E$121:$E$220,"vrp_50")/B9</f>
        <v>0.15</v>
      </c>
      <c r="R9" s="4">
        <f>COUNTIF($E$121:$E$220,"vrp_100")/B9</f>
        <v>0.84</v>
      </c>
      <c r="S9" s="7">
        <f>412.22</f>
        <v>412.22</v>
      </c>
      <c r="V9" s="11"/>
      <c r="W9" s="11"/>
    </row>
    <row r="10" spans="1:23">
      <c r="V10" s="11"/>
      <c r="W10" s="11"/>
    </row>
    <row r="11" spans="1:23">
      <c r="V11" s="11"/>
      <c r="W11" s="11"/>
    </row>
    <row r="14" spans="1:23">
      <c r="A14" s="2" t="s">
        <v>1203</v>
      </c>
      <c r="B14" s="2" t="s">
        <v>1162</v>
      </c>
      <c r="C14" s="2" t="s">
        <v>1204</v>
      </c>
      <c r="D14" s="2" t="s">
        <v>1175</v>
      </c>
      <c r="E14" s="2" t="s">
        <v>1176</v>
      </c>
      <c r="F14" s="2" t="s">
        <v>1177</v>
      </c>
    </row>
    <row r="15" spans="1:23">
      <c r="A15" t="s">
        <v>15</v>
      </c>
      <c r="B15" t="s">
        <v>16</v>
      </c>
      <c r="C15">
        <v>2</v>
      </c>
      <c r="D15">
        <f>Analise_Instancias!O2</f>
        <v>1.069065016143167E-2</v>
      </c>
      <c r="E15" t="str">
        <f>Analise_Instancias!P2</f>
        <v>vrp_20</v>
      </c>
      <c r="F15">
        <f>Analise_Instancias!Q2</f>
        <v>9.1835076808929443</v>
      </c>
    </row>
    <row r="16" spans="1:23">
      <c r="A16" t="s">
        <v>15</v>
      </c>
      <c r="B16" t="s">
        <v>17</v>
      </c>
      <c r="C16">
        <v>3</v>
      </c>
      <c r="D16">
        <f>Analise_Instancias!O3</f>
        <v>1.9843443439154784E-2</v>
      </c>
      <c r="E16" t="str">
        <f>Analise_Instancias!P3</f>
        <v>vrp_50</v>
      </c>
      <c r="F16">
        <f>Analise_Instancias!Q3</f>
        <v>9.1653635501861572</v>
      </c>
    </row>
    <row r="17" spans="1:6">
      <c r="A17" t="s">
        <v>15</v>
      </c>
      <c r="B17" t="s">
        <v>18</v>
      </c>
      <c r="C17">
        <v>4</v>
      </c>
      <c r="D17">
        <f>Analise_Instancias!O4</f>
        <v>3.4561362870619838E-3</v>
      </c>
      <c r="E17" t="str">
        <f>Analise_Instancias!P4</f>
        <v>vrp_50</v>
      </c>
      <c r="F17">
        <f>Analise_Instancias!Q4</f>
        <v>9.1653635501861572</v>
      </c>
    </row>
    <row r="18" spans="1:6">
      <c r="A18" t="s">
        <v>15</v>
      </c>
      <c r="B18" t="s">
        <v>19</v>
      </c>
      <c r="C18">
        <v>5</v>
      </c>
      <c r="D18">
        <f>Analise_Instancias!O5</f>
        <v>1.212136236744854E-2</v>
      </c>
      <c r="E18" t="str">
        <f>Analise_Instancias!P5</f>
        <v>vrp_100</v>
      </c>
      <c r="F18">
        <f>Analise_Instancias!Q5</f>
        <v>9.3210787773132324</v>
      </c>
    </row>
    <row r="19" spans="1:6">
      <c r="A19" t="s">
        <v>15</v>
      </c>
      <c r="B19" t="s">
        <v>20</v>
      </c>
      <c r="C19">
        <v>6</v>
      </c>
      <c r="D19">
        <f>Analise_Instancias!O6</f>
        <v>1.3855820752503023E-2</v>
      </c>
      <c r="E19" t="str">
        <f>Analise_Instancias!P6</f>
        <v>vrp_100</v>
      </c>
      <c r="F19">
        <f>Analise_Instancias!Q6</f>
        <v>9.9453456401824951</v>
      </c>
    </row>
    <row r="20" spans="1:6">
      <c r="A20" t="s">
        <v>15</v>
      </c>
      <c r="B20" t="s">
        <v>21</v>
      </c>
      <c r="C20">
        <v>7</v>
      </c>
      <c r="D20">
        <f>Analise_Instancias!O7</f>
        <v>4.2508203708893966E-2</v>
      </c>
      <c r="E20" t="str">
        <f>Analise_Instancias!P7</f>
        <v>vrp_20</v>
      </c>
      <c r="F20">
        <f>Analise_Instancias!Q7</f>
        <v>12.016358137130737</v>
      </c>
    </row>
    <row r="21" spans="1:6">
      <c r="A21" t="s">
        <v>15</v>
      </c>
      <c r="B21" t="s">
        <v>22</v>
      </c>
      <c r="C21">
        <v>8</v>
      </c>
      <c r="D21">
        <f>Analise_Instancias!O8</f>
        <v>8.1600595198894066E-3</v>
      </c>
      <c r="E21" t="str">
        <f>Analise_Instancias!P8</f>
        <v>vrp_100</v>
      </c>
      <c r="F21">
        <f>Analise_Instancias!Q8</f>
        <v>12.016358137130737</v>
      </c>
    </row>
    <row r="22" spans="1:6">
      <c r="A22" t="s">
        <v>15</v>
      </c>
      <c r="B22" t="s">
        <v>23</v>
      </c>
      <c r="C22">
        <v>9</v>
      </c>
      <c r="D22">
        <f>Analise_Instancias!O9</f>
        <v>1.3188359508775616E-2</v>
      </c>
      <c r="E22" t="str">
        <f>Analise_Instancias!P9</f>
        <v>vrp_20</v>
      </c>
      <c r="F22">
        <f>Analise_Instancias!Q9</f>
        <v>11.472368001937866</v>
      </c>
    </row>
    <row r="23" spans="1:6">
      <c r="A23" t="s">
        <v>15</v>
      </c>
      <c r="B23" t="s">
        <v>24</v>
      </c>
      <c r="C23">
        <v>10</v>
      </c>
      <c r="D23">
        <f>Analise_Instancias!O10</f>
        <v>1.3887205843217787E-2</v>
      </c>
      <c r="E23" t="str">
        <f>Analise_Instancias!P10</f>
        <v>vrp_50</v>
      </c>
      <c r="F23">
        <f>Analise_Instancias!Q10</f>
        <v>6.9933621883392334</v>
      </c>
    </row>
    <row r="24" spans="1:6">
      <c r="A24" t="s">
        <v>15</v>
      </c>
      <c r="B24" t="s">
        <v>25</v>
      </c>
      <c r="C24">
        <v>11</v>
      </c>
      <c r="D24">
        <f>Analise_Instancias!O11</f>
        <v>5.1539819306558599E-3</v>
      </c>
      <c r="E24" t="str">
        <f>Analise_Instancias!P11</f>
        <v>vrp_50</v>
      </c>
      <c r="F24">
        <f>Analise_Instancias!Q11</f>
        <v>6.9933621883392334</v>
      </c>
    </row>
    <row r="25" spans="1:6">
      <c r="A25" t="s">
        <v>15</v>
      </c>
      <c r="B25" t="s">
        <v>26</v>
      </c>
      <c r="C25">
        <v>12</v>
      </c>
      <c r="D25">
        <f>Analise_Instancias!O12</f>
        <v>2.0404502192836071E-2</v>
      </c>
      <c r="E25" t="str">
        <f>Analise_Instancias!P12</f>
        <v>vrp_50</v>
      </c>
      <c r="F25">
        <f>Analise_Instancias!Q12</f>
        <v>10.425825119018555</v>
      </c>
    </row>
    <row r="26" spans="1:6">
      <c r="A26" t="s">
        <v>15</v>
      </c>
      <c r="B26" t="s">
        <v>27</v>
      </c>
      <c r="C26">
        <v>13</v>
      </c>
      <c r="D26">
        <f>Analise_Instancias!O13</f>
        <v>5.0454026561672416E-2</v>
      </c>
      <c r="E26" t="str">
        <f>Analise_Instancias!P13</f>
        <v>vrp_50</v>
      </c>
      <c r="F26">
        <f>Analise_Instancias!Q13</f>
        <v>11.310103893280029</v>
      </c>
    </row>
    <row r="27" spans="1:6">
      <c r="A27" t="s">
        <v>15</v>
      </c>
      <c r="B27" t="s">
        <v>28</v>
      </c>
      <c r="C27">
        <v>14</v>
      </c>
      <c r="D27">
        <f>Analise_Instancias!O14</f>
        <v>1.178489804891969E-2</v>
      </c>
      <c r="E27" t="str">
        <f>Analise_Instancias!P14</f>
        <v>vrp_50</v>
      </c>
      <c r="F27">
        <f>Analise_Instancias!Q14</f>
        <v>11.310103893280029</v>
      </c>
    </row>
    <row r="28" spans="1:6">
      <c r="A28" t="s">
        <v>15</v>
      </c>
      <c r="B28" t="s">
        <v>29</v>
      </c>
      <c r="C28">
        <v>15</v>
      </c>
      <c r="D28">
        <f>Analise_Instancias!O15</f>
        <v>1.1715878542977398E-2</v>
      </c>
      <c r="E28" t="str">
        <f>Analise_Instancias!P15</f>
        <v>vrp_50</v>
      </c>
      <c r="F28">
        <f>Analise_Instancias!Q15</f>
        <v>13.134425163269043</v>
      </c>
    </row>
    <row r="29" spans="1:6">
      <c r="A29" t="s">
        <v>15</v>
      </c>
      <c r="B29" t="s">
        <v>30</v>
      </c>
      <c r="C29">
        <v>16</v>
      </c>
      <c r="D29">
        <f>Analise_Instancias!O16</f>
        <v>8.4231928588069938E-3</v>
      </c>
      <c r="E29" t="str">
        <f>Analise_Instancias!P16</f>
        <v>vrp_100</v>
      </c>
      <c r="F29">
        <f>Analise_Instancias!Q16</f>
        <v>10.902098894119263</v>
      </c>
    </row>
    <row r="30" spans="1:6">
      <c r="A30" t="s">
        <v>15</v>
      </c>
      <c r="B30" t="s">
        <v>31</v>
      </c>
      <c r="C30">
        <v>17</v>
      </c>
      <c r="D30">
        <f>Analise_Instancias!O17</f>
        <v>1.3595309115872256E-2</v>
      </c>
      <c r="E30" t="str">
        <f>Analise_Instancias!P17</f>
        <v>vrp_20</v>
      </c>
      <c r="F30">
        <f>Analise_Instancias!Q17</f>
        <v>11.365095376968384</v>
      </c>
    </row>
    <row r="31" spans="1:6">
      <c r="A31" t="s">
        <v>15</v>
      </c>
      <c r="B31" t="s">
        <v>32</v>
      </c>
      <c r="C31">
        <v>18</v>
      </c>
      <c r="D31">
        <f>Analise_Instancias!O18</f>
        <v>5.4127252704583295E-3</v>
      </c>
      <c r="E31" t="str">
        <f>Analise_Instancias!P18</f>
        <v>vrp_50</v>
      </c>
      <c r="F31">
        <f>Analise_Instancias!Q18</f>
        <v>11.208788394927979</v>
      </c>
    </row>
    <row r="32" spans="1:6">
      <c r="A32" t="s">
        <v>15</v>
      </c>
      <c r="B32" t="s">
        <v>33</v>
      </c>
      <c r="C32">
        <v>19</v>
      </c>
      <c r="D32">
        <f>Analise_Instancias!O19</f>
        <v>1.8314528665248853E-2</v>
      </c>
      <c r="E32" t="str">
        <f>Analise_Instancias!P19</f>
        <v>vrp_50</v>
      </c>
      <c r="F32">
        <f>Analise_Instancias!Q19</f>
        <v>12.427638530731201</v>
      </c>
    </row>
    <row r="33" spans="1:6">
      <c r="A33" t="s">
        <v>15</v>
      </c>
      <c r="B33" t="s">
        <v>34</v>
      </c>
      <c r="C33">
        <v>20</v>
      </c>
      <c r="D33">
        <f>Analise_Instancias!O20</f>
        <v>1.8867706794682526E-2</v>
      </c>
      <c r="E33" t="str">
        <f>Analise_Instancias!P20</f>
        <v>vrp_100</v>
      </c>
      <c r="F33">
        <f>Analise_Instancias!Q20</f>
        <v>11.176435232162476</v>
      </c>
    </row>
    <row r="34" spans="1:6">
      <c r="A34" t="s">
        <v>15</v>
      </c>
      <c r="B34" t="s">
        <v>35</v>
      </c>
      <c r="C34">
        <v>21</v>
      </c>
      <c r="D34">
        <f>Analise_Instancias!O21</f>
        <v>3.8405161992262959E-2</v>
      </c>
      <c r="E34" t="str">
        <f>Analise_Instancias!P21</f>
        <v>vrp_20</v>
      </c>
      <c r="F34">
        <f>Analise_Instancias!Q21</f>
        <v>11.409239530563354</v>
      </c>
    </row>
    <row r="35" spans="1:6">
      <c r="A35" t="s">
        <v>15</v>
      </c>
      <c r="B35" t="s">
        <v>36</v>
      </c>
      <c r="C35">
        <v>22</v>
      </c>
      <c r="D35">
        <f>Analise_Instancias!O22</f>
        <v>3.1584745608501663E-2</v>
      </c>
      <c r="E35" t="str">
        <f>Analise_Instancias!P22</f>
        <v>vrp_50</v>
      </c>
      <c r="F35">
        <f>Analise_Instancias!Q22</f>
        <v>10.341264963150024</v>
      </c>
    </row>
    <row r="36" spans="1:6">
      <c r="A36" t="s">
        <v>15</v>
      </c>
      <c r="B36" t="s">
        <v>37</v>
      </c>
      <c r="C36">
        <v>23</v>
      </c>
      <c r="D36">
        <f>Analise_Instancias!O23</f>
        <v>2.2325210919663663E-2</v>
      </c>
      <c r="E36" t="str">
        <f>Analise_Instancias!P23</f>
        <v>vrp_100</v>
      </c>
      <c r="F36">
        <f>Analise_Instancias!Q23</f>
        <v>19.159807920455933</v>
      </c>
    </row>
    <row r="37" spans="1:6">
      <c r="A37" t="s">
        <v>15</v>
      </c>
      <c r="B37" t="s">
        <v>38</v>
      </c>
      <c r="C37">
        <v>24</v>
      </c>
      <c r="D37">
        <f>Analise_Instancias!O24</f>
        <v>1.5008983045521118E-2</v>
      </c>
      <c r="E37" t="str">
        <f>Analise_Instancias!P24</f>
        <v>vrp_100</v>
      </c>
      <c r="F37">
        <f>Analise_Instancias!Q24</f>
        <v>19.159807920455933</v>
      </c>
    </row>
    <row r="38" spans="1:6">
      <c r="A38" t="s">
        <v>15</v>
      </c>
      <c r="B38" t="s">
        <v>39</v>
      </c>
      <c r="C38">
        <v>25</v>
      </c>
      <c r="D38">
        <f>Analise_Instancias!O25</f>
        <v>2.4218540885974305E-2</v>
      </c>
      <c r="E38" t="str">
        <f>Analise_Instancias!P25</f>
        <v>vrp_100</v>
      </c>
      <c r="F38">
        <f>Analise_Instancias!Q25</f>
        <v>10.904804706573486</v>
      </c>
    </row>
    <row r="39" spans="1:6">
      <c r="A39" t="s">
        <v>15</v>
      </c>
      <c r="B39" t="s">
        <v>40</v>
      </c>
      <c r="C39">
        <v>26</v>
      </c>
      <c r="D39">
        <f>Analise_Instancias!O26</f>
        <v>4.5887831731793005E-2</v>
      </c>
      <c r="E39" t="str">
        <f>Analise_Instancias!P26</f>
        <v>vrp_100</v>
      </c>
      <c r="F39">
        <f>Analise_Instancias!Q26</f>
        <v>10.83575177192688</v>
      </c>
    </row>
    <row r="40" spans="1:6">
      <c r="A40" t="s">
        <v>15</v>
      </c>
      <c r="B40" t="s">
        <v>41</v>
      </c>
      <c r="C40">
        <v>27</v>
      </c>
      <c r="D40">
        <f>Analise_Instancias!O27</f>
        <v>2.2580374716889562E-2</v>
      </c>
      <c r="E40" t="str">
        <f>Analise_Instancias!P27</f>
        <v>vrp_50</v>
      </c>
      <c r="F40">
        <f>Analise_Instancias!Q27</f>
        <v>13.770147562026978</v>
      </c>
    </row>
    <row r="41" spans="1:6">
      <c r="A41" t="s">
        <v>15</v>
      </c>
      <c r="B41" t="s">
        <v>42</v>
      </c>
      <c r="C41">
        <v>28</v>
      </c>
      <c r="D41">
        <f>Analise_Instancias!O28</f>
        <v>3.0020918821787923E-2</v>
      </c>
      <c r="E41" t="str">
        <f>Analise_Instancias!P28</f>
        <v>vrp_100</v>
      </c>
      <c r="F41">
        <f>Analise_Instancias!Q28</f>
        <v>9.7950787544250488</v>
      </c>
    </row>
    <row r="42" spans="1:6">
      <c r="A42" t="s">
        <v>43</v>
      </c>
      <c r="B42" t="s">
        <v>44</v>
      </c>
      <c r="C42">
        <v>29</v>
      </c>
      <c r="D42">
        <f>Analise_Instancias!O29</f>
        <v>3.7612551734560906E-2</v>
      </c>
      <c r="E42" t="str">
        <f>Analise_Instancias!P29</f>
        <v>vrp_20</v>
      </c>
      <c r="F42">
        <f>Analise_Instancias!Q29</f>
        <v>9.9596843719482422</v>
      </c>
    </row>
    <row r="43" spans="1:6">
      <c r="A43" t="s">
        <v>43</v>
      </c>
      <c r="B43" t="s">
        <v>45</v>
      </c>
      <c r="C43">
        <v>30</v>
      </c>
      <c r="D43">
        <f>Analise_Instancias!O30</f>
        <v>8.746926554568546E-3</v>
      </c>
      <c r="E43" t="str">
        <f>Analise_Instancias!P30</f>
        <v>vrp_50</v>
      </c>
      <c r="F43">
        <f>Analise_Instancias!Q30</f>
        <v>9.7051272392272949</v>
      </c>
    </row>
    <row r="44" spans="1:6">
      <c r="A44" t="s">
        <v>43</v>
      </c>
      <c r="B44" t="s">
        <v>46</v>
      </c>
      <c r="C44">
        <v>31</v>
      </c>
      <c r="D44">
        <f>Analise_Instancias!O31</f>
        <v>1.6940930750981575E-2</v>
      </c>
      <c r="E44" t="str">
        <f>Analise_Instancias!P31</f>
        <v>vrp_20</v>
      </c>
      <c r="F44">
        <f>Analise_Instancias!Q31</f>
        <v>9.8264017105102539</v>
      </c>
    </row>
    <row r="45" spans="1:6">
      <c r="A45" t="s">
        <v>43</v>
      </c>
      <c r="B45" t="s">
        <v>47</v>
      </c>
      <c r="C45">
        <v>32</v>
      </c>
      <c r="D45">
        <f>Analise_Instancias!O32</f>
        <v>1.6213894482725255E-2</v>
      </c>
      <c r="E45" t="str">
        <f>Analise_Instancias!P32</f>
        <v>vrp_100</v>
      </c>
      <c r="F45">
        <f>Analise_Instancias!Q32</f>
        <v>9.8898653984069824</v>
      </c>
    </row>
    <row r="46" spans="1:6">
      <c r="A46" t="s">
        <v>43</v>
      </c>
      <c r="B46" t="s">
        <v>48</v>
      </c>
      <c r="C46">
        <v>33</v>
      </c>
      <c r="D46">
        <f>Analise_Instancias!O33</f>
        <v>2.8609034359346586E-2</v>
      </c>
      <c r="E46" t="str">
        <f>Analise_Instancias!P33</f>
        <v>vrp_50</v>
      </c>
      <c r="F46">
        <f>Analise_Instancias!Q33</f>
        <v>10.283905267715454</v>
      </c>
    </row>
    <row r="47" spans="1:6">
      <c r="A47" t="s">
        <v>43</v>
      </c>
      <c r="B47" t="s">
        <v>49</v>
      </c>
      <c r="C47">
        <v>34</v>
      </c>
      <c r="D47">
        <f>Analise_Instancias!O34</f>
        <v>2.3203814130352773E-2</v>
      </c>
      <c r="E47" t="str">
        <f>Analise_Instancias!P34</f>
        <v>vrp_20</v>
      </c>
      <c r="F47">
        <f>Analise_Instancias!Q34</f>
        <v>10.636881589889526</v>
      </c>
    </row>
    <row r="48" spans="1:6">
      <c r="A48" t="s">
        <v>43</v>
      </c>
      <c r="B48" t="s">
        <v>50</v>
      </c>
      <c r="C48">
        <v>35</v>
      </c>
      <c r="D48">
        <f>Analise_Instancias!O35</f>
        <v>9.4216236207040893E-3</v>
      </c>
      <c r="E48" t="str">
        <f>Analise_Instancias!P35</f>
        <v>vrp_20</v>
      </c>
      <c r="F48">
        <f>Analise_Instancias!Q35</f>
        <v>13.075325727462769</v>
      </c>
    </row>
    <row r="49" spans="1:6">
      <c r="A49" t="s">
        <v>43</v>
      </c>
      <c r="B49" t="s">
        <v>51</v>
      </c>
      <c r="C49">
        <v>36</v>
      </c>
      <c r="D49">
        <f>Analise_Instancias!O36</f>
        <v>2.7218792435884209E-2</v>
      </c>
      <c r="E49" t="str">
        <f>Analise_Instancias!P36</f>
        <v>vrp_20</v>
      </c>
      <c r="F49">
        <f>Analise_Instancias!Q36</f>
        <v>11.093323707580566</v>
      </c>
    </row>
    <row r="50" spans="1:6">
      <c r="A50" t="s">
        <v>43</v>
      </c>
      <c r="B50" t="s">
        <v>52</v>
      </c>
      <c r="C50">
        <v>37</v>
      </c>
      <c r="D50">
        <f>Analise_Instancias!O37</f>
        <v>1.9928750598160683E-2</v>
      </c>
      <c r="E50" t="str">
        <f>Analise_Instancias!P37</f>
        <v>vrp_20</v>
      </c>
      <c r="F50">
        <f>Analise_Instancias!Q37</f>
        <v>11.260766983032227</v>
      </c>
    </row>
    <row r="51" spans="1:6">
      <c r="A51" t="s">
        <v>43</v>
      </c>
      <c r="B51" t="s">
        <v>53</v>
      </c>
      <c r="C51">
        <v>38</v>
      </c>
      <c r="D51">
        <f>Analise_Instancias!O38</f>
        <v>6.4526043107024256E-2</v>
      </c>
      <c r="E51" t="str">
        <f>Analise_Instancias!P38</f>
        <v>vrp_100</v>
      </c>
      <c r="F51">
        <f>Analise_Instancias!Q38</f>
        <v>11.260766983032227</v>
      </c>
    </row>
    <row r="52" spans="1:6">
      <c r="A52" t="s">
        <v>43</v>
      </c>
      <c r="B52" t="s">
        <v>54</v>
      </c>
      <c r="C52">
        <v>39</v>
      </c>
      <c r="D52">
        <f>Analise_Instancias!O39</f>
        <v>1.8979133060264886E-2</v>
      </c>
      <c r="E52" t="str">
        <f>Analise_Instancias!P39</f>
        <v>vrp_100</v>
      </c>
      <c r="F52">
        <f>Analise_Instancias!Q39</f>
        <v>11.313071012496948</v>
      </c>
    </row>
    <row r="53" spans="1:6">
      <c r="A53" t="s">
        <v>43</v>
      </c>
      <c r="B53" t="s">
        <v>55</v>
      </c>
      <c r="C53">
        <v>40</v>
      </c>
      <c r="D53">
        <f>Analise_Instancias!O40</f>
        <v>5.6232359351180428E-3</v>
      </c>
      <c r="E53" t="str">
        <f>Analise_Instancias!P40</f>
        <v>vrp_50</v>
      </c>
      <c r="F53">
        <f>Analise_Instancias!Q40</f>
        <v>11.313071012496948</v>
      </c>
    </row>
    <row r="54" spans="1:6">
      <c r="A54" t="s">
        <v>43</v>
      </c>
      <c r="B54" t="s">
        <v>56</v>
      </c>
      <c r="C54">
        <v>41</v>
      </c>
      <c r="D54">
        <f>Analise_Instancias!O41</f>
        <v>0</v>
      </c>
      <c r="E54" t="str">
        <f>Analise_Instancias!P41</f>
        <v>vrp_20</v>
      </c>
      <c r="F54">
        <f>Analise_Instancias!Q41</f>
        <v>11.532374620437622</v>
      </c>
    </row>
    <row r="55" spans="1:6">
      <c r="A55" t="s">
        <v>43</v>
      </c>
      <c r="B55" t="s">
        <v>57</v>
      </c>
      <c r="C55">
        <v>42</v>
      </c>
      <c r="D55">
        <f>Analise_Instancias!O42</f>
        <v>1.477140658990117E-2</v>
      </c>
      <c r="E55" t="str">
        <f>Analise_Instancias!P42</f>
        <v>vrp_50</v>
      </c>
      <c r="F55">
        <f>Analise_Instancias!Q42</f>
        <v>11.42298412322998</v>
      </c>
    </row>
    <row r="56" spans="1:6">
      <c r="A56" t="s">
        <v>43</v>
      </c>
      <c r="B56" t="s">
        <v>58</v>
      </c>
      <c r="C56">
        <v>43</v>
      </c>
      <c r="D56">
        <f>Analise_Instancias!O43</f>
        <v>4.0261102700671847E-2</v>
      </c>
      <c r="E56" t="str">
        <f>Analise_Instancias!P43</f>
        <v>vrp_100</v>
      </c>
      <c r="F56">
        <f>Analise_Instancias!Q43</f>
        <v>12.893540620803833</v>
      </c>
    </row>
    <row r="57" spans="1:6">
      <c r="A57" t="s">
        <v>43</v>
      </c>
      <c r="B57" t="s">
        <v>59</v>
      </c>
      <c r="C57">
        <v>44</v>
      </c>
      <c r="D57">
        <f>Analise_Instancias!O44</f>
        <v>1.4513980173997965E-3</v>
      </c>
      <c r="E57" t="str">
        <f>Analise_Instancias!P44</f>
        <v>vrp_100</v>
      </c>
      <c r="F57">
        <f>Analise_Instancias!Q44</f>
        <v>18.971728086471558</v>
      </c>
    </row>
    <row r="58" spans="1:6">
      <c r="A58" t="s">
        <v>43</v>
      </c>
      <c r="B58" t="s">
        <v>60</v>
      </c>
      <c r="C58">
        <v>45</v>
      </c>
      <c r="D58">
        <f>Analise_Instancias!O45</f>
        <v>2.2957774366395567E-2</v>
      </c>
      <c r="E58" t="str">
        <f>Analise_Instancias!P45</f>
        <v>vrp_20</v>
      </c>
      <c r="F58">
        <f>Analise_Instancias!Q45</f>
        <v>18.971728086471558</v>
      </c>
    </row>
    <row r="59" spans="1:6">
      <c r="A59" t="s">
        <v>43</v>
      </c>
      <c r="B59" t="s">
        <v>61</v>
      </c>
      <c r="C59">
        <v>46</v>
      </c>
      <c r="D59">
        <f>Analise_Instancias!O46</f>
        <v>4.3290163743942456E-2</v>
      </c>
      <c r="E59" t="str">
        <f>Analise_Instancias!P46</f>
        <v>vrp_50</v>
      </c>
      <c r="F59">
        <f>Analise_Instancias!Q46</f>
        <v>11.509817600250244</v>
      </c>
    </row>
    <row r="60" spans="1:6">
      <c r="A60" t="s">
        <v>43</v>
      </c>
      <c r="B60" t="s">
        <v>62</v>
      </c>
      <c r="C60">
        <v>47</v>
      </c>
      <c r="D60">
        <f>Analise_Instancias!O47</f>
        <v>5.025681552155925E-2</v>
      </c>
      <c r="E60" t="str">
        <f>Analise_Instancias!P47</f>
        <v>vrp_20</v>
      </c>
      <c r="F60">
        <f>Analise_Instancias!Q47</f>
        <v>11.233950138092041</v>
      </c>
    </row>
    <row r="61" spans="1:6">
      <c r="A61" t="s">
        <v>43</v>
      </c>
      <c r="B61" t="s">
        <v>63</v>
      </c>
      <c r="C61">
        <v>48</v>
      </c>
      <c r="D61">
        <f>Analise_Instancias!O48</f>
        <v>2.2122368624145183E-2</v>
      </c>
      <c r="E61" t="str">
        <f>Analise_Instancias!P48</f>
        <v>vrp_50</v>
      </c>
      <c r="F61">
        <f>Analise_Instancias!Q48</f>
        <v>10.923311710357666</v>
      </c>
    </row>
    <row r="62" spans="1:6">
      <c r="A62" t="s">
        <v>43</v>
      </c>
      <c r="B62" t="s">
        <v>64</v>
      </c>
      <c r="C62">
        <v>49</v>
      </c>
      <c r="D62">
        <f>Analise_Instancias!O49</f>
        <v>2.9063380041787878E-2</v>
      </c>
      <c r="E62" t="str">
        <f>Analise_Instancias!P49</f>
        <v>vrp_50</v>
      </c>
      <c r="F62">
        <f>Analise_Instancias!Q49</f>
        <v>15.286508083343504</v>
      </c>
    </row>
    <row r="63" spans="1:6">
      <c r="A63" t="s">
        <v>43</v>
      </c>
      <c r="B63" t="s">
        <v>65</v>
      </c>
      <c r="C63">
        <v>50</v>
      </c>
      <c r="D63">
        <f>Analise_Instancias!O50</f>
        <v>2.6211240756436993E-2</v>
      </c>
      <c r="E63" t="str">
        <f>Analise_Instancias!P50</f>
        <v>vrp_50</v>
      </c>
      <c r="F63">
        <f>Analise_Instancias!Q50</f>
        <v>10.334748506546021</v>
      </c>
    </row>
    <row r="64" spans="1:6">
      <c r="A64" t="s">
        <v>43</v>
      </c>
      <c r="B64" t="s">
        <v>66</v>
      </c>
      <c r="C64">
        <v>51</v>
      </c>
      <c r="D64">
        <f>Analise_Instancias!O51</f>
        <v>3.7770014332514368E-2</v>
      </c>
      <c r="E64" t="str">
        <f>Analise_Instancias!P51</f>
        <v>vrp_100</v>
      </c>
      <c r="F64">
        <f>Analise_Instancias!Q51</f>
        <v>10.675469875335693</v>
      </c>
    </row>
    <row r="65" spans="1:6">
      <c r="A65" t="s">
        <v>67</v>
      </c>
      <c r="B65" t="s">
        <v>68</v>
      </c>
      <c r="C65">
        <v>52</v>
      </c>
      <c r="D65">
        <f>Analise_Instancias!O52</f>
        <v>4.5604530627636253E-2</v>
      </c>
      <c r="E65" t="str">
        <f>Analise_Instancias!P52</f>
        <v>vrp_100</v>
      </c>
      <c r="F65">
        <f>Analise_Instancias!Q52</f>
        <v>20.368714332580566</v>
      </c>
    </row>
    <row r="66" spans="1:6">
      <c r="A66" t="s">
        <v>67</v>
      </c>
      <c r="B66" t="s">
        <v>69</v>
      </c>
      <c r="C66">
        <v>53</v>
      </c>
      <c r="D66">
        <f>Analise_Instancias!O53</f>
        <v>3.8253690567484622E-2</v>
      </c>
      <c r="E66" t="str">
        <f>Analise_Instancias!P53</f>
        <v>vrp_50</v>
      </c>
      <c r="F66">
        <f>Analise_Instancias!Q53</f>
        <v>20.368714332580566</v>
      </c>
    </row>
    <row r="67" spans="1:6">
      <c r="A67" t="s">
        <v>67</v>
      </c>
      <c r="B67" t="s">
        <v>70</v>
      </c>
      <c r="C67">
        <v>54</v>
      </c>
      <c r="D67">
        <f>Analise_Instancias!O54</f>
        <v>7.4609374999989875E-4</v>
      </c>
      <c r="E67" t="str">
        <f>Analise_Instancias!P54</f>
        <v>vrp_100</v>
      </c>
      <c r="F67">
        <f>Analise_Instancias!Q54</f>
        <v>9.6456866264343244</v>
      </c>
    </row>
    <row r="68" spans="1:6">
      <c r="A68" t="s">
        <v>67</v>
      </c>
      <c r="B68" t="s">
        <v>71</v>
      </c>
      <c r="C68">
        <v>55</v>
      </c>
      <c r="D68">
        <f>Analise_Instancias!O55</f>
        <v>1.5546265721111396E-3</v>
      </c>
      <c r="E68" t="str">
        <f>Analise_Instancias!P55</f>
        <v>vrp_20</v>
      </c>
      <c r="F68">
        <f>Analise_Instancias!Q55</f>
        <v>5.9792466163635254</v>
      </c>
    </row>
    <row r="69" spans="1:6">
      <c r="A69" t="s">
        <v>67</v>
      </c>
      <c r="B69" t="s">
        <v>72</v>
      </c>
      <c r="C69">
        <v>56</v>
      </c>
      <c r="D69">
        <f>Analise_Instancias!O56</f>
        <v>0</v>
      </c>
      <c r="E69" t="str">
        <f>Analise_Instancias!P56</f>
        <v>vrp_20</v>
      </c>
      <c r="F69">
        <f>Analise_Instancias!Q56</f>
        <v>4.5576293468475342</v>
      </c>
    </row>
    <row r="70" spans="1:6">
      <c r="A70" t="s">
        <v>67</v>
      </c>
      <c r="B70" t="s">
        <v>73</v>
      </c>
      <c r="C70">
        <v>57</v>
      </c>
      <c r="D70">
        <f>Analise_Instancias!O57</f>
        <v>7.374070218937101E-3</v>
      </c>
      <c r="E70" t="str">
        <f>Analise_Instancias!P57</f>
        <v>vrp_100</v>
      </c>
      <c r="F70">
        <f>Analise_Instancias!Q57</f>
        <v>11.987453937530518</v>
      </c>
    </row>
    <row r="71" spans="1:6">
      <c r="A71" t="s">
        <v>67</v>
      </c>
      <c r="B71" t="s">
        <v>74</v>
      </c>
      <c r="C71">
        <v>58</v>
      </c>
      <c r="D71">
        <f>Analise_Instancias!O58</f>
        <v>7.5371974718090318E-3</v>
      </c>
      <c r="E71" t="str">
        <f>Analise_Instancias!P58</f>
        <v>vrp_50</v>
      </c>
      <c r="F71">
        <f>Analise_Instancias!Q58</f>
        <v>11.270205736160278</v>
      </c>
    </row>
    <row r="72" spans="1:6">
      <c r="A72" t="s">
        <v>67</v>
      </c>
      <c r="B72" t="s">
        <v>75</v>
      </c>
      <c r="C72">
        <v>59</v>
      </c>
      <c r="D72">
        <f>Analise_Instancias!O59</f>
        <v>3.2025220020707845E-2</v>
      </c>
      <c r="E72" t="str">
        <f>Analise_Instancias!P59</f>
        <v>vrp_100</v>
      </c>
      <c r="F72">
        <f>Analise_Instancias!Q59</f>
        <v>32.266649723052979</v>
      </c>
    </row>
    <row r="73" spans="1:6">
      <c r="A73" t="s">
        <v>67</v>
      </c>
      <c r="B73" t="s">
        <v>76</v>
      </c>
      <c r="C73">
        <v>60</v>
      </c>
      <c r="D73">
        <f>Analise_Instancias!O60</f>
        <v>3.3255731207149752E-2</v>
      </c>
      <c r="E73" t="str">
        <f>Analise_Instancias!P60</f>
        <v>vrp_20</v>
      </c>
      <c r="F73">
        <f>Analise_Instancias!Q60</f>
        <v>32.266649723052979</v>
      </c>
    </row>
    <row r="74" spans="1:6">
      <c r="A74" t="s">
        <v>67</v>
      </c>
      <c r="B74" t="s">
        <v>77</v>
      </c>
      <c r="C74">
        <v>61</v>
      </c>
      <c r="D74">
        <f>Analise_Instancias!O61</f>
        <v>3.8753475961097905E-2</v>
      </c>
      <c r="E74" t="str">
        <f>Analise_Instancias!P61</f>
        <v>vrp_50</v>
      </c>
      <c r="F74">
        <f>Analise_Instancias!Q61</f>
        <v>32.266649723052979</v>
      </c>
    </row>
    <row r="75" spans="1:6">
      <c r="A75" t="s">
        <v>67</v>
      </c>
      <c r="B75" t="s">
        <v>78</v>
      </c>
      <c r="C75">
        <v>62</v>
      </c>
      <c r="D75">
        <f>Analise_Instancias!O62</f>
        <v>1.9138465933248305E-2</v>
      </c>
      <c r="E75" t="str">
        <f>Analise_Instancias!P62</f>
        <v>vrp_100</v>
      </c>
      <c r="F75">
        <f>Analise_Instancias!Q62</f>
        <v>32.266649723052979</v>
      </c>
    </row>
    <row r="76" spans="1:6">
      <c r="A76" t="s">
        <v>79</v>
      </c>
      <c r="B76" t="s">
        <v>80</v>
      </c>
      <c r="C76">
        <v>63</v>
      </c>
      <c r="D76">
        <f>Analise_Instancias!O63</f>
        <v>0.14188247129141573</v>
      </c>
      <c r="E76" t="str">
        <f>Analise_Instancias!P63</f>
        <v>vrp_50</v>
      </c>
      <c r="F76">
        <f>Analise_Instancias!Q63</f>
        <v>33.907053709030151</v>
      </c>
    </row>
    <row r="77" spans="1:6">
      <c r="A77" t="s">
        <v>79</v>
      </c>
      <c r="B77" t="s">
        <v>81</v>
      </c>
      <c r="C77">
        <v>64</v>
      </c>
      <c r="D77">
        <f>Analise_Instancias!O64</f>
        <v>5.1744998489295924E-3</v>
      </c>
      <c r="E77" t="str">
        <f>Analise_Instancias!P64</f>
        <v>vrp_50</v>
      </c>
      <c r="F77">
        <f>Analise_Instancias!Q64</f>
        <v>11.620858669281006</v>
      </c>
    </row>
    <row r="78" spans="1:6">
      <c r="A78" t="s">
        <v>79</v>
      </c>
      <c r="B78" t="s">
        <v>82</v>
      </c>
      <c r="C78">
        <v>65</v>
      </c>
      <c r="D78">
        <f>Analise_Instancias!O65</f>
        <v>7.4113548053468037E-2</v>
      </c>
      <c r="E78" t="str">
        <f>Analise_Instancias!P65</f>
        <v>vrp_100</v>
      </c>
      <c r="F78">
        <f>Analise_Instancias!Q65</f>
        <v>14.402122497558594</v>
      </c>
    </row>
    <row r="79" spans="1:6">
      <c r="A79" t="s">
        <v>115</v>
      </c>
      <c r="B79" t="s">
        <v>116</v>
      </c>
      <c r="C79">
        <v>98</v>
      </c>
      <c r="D79">
        <f>Analise_Instancias!O66</f>
        <v>1.4147130454458923E-2</v>
      </c>
      <c r="E79" t="str">
        <f>Analise_Instancias!P66</f>
        <v>vrp_100</v>
      </c>
      <c r="F79">
        <f>Analise_Instancias!Q66</f>
        <v>8.0180914402008057</v>
      </c>
    </row>
    <row r="80" spans="1:6">
      <c r="A80" t="s">
        <v>115</v>
      </c>
      <c r="B80" t="s">
        <v>117</v>
      </c>
      <c r="C80">
        <v>99</v>
      </c>
      <c r="D80">
        <f>Analise_Instancias!O67</f>
        <v>4.2398537611822995E-2</v>
      </c>
      <c r="E80" t="str">
        <f>Analise_Instancias!P67</f>
        <v>vrp_50</v>
      </c>
      <c r="F80">
        <f>Analise_Instancias!Q67</f>
        <v>7.9028398990631104</v>
      </c>
    </row>
    <row r="81" spans="1:6">
      <c r="A81" t="s">
        <v>115</v>
      </c>
      <c r="B81" t="s">
        <v>118</v>
      </c>
      <c r="C81">
        <v>100</v>
      </c>
      <c r="D81">
        <f>Analise_Instancias!O68</f>
        <v>6.6024043642241459E-2</v>
      </c>
      <c r="E81" t="str">
        <f>Analise_Instancias!P68</f>
        <v>vrp_50</v>
      </c>
      <c r="F81">
        <f>Analise_Instancias!Q68</f>
        <v>10.644611358642578</v>
      </c>
    </row>
    <row r="82" spans="1:6">
      <c r="A82" t="s">
        <v>115</v>
      </c>
      <c r="B82" t="s">
        <v>119</v>
      </c>
      <c r="C82">
        <v>101</v>
      </c>
      <c r="D82">
        <f>Analise_Instancias!O69</f>
        <v>6.8446663896929216E-2</v>
      </c>
      <c r="E82" t="str">
        <f>Analise_Instancias!P69</f>
        <v>vrp_100</v>
      </c>
      <c r="F82">
        <f>Analise_Instancias!Q69</f>
        <v>17.254871129989624</v>
      </c>
    </row>
    <row r="83" spans="1:6">
      <c r="A83" t="s">
        <v>115</v>
      </c>
      <c r="B83" t="s">
        <v>120</v>
      </c>
      <c r="C83">
        <v>102</v>
      </c>
      <c r="D83">
        <f>Analise_Instancias!O70</f>
        <v>6.6076899509803999E-2</v>
      </c>
      <c r="E83" t="str">
        <f>Analise_Instancias!P70</f>
        <v>vrp_100</v>
      </c>
      <c r="F83">
        <f>Analise_Instancias!Q70</f>
        <v>17.254871129989624</v>
      </c>
    </row>
    <row r="84" spans="1:6">
      <c r="A84" t="s">
        <v>121</v>
      </c>
      <c r="B84" t="s">
        <v>122</v>
      </c>
      <c r="C84">
        <v>103</v>
      </c>
      <c r="D84">
        <f>Analise_Instancias!O71</f>
        <v>6.6753191394777867E-2</v>
      </c>
      <c r="E84" t="str">
        <f>Analise_Instancias!P71</f>
        <v>vrp_50</v>
      </c>
      <c r="F84">
        <f>Analise_Instancias!Q71</f>
        <v>8.4147636890411377</v>
      </c>
    </row>
    <row r="85" spans="1:6">
      <c r="A85" t="s">
        <v>121</v>
      </c>
      <c r="B85" t="s">
        <v>123</v>
      </c>
      <c r="C85">
        <v>104</v>
      </c>
      <c r="D85">
        <f>Analise_Instancias!O72</f>
        <v>4.326850043402608E-3</v>
      </c>
      <c r="E85" t="str">
        <f>Analise_Instancias!P72</f>
        <v>vrp_20</v>
      </c>
      <c r="F85">
        <f>Analise_Instancias!Q72</f>
        <v>5.4356191158294687</v>
      </c>
    </row>
    <row r="86" spans="1:6">
      <c r="A86" t="s">
        <v>121</v>
      </c>
      <c r="B86" t="s">
        <v>124</v>
      </c>
      <c r="C86">
        <v>105</v>
      </c>
      <c r="D86">
        <f>Analise_Instancias!O73</f>
        <v>4.0769469063236752E-2</v>
      </c>
      <c r="E86" t="str">
        <f>Analise_Instancias!P73</f>
        <v>vrp_20</v>
      </c>
      <c r="F86">
        <f>Analise_Instancias!Q73</f>
        <v>13.712060451507568</v>
      </c>
    </row>
    <row r="87" spans="1:6">
      <c r="A87" t="s">
        <v>121</v>
      </c>
      <c r="B87" t="s">
        <v>125</v>
      </c>
      <c r="C87">
        <v>106</v>
      </c>
      <c r="D87">
        <f>Analise_Instancias!O74</f>
        <v>2.1394093831380134E-2</v>
      </c>
      <c r="E87" t="str">
        <f>Analise_Instancias!P74</f>
        <v>vrp_20</v>
      </c>
      <c r="F87">
        <f>Analise_Instancias!Q74</f>
        <v>14.04751992225647</v>
      </c>
    </row>
    <row r="88" spans="1:6">
      <c r="A88" t="s">
        <v>121</v>
      </c>
      <c r="B88" t="s">
        <v>126</v>
      </c>
      <c r="C88">
        <v>107</v>
      </c>
      <c r="D88">
        <f>Analise_Instancias!O75</f>
        <v>8.1116011922393039E-3</v>
      </c>
      <c r="E88" t="str">
        <f>Analise_Instancias!P75</f>
        <v>vrp_20</v>
      </c>
      <c r="F88">
        <f>Analise_Instancias!Q75</f>
        <v>10.827728033065796</v>
      </c>
    </row>
    <row r="89" spans="1:6">
      <c r="A89" t="s">
        <v>121</v>
      </c>
      <c r="B89" t="s">
        <v>127</v>
      </c>
      <c r="C89">
        <v>108</v>
      </c>
      <c r="D89">
        <f>Analise_Instancias!O76</f>
        <v>9.494498923972694E-3</v>
      </c>
      <c r="E89" t="str">
        <f>Analise_Instancias!P76</f>
        <v>vrp_50</v>
      </c>
      <c r="F89">
        <f>Analise_Instancias!Q76</f>
        <v>10.823854207992554</v>
      </c>
    </row>
    <row r="90" spans="1:6">
      <c r="A90" t="s">
        <v>121</v>
      </c>
      <c r="B90" t="s">
        <v>128</v>
      </c>
      <c r="C90">
        <v>109</v>
      </c>
      <c r="D90">
        <f>Analise_Instancias!O77</f>
        <v>0</v>
      </c>
      <c r="E90" t="str">
        <f>Analise_Instancias!P77</f>
        <v>vrp_20</v>
      </c>
      <c r="F90">
        <f>Analise_Instancias!Q77</f>
        <v>10.823854207992554</v>
      </c>
    </row>
    <row r="91" spans="1:6">
      <c r="A91" t="s">
        <v>121</v>
      </c>
      <c r="B91" t="s">
        <v>129</v>
      </c>
      <c r="C91">
        <v>110</v>
      </c>
      <c r="D91">
        <f>Analise_Instancias!O78</f>
        <v>1.8617107196656324E-2</v>
      </c>
      <c r="E91" t="str">
        <f>Analise_Instancias!P78</f>
        <v>vrp_100</v>
      </c>
      <c r="F91">
        <f>Analise_Instancias!Q78</f>
        <v>11.126914262771606</v>
      </c>
    </row>
    <row r="92" spans="1:6">
      <c r="A92" t="s">
        <v>121</v>
      </c>
      <c r="B92" t="s">
        <v>130</v>
      </c>
      <c r="C92">
        <v>111</v>
      </c>
      <c r="D92">
        <f>Analise_Instancias!O79</f>
        <v>8.1357997577784502E-3</v>
      </c>
      <c r="E92" t="str">
        <f>Analise_Instancias!P79</f>
        <v>vrp_50</v>
      </c>
      <c r="F92">
        <f>Analise_Instancias!Q79</f>
        <v>14.461716413497925</v>
      </c>
    </row>
    <row r="93" spans="1:6">
      <c r="A93" t="s">
        <v>121</v>
      </c>
      <c r="B93" t="s">
        <v>131</v>
      </c>
      <c r="C93">
        <v>112</v>
      </c>
      <c r="D93">
        <f>Analise_Instancias!O80</f>
        <v>8.6691463694852366E-3</v>
      </c>
      <c r="E93" t="str">
        <f>Analise_Instancias!P80</f>
        <v>vrp_20</v>
      </c>
      <c r="F93">
        <f>Analise_Instancias!Q80</f>
        <v>13.977951288223267</v>
      </c>
    </row>
    <row r="94" spans="1:6">
      <c r="A94" t="s">
        <v>121</v>
      </c>
      <c r="B94" t="s">
        <v>132</v>
      </c>
      <c r="C94">
        <v>113</v>
      </c>
      <c r="D94">
        <f>Analise_Instancias!O81</f>
        <v>3.9602433127918557E-2</v>
      </c>
      <c r="E94" t="str">
        <f>Analise_Instancias!P81</f>
        <v>vrp_50</v>
      </c>
      <c r="F94">
        <f>Analise_Instancias!Q81</f>
        <v>20.962139129638672</v>
      </c>
    </row>
    <row r="95" spans="1:6">
      <c r="A95" t="s">
        <v>121</v>
      </c>
      <c r="B95" t="s">
        <v>133</v>
      </c>
      <c r="C95">
        <v>114</v>
      </c>
      <c r="D95">
        <f>Analise_Instancias!O82</f>
        <v>1.8016388269968431E-2</v>
      </c>
      <c r="E95" t="str">
        <f>Analise_Instancias!P82</f>
        <v>vrp_20</v>
      </c>
      <c r="F95">
        <f>Analise_Instancias!Q82</f>
        <v>20.962139129638672</v>
      </c>
    </row>
    <row r="96" spans="1:6">
      <c r="A96" t="s">
        <v>121</v>
      </c>
      <c r="B96" t="s">
        <v>134</v>
      </c>
      <c r="C96">
        <v>115</v>
      </c>
      <c r="D96">
        <f>Analise_Instancias!O83</f>
        <v>1.8235873118066515E-2</v>
      </c>
      <c r="E96" t="str">
        <f>Analise_Instancias!P83</f>
        <v>vrp_50</v>
      </c>
      <c r="F96">
        <f>Analise_Instancias!Q83</f>
        <v>20.962139129638672</v>
      </c>
    </row>
    <row r="97" spans="1:6">
      <c r="A97" t="s">
        <v>121</v>
      </c>
      <c r="B97" t="s">
        <v>135</v>
      </c>
      <c r="C97">
        <v>116</v>
      </c>
      <c r="D97">
        <f>Analise_Instancias!O84</f>
        <v>3.3125616117366752E-2</v>
      </c>
      <c r="E97" t="str">
        <f>Analise_Instancias!P84</f>
        <v>vrp_100</v>
      </c>
      <c r="F97">
        <f>Analise_Instancias!Q84</f>
        <v>12.330393314361572</v>
      </c>
    </row>
    <row r="98" spans="1:6">
      <c r="A98" t="s">
        <v>121</v>
      </c>
      <c r="B98" t="s">
        <v>136</v>
      </c>
      <c r="C98">
        <v>117</v>
      </c>
      <c r="D98">
        <f>Analise_Instancias!O85</f>
        <v>2.3745226241669748E-2</v>
      </c>
      <c r="E98" t="str">
        <f>Analise_Instancias!P85</f>
        <v>vrp_20</v>
      </c>
      <c r="F98">
        <f>Analise_Instancias!Q85</f>
        <v>21.682640314102173</v>
      </c>
    </row>
    <row r="99" spans="1:6">
      <c r="A99" t="s">
        <v>121</v>
      </c>
      <c r="B99" t="s">
        <v>137</v>
      </c>
      <c r="C99">
        <v>118</v>
      </c>
      <c r="D99">
        <f>Analise_Instancias!O86</f>
        <v>0</v>
      </c>
      <c r="E99" t="str">
        <f>Analise_Instancias!P86</f>
        <v>vrp_20</v>
      </c>
      <c r="F99">
        <f>Analise_Instancias!Q86</f>
        <v>21.682640314102173</v>
      </c>
    </row>
    <row r="100" spans="1:6">
      <c r="A100" t="s">
        <v>121</v>
      </c>
      <c r="B100" t="s">
        <v>138</v>
      </c>
      <c r="C100">
        <v>119</v>
      </c>
      <c r="D100">
        <f>Analise_Instancias!O87</f>
        <v>3.3870965662136987E-2</v>
      </c>
      <c r="E100" t="str">
        <f>Analise_Instancias!P87</f>
        <v>vrp_50</v>
      </c>
      <c r="F100">
        <f>Analise_Instancias!Q87</f>
        <v>21.682640314102173</v>
      </c>
    </row>
    <row r="101" spans="1:6">
      <c r="A101" t="s">
        <v>121</v>
      </c>
      <c r="B101" t="s">
        <v>139</v>
      </c>
      <c r="C101">
        <v>120</v>
      </c>
      <c r="D101">
        <f>Analise_Instancias!O88</f>
        <v>3.4378985969385489E-4</v>
      </c>
      <c r="E101" t="str">
        <f>Analise_Instancias!P88</f>
        <v>vrp_20</v>
      </c>
      <c r="F101">
        <f>Analise_Instancias!Q88</f>
        <v>21.682640314102173</v>
      </c>
    </row>
    <row r="102" spans="1:6">
      <c r="A102" t="s">
        <v>121</v>
      </c>
      <c r="B102" t="s">
        <v>140</v>
      </c>
      <c r="C102">
        <v>121</v>
      </c>
      <c r="D102">
        <f>Analise_Instancias!O89</f>
        <v>2.3817328996555753E-2</v>
      </c>
      <c r="E102" t="str">
        <f>Analise_Instancias!P89</f>
        <v>vrp_50</v>
      </c>
      <c r="F102">
        <f>Analise_Instancias!Q89</f>
        <v>15.42657208442688</v>
      </c>
    </row>
    <row r="103" spans="1:6">
      <c r="A103" t="s">
        <v>121</v>
      </c>
      <c r="B103" t="s">
        <v>141</v>
      </c>
      <c r="C103">
        <v>122</v>
      </c>
      <c r="D103">
        <f>Analise_Instancias!O90</f>
        <v>2.7607437007683311E-2</v>
      </c>
      <c r="E103" t="str">
        <f>Analise_Instancias!P90</f>
        <v>vrp_50</v>
      </c>
      <c r="F103">
        <f>Analise_Instancias!Q90</f>
        <v>15.42657208442688</v>
      </c>
    </row>
    <row r="104" spans="1:6">
      <c r="A104" t="s">
        <v>121</v>
      </c>
      <c r="B104" t="s">
        <v>142</v>
      </c>
      <c r="C104">
        <v>123</v>
      </c>
      <c r="D104">
        <f>Analise_Instancias!O91</f>
        <v>2.6438549311474047E-2</v>
      </c>
      <c r="E104" t="str">
        <f>Analise_Instancias!P91</f>
        <v>vrp_50</v>
      </c>
      <c r="F104">
        <f>Analise_Instancias!Q91</f>
        <v>10.831694364547729</v>
      </c>
    </row>
    <row r="105" spans="1:6">
      <c r="A105" t="s">
        <v>121</v>
      </c>
      <c r="B105" t="s">
        <v>143</v>
      </c>
      <c r="C105">
        <v>124</v>
      </c>
      <c r="D105">
        <f>Analise_Instancias!O92</f>
        <v>2.9891285094845843E-2</v>
      </c>
      <c r="E105" t="str">
        <f>Analise_Instancias!P92</f>
        <v>vrp_100</v>
      </c>
      <c r="F105">
        <f>Analise_Instancias!Q92</f>
        <v>10.169124603271484</v>
      </c>
    </row>
    <row r="106" spans="1:6">
      <c r="A106" t="s">
        <v>121</v>
      </c>
      <c r="B106" t="s">
        <v>144</v>
      </c>
      <c r="C106">
        <v>125</v>
      </c>
      <c r="D106">
        <f>Analise_Instancias!O93</f>
        <v>7.8291946076623153E-2</v>
      </c>
      <c r="E106" t="str">
        <f>Analise_Instancias!P93</f>
        <v>vrp_50</v>
      </c>
      <c r="F106">
        <f>Analise_Instancias!Q93</f>
        <v>10.272475004196167</v>
      </c>
    </row>
    <row r="107" spans="1:6">
      <c r="A107" t="s">
        <v>121</v>
      </c>
      <c r="B107" t="s">
        <v>145</v>
      </c>
      <c r="C107">
        <v>126</v>
      </c>
      <c r="D107">
        <f>Analise_Instancias!O94</f>
        <v>2.9842394961124397E-2</v>
      </c>
      <c r="E107" t="str">
        <f>Analise_Instancias!P94</f>
        <v>vrp_50</v>
      </c>
      <c r="F107">
        <f>Analise_Instancias!Q94</f>
        <v>10.272475004196167</v>
      </c>
    </row>
    <row r="108" spans="1:6">
      <c r="A108" t="s">
        <v>146</v>
      </c>
      <c r="B108" t="s">
        <v>147</v>
      </c>
      <c r="C108">
        <v>127</v>
      </c>
      <c r="D108">
        <f>Analise_Instancias!O95</f>
        <v>6.7959098902252935E-2</v>
      </c>
      <c r="E108" t="str">
        <f>Analise_Instancias!P95</f>
        <v>vrp_50</v>
      </c>
      <c r="F108">
        <f>Analise_Instancias!Q95</f>
        <v>16.942796230316162</v>
      </c>
    </row>
    <row r="109" spans="1:6">
      <c r="A109" t="s">
        <v>146</v>
      </c>
      <c r="B109" t="s">
        <v>148</v>
      </c>
      <c r="C109">
        <v>128</v>
      </c>
      <c r="D109">
        <f>Analise_Instancias!O96</f>
        <v>4.0010494057361123E-2</v>
      </c>
      <c r="E109" t="str">
        <f>Analise_Instancias!P96</f>
        <v>vrp_50</v>
      </c>
      <c r="F109">
        <f>Analise_Instancias!Q96</f>
        <v>16.942796230316162</v>
      </c>
    </row>
    <row r="110" spans="1:6">
      <c r="A110" t="s">
        <v>146</v>
      </c>
      <c r="B110" t="s">
        <v>149</v>
      </c>
      <c r="C110">
        <v>129</v>
      </c>
      <c r="D110">
        <f>Analise_Instancias!O97</f>
        <v>7.1103448261493396E-2</v>
      </c>
      <c r="E110" t="str">
        <f>Analise_Instancias!P97</f>
        <v>vrp_100</v>
      </c>
      <c r="F110">
        <f>Analise_Instancias!Q97</f>
        <v>16.942796230316162</v>
      </c>
    </row>
    <row r="111" spans="1:6">
      <c r="A111" t="s">
        <v>146</v>
      </c>
      <c r="B111" t="s">
        <v>150</v>
      </c>
      <c r="C111">
        <v>130</v>
      </c>
      <c r="D111">
        <f>Analise_Instancias!O98</f>
        <v>6.299950536058363E-2</v>
      </c>
      <c r="E111" t="str">
        <f>Analise_Instancias!P98</f>
        <v>vrp_50</v>
      </c>
      <c r="F111">
        <f>Analise_Instancias!Q98</f>
        <v>16.942796230316162</v>
      </c>
    </row>
    <row r="112" spans="1:6">
      <c r="A112" t="s">
        <v>146</v>
      </c>
      <c r="B112" t="s">
        <v>151</v>
      </c>
      <c r="C112">
        <v>131</v>
      </c>
      <c r="D112">
        <f>Analise_Instancias!O99</f>
        <v>6.8383309368279965E-2</v>
      </c>
      <c r="E112" t="str">
        <f>Analise_Instancias!P99</f>
        <v>vrp_50</v>
      </c>
      <c r="F112">
        <f>Analise_Instancias!Q99</f>
        <v>27.142813920974731</v>
      </c>
    </row>
    <row r="113" spans="1:6">
      <c r="A113" t="s">
        <v>146</v>
      </c>
      <c r="B113" t="s">
        <v>152</v>
      </c>
      <c r="C113">
        <v>132</v>
      </c>
      <c r="D113">
        <f>Analise_Instancias!O100</f>
        <v>4.6815049677441989E-2</v>
      </c>
      <c r="E113" t="str">
        <f>Analise_Instancias!P100</f>
        <v>vrp_100</v>
      </c>
      <c r="F113">
        <f>Analise_Instancias!Q100</f>
        <v>27.142813920974731</v>
      </c>
    </row>
    <row r="114" spans="1:6">
      <c r="A114" t="s">
        <v>146</v>
      </c>
      <c r="B114" t="s">
        <v>153</v>
      </c>
      <c r="C114">
        <v>133</v>
      </c>
      <c r="D114">
        <f>Analise_Instancias!O101</f>
        <v>9.8197457057185078E-2</v>
      </c>
      <c r="E114" t="str">
        <f>Analise_Instancias!P101</f>
        <v>vrp_50</v>
      </c>
      <c r="F114">
        <f>Analise_Instancias!Q101</f>
        <v>27.142813920974731</v>
      </c>
    </row>
    <row r="115" spans="1:6">
      <c r="A115" t="s">
        <v>146</v>
      </c>
      <c r="B115" t="s">
        <v>154</v>
      </c>
      <c r="C115">
        <v>134</v>
      </c>
      <c r="D115">
        <f>Analise_Instancias!O102</f>
        <v>6.6679100836738669E-2</v>
      </c>
      <c r="E115" t="str">
        <f>Analise_Instancias!P102</f>
        <v>vrp_50</v>
      </c>
      <c r="F115">
        <f>Analise_Instancias!Q102</f>
        <v>27.142813920974731</v>
      </c>
    </row>
    <row r="116" spans="1:6">
      <c r="A116" t="s">
        <v>146</v>
      </c>
      <c r="B116" t="s">
        <v>155</v>
      </c>
      <c r="C116">
        <v>135</v>
      </c>
      <c r="D116">
        <f>Analise_Instancias!O103</f>
        <v>0.13418335421050642</v>
      </c>
      <c r="E116" t="str">
        <f>Analise_Instancias!P103</f>
        <v>vrp_50</v>
      </c>
      <c r="F116">
        <f>Analise_Instancias!Q103</f>
        <v>25.904552459716797</v>
      </c>
    </row>
    <row r="117" spans="1:6">
      <c r="A117" t="s">
        <v>146</v>
      </c>
      <c r="B117" t="s">
        <v>156</v>
      </c>
      <c r="C117">
        <v>136</v>
      </c>
      <c r="D117">
        <f>Analise_Instancias!O104</f>
        <v>4.3996851220139632E-2</v>
      </c>
      <c r="E117" t="str">
        <f>Analise_Instancias!P104</f>
        <v>vrp_50</v>
      </c>
      <c r="F117">
        <f>Analise_Instancias!Q104</f>
        <v>13.260036945343018</v>
      </c>
    </row>
    <row r="118" spans="1:6">
      <c r="A118" t="s">
        <v>146</v>
      </c>
      <c r="B118" t="s">
        <v>157</v>
      </c>
      <c r="C118">
        <v>137</v>
      </c>
      <c r="D118">
        <f>Analise_Instancias!O105</f>
        <v>6.7534396770788874E-2</v>
      </c>
      <c r="E118" t="str">
        <f>Analise_Instancias!P105</f>
        <v>vrp_100</v>
      </c>
      <c r="F118">
        <f>Analise_Instancias!Q105</f>
        <v>13.260036945343018</v>
      </c>
    </row>
    <row r="119" spans="1:6">
      <c r="A119" t="s">
        <v>146</v>
      </c>
      <c r="B119" t="s">
        <v>158</v>
      </c>
      <c r="C119">
        <v>138</v>
      </c>
      <c r="D119">
        <f>Analise_Instancias!O106</f>
        <v>6.803301956898089E-2</v>
      </c>
      <c r="E119" t="str">
        <f>Analise_Instancias!P106</f>
        <v>vrp_50</v>
      </c>
      <c r="F119">
        <f>Analise_Instancias!Q106</f>
        <v>13.260036945343018</v>
      </c>
    </row>
    <row r="120" spans="1:6">
      <c r="A120" t="s">
        <v>146</v>
      </c>
      <c r="B120" t="s">
        <v>159</v>
      </c>
      <c r="C120">
        <v>139</v>
      </c>
      <c r="D120">
        <f>Analise_Instancias!O107</f>
        <v>6.1838101440399251E-2</v>
      </c>
      <c r="E120" t="str">
        <f>Analise_Instancias!P107</f>
        <v>vrp_100</v>
      </c>
      <c r="F120">
        <f>Analise_Instancias!Q107</f>
        <v>13.260036945343018</v>
      </c>
    </row>
    <row r="121" spans="1:6">
      <c r="A121" t="s">
        <v>160</v>
      </c>
      <c r="B121" t="s">
        <v>161</v>
      </c>
      <c r="C121">
        <v>140</v>
      </c>
      <c r="D121">
        <f>Analise_Instancias!O108</f>
        <v>0.12437428736783906</v>
      </c>
      <c r="E121" t="str">
        <f>Analise_Instancias!P108</f>
        <v>vrp_100</v>
      </c>
      <c r="F121">
        <f>Analise_Instancias!Q108</f>
        <v>17.911424160003662</v>
      </c>
    </row>
    <row r="122" spans="1:6">
      <c r="A122" t="s">
        <v>160</v>
      </c>
      <c r="B122" t="s">
        <v>162</v>
      </c>
      <c r="C122">
        <v>141</v>
      </c>
      <c r="D122">
        <f>Analise_Instancias!O109</f>
        <v>5.1820778854517746E-2</v>
      </c>
      <c r="E122" t="str">
        <f>Analise_Instancias!P109</f>
        <v>vrp_100</v>
      </c>
      <c r="F122">
        <f>Analise_Instancias!Q109</f>
        <v>5.6703145503997803</v>
      </c>
    </row>
    <row r="123" spans="1:6">
      <c r="A123" t="s">
        <v>160</v>
      </c>
      <c r="B123" t="s">
        <v>163</v>
      </c>
      <c r="C123">
        <v>142</v>
      </c>
      <c r="D123">
        <f>Analise_Instancias!O110</f>
        <v>4.671704299749635E-2</v>
      </c>
      <c r="E123" t="str">
        <f>Analise_Instancias!P110</f>
        <v>vrp_100</v>
      </c>
      <c r="F123">
        <f>Analise_Instancias!Q110</f>
        <v>7.3362345695495614</v>
      </c>
    </row>
    <row r="124" spans="1:6">
      <c r="A124" t="s">
        <v>160</v>
      </c>
      <c r="B124" t="s">
        <v>164</v>
      </c>
      <c r="C124">
        <v>143</v>
      </c>
      <c r="D124">
        <f>Analise_Instancias!O111</f>
        <v>3.0600110734920749E-2</v>
      </c>
      <c r="E124" t="str">
        <f>Analise_Instancias!P111</f>
        <v>vrp_50</v>
      </c>
      <c r="F124">
        <f>Analise_Instancias!Q111</f>
        <v>7.694338321685791</v>
      </c>
    </row>
    <row r="125" spans="1:6">
      <c r="A125" t="s">
        <v>160</v>
      </c>
      <c r="B125" t="s">
        <v>165</v>
      </c>
      <c r="C125">
        <v>144</v>
      </c>
      <c r="D125">
        <f>Analise_Instancias!O112</f>
        <v>3.9238705675845198E-2</v>
      </c>
      <c r="E125" t="str">
        <f>Analise_Instancias!P112</f>
        <v>vrp_100</v>
      </c>
      <c r="F125">
        <f>Analise_Instancias!Q112</f>
        <v>8.2404594421386719</v>
      </c>
    </row>
    <row r="126" spans="1:6">
      <c r="A126" t="s">
        <v>160</v>
      </c>
      <c r="B126" t="s">
        <v>166</v>
      </c>
      <c r="C126">
        <v>145</v>
      </c>
      <c r="D126">
        <f>Analise_Instancias!O113</f>
        <v>5.4362565162766385E-2</v>
      </c>
      <c r="E126" t="str">
        <f>Analise_Instancias!P113</f>
        <v>vrp_50</v>
      </c>
      <c r="F126">
        <f>Analise_Instancias!Q113</f>
        <v>9.1661818027496338</v>
      </c>
    </row>
    <row r="127" spans="1:6">
      <c r="A127" t="s">
        <v>160</v>
      </c>
      <c r="B127" t="s">
        <v>167</v>
      </c>
      <c r="C127">
        <v>146</v>
      </c>
      <c r="D127">
        <f>Analise_Instancias!O114</f>
        <v>5.7359046120744051E-2</v>
      </c>
      <c r="E127" t="str">
        <f>Analise_Instancias!P114</f>
        <v>vrp_20</v>
      </c>
      <c r="F127">
        <f>Analise_Instancias!Q114</f>
        <v>8.8394739627838135</v>
      </c>
    </row>
    <row r="128" spans="1:6">
      <c r="A128" t="s">
        <v>160</v>
      </c>
      <c r="B128" t="s">
        <v>168</v>
      </c>
      <c r="C128">
        <v>147</v>
      </c>
      <c r="D128">
        <f>Analise_Instancias!O115</f>
        <v>4.2683879902384314E-2</v>
      </c>
      <c r="E128" t="str">
        <f>Analise_Instancias!P115</f>
        <v>vrp_100</v>
      </c>
      <c r="F128">
        <f>Analise_Instancias!Q115</f>
        <v>8.5046582221984863</v>
      </c>
    </row>
    <row r="129" spans="1:6">
      <c r="A129" t="s">
        <v>160</v>
      </c>
      <c r="B129" t="s">
        <v>169</v>
      </c>
      <c r="C129">
        <v>148</v>
      </c>
      <c r="D129">
        <f>Analise_Instancias!O116</f>
        <v>0.13649616961341149</v>
      </c>
      <c r="E129" t="str">
        <f>Analise_Instancias!P116</f>
        <v>vrp_50</v>
      </c>
      <c r="F129">
        <f>Analise_Instancias!Q116</f>
        <v>8.3587310314178467</v>
      </c>
    </row>
    <row r="130" spans="1:6">
      <c r="A130" t="s">
        <v>160</v>
      </c>
      <c r="B130" t="s">
        <v>170</v>
      </c>
      <c r="C130">
        <v>149</v>
      </c>
      <c r="D130">
        <f>Analise_Instancias!O117</f>
        <v>2.3559803853936634E-2</v>
      </c>
      <c r="E130" t="str">
        <f>Analise_Instancias!P117</f>
        <v>vrp_100</v>
      </c>
      <c r="F130">
        <f>Analise_Instancias!Q117</f>
        <v>8.2392976284027082</v>
      </c>
    </row>
    <row r="131" spans="1:6">
      <c r="A131" t="s">
        <v>160</v>
      </c>
      <c r="B131" t="s">
        <v>171</v>
      </c>
      <c r="C131">
        <v>150</v>
      </c>
      <c r="D131">
        <f>Analise_Instancias!O118</f>
        <v>6.7580737460191109E-2</v>
      </c>
      <c r="E131" t="str">
        <f>Analise_Instancias!P118</f>
        <v>vrp_100</v>
      </c>
      <c r="F131">
        <f>Analise_Instancias!Q118</f>
        <v>8.3479523658752441</v>
      </c>
    </row>
    <row r="132" spans="1:6">
      <c r="A132" t="s">
        <v>160</v>
      </c>
      <c r="B132" t="s">
        <v>172</v>
      </c>
      <c r="C132">
        <v>151</v>
      </c>
      <c r="D132">
        <f>Analise_Instancias!O119</f>
        <v>6.4084868693610852E-2</v>
      </c>
      <c r="E132" t="str">
        <f>Analise_Instancias!P119</f>
        <v>vrp_100</v>
      </c>
      <c r="F132">
        <f>Analise_Instancias!Q119</f>
        <v>9.4408457279205322</v>
      </c>
    </row>
    <row r="133" spans="1:6">
      <c r="A133" t="s">
        <v>160</v>
      </c>
      <c r="B133" t="s">
        <v>173</v>
      </c>
      <c r="C133">
        <v>152</v>
      </c>
      <c r="D133">
        <f>Analise_Instancias!O120</f>
        <v>0.12651758364750232</v>
      </c>
      <c r="E133" t="str">
        <f>Analise_Instancias!P120</f>
        <v>vrp_50</v>
      </c>
      <c r="F133">
        <f>Analise_Instancias!Q120</f>
        <v>8.9983782768249512</v>
      </c>
    </row>
    <row r="134" spans="1:6">
      <c r="A134" t="s">
        <v>160</v>
      </c>
      <c r="B134" t="s">
        <v>174</v>
      </c>
      <c r="C134">
        <v>153</v>
      </c>
      <c r="D134">
        <f>Analise_Instancias!O121</f>
        <v>4.064411923737854E-2</v>
      </c>
      <c r="E134" t="str">
        <f>Analise_Instancias!P121</f>
        <v>vrp_100</v>
      </c>
      <c r="F134">
        <f>Analise_Instancias!Q121</f>
        <v>9.4030942916870117</v>
      </c>
    </row>
    <row r="135" spans="1:6">
      <c r="A135" t="s">
        <v>160</v>
      </c>
      <c r="B135" t="s">
        <v>175</v>
      </c>
      <c r="C135">
        <v>154</v>
      </c>
      <c r="D135">
        <f>Analise_Instancias!O122</f>
        <v>4.6728011387749291E-2</v>
      </c>
      <c r="E135" t="str">
        <f>Analise_Instancias!P122</f>
        <v>vrp_50</v>
      </c>
      <c r="F135">
        <f>Analise_Instancias!Q122</f>
        <v>9.8404741287231445</v>
      </c>
    </row>
    <row r="136" spans="1:6">
      <c r="A136" t="s">
        <v>160</v>
      </c>
      <c r="B136" t="s">
        <v>176</v>
      </c>
      <c r="C136">
        <v>155</v>
      </c>
      <c r="D136">
        <f>Analise_Instancias!O123</f>
        <v>3.4353983740331717E-2</v>
      </c>
      <c r="E136" t="str">
        <f>Analise_Instancias!P123</f>
        <v>vrp_100</v>
      </c>
      <c r="F136">
        <f>Analise_Instancias!Q123</f>
        <v>9.6883397102355957</v>
      </c>
    </row>
    <row r="137" spans="1:6">
      <c r="A137" t="s">
        <v>160</v>
      </c>
      <c r="B137" t="s">
        <v>177</v>
      </c>
      <c r="C137">
        <v>156</v>
      </c>
      <c r="D137">
        <f>Analise_Instancias!O124</f>
        <v>5.7570829313482674E-2</v>
      </c>
      <c r="E137" t="str">
        <f>Analise_Instancias!P124</f>
        <v>vrp_100</v>
      </c>
      <c r="F137">
        <f>Analise_Instancias!Q124</f>
        <v>9.7494955062866211</v>
      </c>
    </row>
    <row r="138" spans="1:6">
      <c r="A138" t="s">
        <v>160</v>
      </c>
      <c r="B138" t="s">
        <v>178</v>
      </c>
      <c r="C138">
        <v>157</v>
      </c>
      <c r="D138">
        <f>Analise_Instancias!O125</f>
        <v>8.7713253864092788E-2</v>
      </c>
      <c r="E138" t="str">
        <f>Analise_Instancias!P125</f>
        <v>vrp_100</v>
      </c>
      <c r="F138">
        <f>Analise_Instancias!Q125</f>
        <v>9.4971671104431152</v>
      </c>
    </row>
    <row r="139" spans="1:6">
      <c r="A139" t="s">
        <v>160</v>
      </c>
      <c r="B139" t="s">
        <v>179</v>
      </c>
      <c r="C139">
        <v>158</v>
      </c>
      <c r="D139">
        <f>Analise_Instancias!O126</f>
        <v>4.4506332741796717E-2</v>
      </c>
      <c r="E139" t="str">
        <f>Analise_Instancias!P126</f>
        <v>vrp_100</v>
      </c>
      <c r="F139">
        <f>Analise_Instancias!Q126</f>
        <v>9.9701931476593018</v>
      </c>
    </row>
    <row r="140" spans="1:6">
      <c r="A140" t="s">
        <v>160</v>
      </c>
      <c r="B140" t="s">
        <v>180</v>
      </c>
      <c r="C140">
        <v>159</v>
      </c>
      <c r="D140">
        <f>Analise_Instancias!O127</f>
        <v>4.7046651739490519E-2</v>
      </c>
      <c r="E140" t="str">
        <f>Analise_Instancias!P127</f>
        <v>vrp_100</v>
      </c>
      <c r="F140">
        <f>Analise_Instancias!Q127</f>
        <v>9.8055694103240967</v>
      </c>
    </row>
    <row r="141" spans="1:6">
      <c r="A141" t="s">
        <v>160</v>
      </c>
      <c r="B141" t="s">
        <v>181</v>
      </c>
      <c r="C141">
        <v>160</v>
      </c>
      <c r="D141">
        <f>Analise_Instancias!O128</f>
        <v>9.0321333922261493E-2</v>
      </c>
      <c r="E141" t="str">
        <f>Analise_Instancias!P128</f>
        <v>vrp_50</v>
      </c>
      <c r="F141">
        <f>Analise_Instancias!Q128</f>
        <v>9.2868125438690186</v>
      </c>
    </row>
    <row r="142" spans="1:6">
      <c r="A142" t="s">
        <v>160</v>
      </c>
      <c r="B142" t="s">
        <v>182</v>
      </c>
      <c r="C142">
        <v>161</v>
      </c>
      <c r="D142">
        <f>Analise_Instancias!O129</f>
        <v>7.1715216930469117E-2</v>
      </c>
      <c r="E142" t="str">
        <f>Analise_Instancias!P129</f>
        <v>vrp_100</v>
      </c>
      <c r="F142">
        <f>Analise_Instancias!Q129</f>
        <v>10.263688802719116</v>
      </c>
    </row>
    <row r="143" spans="1:6">
      <c r="A143" t="s">
        <v>160</v>
      </c>
      <c r="B143" t="s">
        <v>183</v>
      </c>
      <c r="C143">
        <v>162</v>
      </c>
      <c r="D143">
        <f>Analise_Instancias!O130</f>
        <v>5.5875219258936903E-2</v>
      </c>
      <c r="E143" t="str">
        <f>Analise_Instancias!P130</f>
        <v>vrp_100</v>
      </c>
      <c r="F143">
        <f>Analise_Instancias!Q130</f>
        <v>10.10144305229187</v>
      </c>
    </row>
    <row r="144" spans="1:6">
      <c r="A144" t="s">
        <v>160</v>
      </c>
      <c r="B144" t="s">
        <v>184</v>
      </c>
      <c r="C144">
        <v>163</v>
      </c>
      <c r="D144">
        <f>Analise_Instancias!O131</f>
        <v>6.1696588295425459E-2</v>
      </c>
      <c r="E144" t="str">
        <f>Analise_Instancias!P131</f>
        <v>vrp_100</v>
      </c>
      <c r="F144">
        <f>Analise_Instancias!Q131</f>
        <v>8.9607822895050049</v>
      </c>
    </row>
    <row r="145" spans="1:6">
      <c r="A145" t="s">
        <v>160</v>
      </c>
      <c r="B145" t="s">
        <v>185</v>
      </c>
      <c r="C145">
        <v>164</v>
      </c>
      <c r="D145">
        <f>Analise_Instancias!O132</f>
        <v>5.1423584494063146E-2</v>
      </c>
      <c r="E145" t="str">
        <f>Analise_Instancias!P132</f>
        <v>vrp_100</v>
      </c>
      <c r="F145">
        <f>Analise_Instancias!Q132</f>
        <v>9.402698278427124</v>
      </c>
    </row>
    <row r="146" spans="1:6">
      <c r="A146" t="s">
        <v>160</v>
      </c>
      <c r="B146" t="s">
        <v>186</v>
      </c>
      <c r="C146">
        <v>165</v>
      </c>
      <c r="D146">
        <f>Analise_Instancias!O133</f>
        <v>0.1155543485457351</v>
      </c>
      <c r="E146" t="str">
        <f>Analise_Instancias!P133</f>
        <v>vrp_50</v>
      </c>
      <c r="F146">
        <f>Analise_Instancias!Q133</f>
        <v>10.262157201766968</v>
      </c>
    </row>
    <row r="147" spans="1:6">
      <c r="A147" t="s">
        <v>160</v>
      </c>
      <c r="B147" t="s">
        <v>187</v>
      </c>
      <c r="C147">
        <v>166</v>
      </c>
      <c r="D147">
        <f>Analise_Instancias!O134</f>
        <v>4.7736869658573822E-2</v>
      </c>
      <c r="E147" t="str">
        <f>Analise_Instancias!P134</f>
        <v>vrp_50</v>
      </c>
      <c r="F147">
        <f>Analise_Instancias!Q134</f>
        <v>12.128466606140137</v>
      </c>
    </row>
    <row r="148" spans="1:6">
      <c r="A148" t="s">
        <v>160</v>
      </c>
      <c r="B148" t="s">
        <v>188</v>
      </c>
      <c r="C148">
        <v>167</v>
      </c>
      <c r="D148">
        <f>Analise_Instancias!O135</f>
        <v>6.4884303051660597E-2</v>
      </c>
      <c r="E148" t="str">
        <f>Analise_Instancias!P135</f>
        <v>vrp_100</v>
      </c>
      <c r="F148">
        <f>Analise_Instancias!Q135</f>
        <v>8.8335676193237305</v>
      </c>
    </row>
    <row r="149" spans="1:6">
      <c r="A149" t="s">
        <v>160</v>
      </c>
      <c r="B149" t="s">
        <v>189</v>
      </c>
      <c r="C149">
        <v>168</v>
      </c>
      <c r="D149">
        <f>Analise_Instancias!O136</f>
        <v>0.11003357839328731</v>
      </c>
      <c r="E149" t="str">
        <f>Analise_Instancias!P136</f>
        <v>vrp_100</v>
      </c>
      <c r="F149">
        <f>Analise_Instancias!Q136</f>
        <v>8.5839335918426514</v>
      </c>
    </row>
    <row r="150" spans="1:6">
      <c r="A150" t="s">
        <v>160</v>
      </c>
      <c r="B150" t="s">
        <v>190</v>
      </c>
      <c r="C150">
        <v>169</v>
      </c>
      <c r="D150">
        <f>Analise_Instancias!O137</f>
        <v>6.7883230954238094E-2</v>
      </c>
      <c r="E150" t="str">
        <f>Analise_Instancias!P137</f>
        <v>vrp_100</v>
      </c>
      <c r="F150">
        <f>Analise_Instancias!Q137</f>
        <v>8.5178716182708722</v>
      </c>
    </row>
    <row r="151" spans="1:6">
      <c r="A151" t="s">
        <v>160</v>
      </c>
      <c r="B151" t="s">
        <v>191</v>
      </c>
      <c r="C151">
        <v>170</v>
      </c>
      <c r="D151">
        <f>Analise_Instancias!O138</f>
        <v>0.1050115618759706</v>
      </c>
      <c r="E151" t="str">
        <f>Analise_Instancias!P138</f>
        <v>vrp_100</v>
      </c>
      <c r="F151">
        <f>Analise_Instancias!Q138</f>
        <v>8.7433769702911377</v>
      </c>
    </row>
    <row r="152" spans="1:6">
      <c r="A152" t="s">
        <v>160</v>
      </c>
      <c r="B152" t="s">
        <v>192</v>
      </c>
      <c r="C152">
        <v>171</v>
      </c>
      <c r="D152">
        <f>Analise_Instancias!O139</f>
        <v>6.5913100748027142E-2</v>
      </c>
      <c r="E152" t="str">
        <f>Analise_Instancias!P139</f>
        <v>vrp_100</v>
      </c>
      <c r="F152">
        <f>Analise_Instancias!Q139</f>
        <v>9.6960144042968732</v>
      </c>
    </row>
    <row r="153" spans="1:6">
      <c r="A153" t="s">
        <v>160</v>
      </c>
      <c r="B153" t="s">
        <v>193</v>
      </c>
      <c r="C153">
        <v>172</v>
      </c>
      <c r="D153">
        <f>Analise_Instancias!O140</f>
        <v>0.1237093047432527</v>
      </c>
      <c r="E153" t="str">
        <f>Analise_Instancias!P140</f>
        <v>vrp_50</v>
      </c>
      <c r="F153">
        <f>Analise_Instancias!Q140</f>
        <v>9.4594569206237793</v>
      </c>
    </row>
    <row r="154" spans="1:6">
      <c r="A154" t="s">
        <v>160</v>
      </c>
      <c r="B154" t="s">
        <v>194</v>
      </c>
      <c r="C154">
        <v>173</v>
      </c>
      <c r="D154">
        <f>Analise_Instancias!O141</f>
        <v>6.1839399040947152E-2</v>
      </c>
      <c r="E154" t="str">
        <f>Analise_Instancias!P141</f>
        <v>vrp_100</v>
      </c>
      <c r="F154">
        <f>Analise_Instancias!Q141</f>
        <v>8.8447530269622803</v>
      </c>
    </row>
    <row r="155" spans="1:6">
      <c r="A155" t="s">
        <v>160</v>
      </c>
      <c r="B155" t="s">
        <v>195</v>
      </c>
      <c r="C155">
        <v>174</v>
      </c>
      <c r="D155">
        <f>Analise_Instancias!O142</f>
        <v>6.3305136618185598E-2</v>
      </c>
      <c r="E155" t="str">
        <f>Analise_Instancias!P142</f>
        <v>vrp_100</v>
      </c>
      <c r="F155">
        <f>Analise_Instancias!Q142</f>
        <v>9.0010340213775635</v>
      </c>
    </row>
    <row r="156" spans="1:6">
      <c r="A156" t="s">
        <v>160</v>
      </c>
      <c r="B156" t="s">
        <v>196</v>
      </c>
      <c r="C156">
        <v>175</v>
      </c>
      <c r="D156">
        <f>Analise_Instancias!O143</f>
        <v>6.8049028305971815E-2</v>
      </c>
      <c r="E156" t="str">
        <f>Analise_Instancias!P143</f>
        <v>vrp_100</v>
      </c>
      <c r="F156">
        <f>Analise_Instancias!Q143</f>
        <v>8.6748900413513184</v>
      </c>
    </row>
    <row r="157" spans="1:6">
      <c r="A157" t="s">
        <v>160</v>
      </c>
      <c r="B157" t="s">
        <v>197</v>
      </c>
      <c r="C157">
        <v>176</v>
      </c>
      <c r="D157">
        <f>Analise_Instancias!O144</f>
        <v>0.10039908152044297</v>
      </c>
      <c r="E157" t="str">
        <f>Analise_Instancias!P144</f>
        <v>vrp_100</v>
      </c>
      <c r="F157">
        <f>Analise_Instancias!Q144</f>
        <v>9.0765838623046875</v>
      </c>
    </row>
    <row r="158" spans="1:6">
      <c r="A158" t="s">
        <v>160</v>
      </c>
      <c r="B158" t="s">
        <v>198</v>
      </c>
      <c r="C158">
        <v>177</v>
      </c>
      <c r="D158">
        <f>Analise_Instancias!O145</f>
        <v>7.3906723739763702E-2</v>
      </c>
      <c r="E158" t="str">
        <f>Analise_Instancias!P145</f>
        <v>vrp_100</v>
      </c>
      <c r="F158">
        <f>Analise_Instancias!Q145</f>
        <v>9.1483774185180664</v>
      </c>
    </row>
    <row r="159" spans="1:6">
      <c r="A159" t="s">
        <v>160</v>
      </c>
      <c r="B159" t="s">
        <v>199</v>
      </c>
      <c r="C159">
        <v>178</v>
      </c>
      <c r="D159">
        <f>Analise_Instancias!O146</f>
        <v>0.16816824546952214</v>
      </c>
      <c r="E159" t="str">
        <f>Analise_Instancias!P146</f>
        <v>vrp_100</v>
      </c>
      <c r="F159">
        <f>Analise_Instancias!Q146</f>
        <v>9.5052878856658936</v>
      </c>
    </row>
    <row r="160" spans="1:6">
      <c r="A160" t="s">
        <v>160</v>
      </c>
      <c r="B160" t="s">
        <v>200</v>
      </c>
      <c r="C160">
        <v>179</v>
      </c>
      <c r="D160">
        <f>Analise_Instancias!O147</f>
        <v>7.2844106311375167E-2</v>
      </c>
      <c r="E160" t="str">
        <f>Analise_Instancias!P147</f>
        <v>vrp_100</v>
      </c>
      <c r="F160">
        <f>Analise_Instancias!Q147</f>
        <v>9.5660111904144287</v>
      </c>
    </row>
    <row r="161" spans="1:6">
      <c r="A161" t="s">
        <v>160</v>
      </c>
      <c r="B161" t="s">
        <v>201</v>
      </c>
      <c r="C161">
        <v>180</v>
      </c>
      <c r="D161">
        <f>Analise_Instancias!O148</f>
        <v>0.10409723638509849</v>
      </c>
      <c r="E161" t="str">
        <f>Analise_Instancias!P148</f>
        <v>vrp_100</v>
      </c>
      <c r="F161">
        <f>Analise_Instancias!Q148</f>
        <v>9.0264718532562256</v>
      </c>
    </row>
    <row r="162" spans="1:6">
      <c r="A162" t="s">
        <v>160</v>
      </c>
      <c r="B162" t="s">
        <v>202</v>
      </c>
      <c r="C162">
        <v>181</v>
      </c>
      <c r="D162">
        <f>Analise_Instancias!O149</f>
        <v>9.6790561843806078E-2</v>
      </c>
      <c r="E162" t="str">
        <f>Analise_Instancias!P149</f>
        <v>vrp_100</v>
      </c>
      <c r="F162">
        <f>Analise_Instancias!Q149</f>
        <v>9.7078711986541748</v>
      </c>
    </row>
    <row r="163" spans="1:6">
      <c r="A163" t="s">
        <v>160</v>
      </c>
      <c r="B163" t="s">
        <v>203</v>
      </c>
      <c r="C163">
        <v>182</v>
      </c>
      <c r="D163">
        <f>Analise_Instancias!O150</f>
        <v>9.4642388573185521E-2</v>
      </c>
      <c r="E163" t="str">
        <f>Analise_Instancias!P150</f>
        <v>vrp_100</v>
      </c>
      <c r="F163">
        <f>Analise_Instancias!Q150</f>
        <v>9.3804986476898193</v>
      </c>
    </row>
    <row r="164" spans="1:6">
      <c r="A164" t="s">
        <v>160</v>
      </c>
      <c r="B164" t="s">
        <v>204</v>
      </c>
      <c r="C164">
        <v>183</v>
      </c>
      <c r="D164">
        <f>Analise_Instancias!O151</f>
        <v>8.6571747830913592E-2</v>
      </c>
      <c r="E164" t="str">
        <f>Analise_Instancias!P151</f>
        <v>vrp_100</v>
      </c>
      <c r="F164">
        <f>Analise_Instancias!Q151</f>
        <v>9.2404716014862061</v>
      </c>
    </row>
    <row r="165" spans="1:6">
      <c r="A165" t="s">
        <v>160</v>
      </c>
      <c r="B165" t="s">
        <v>205</v>
      </c>
      <c r="C165">
        <v>184</v>
      </c>
      <c r="D165">
        <f>Analise_Instancias!O152</f>
        <v>8.1915963867546848E-2</v>
      </c>
      <c r="E165" t="str">
        <f>Analise_Instancias!P152</f>
        <v>vrp_100</v>
      </c>
      <c r="F165">
        <f>Analise_Instancias!Q152</f>
        <v>9.1632113456726074</v>
      </c>
    </row>
    <row r="166" spans="1:6">
      <c r="A166" t="s">
        <v>160</v>
      </c>
      <c r="B166" t="s">
        <v>206</v>
      </c>
      <c r="C166">
        <v>185</v>
      </c>
      <c r="D166">
        <f>Analise_Instancias!O153</f>
        <v>9.1121487562357384E-2</v>
      </c>
      <c r="E166" t="str">
        <f>Analise_Instancias!P153</f>
        <v>vrp_100</v>
      </c>
      <c r="F166">
        <f>Analise_Instancias!Q153</f>
        <v>10.114853143692017</v>
      </c>
    </row>
    <row r="167" spans="1:6">
      <c r="A167" t="s">
        <v>160</v>
      </c>
      <c r="B167" t="s">
        <v>207</v>
      </c>
      <c r="C167">
        <v>186</v>
      </c>
      <c r="D167">
        <f>Analise_Instancias!O154</f>
        <v>7.948574721138213E-2</v>
      </c>
      <c r="E167" t="str">
        <f>Analise_Instancias!P154</f>
        <v>vrp_100</v>
      </c>
      <c r="F167">
        <f>Analise_Instancias!Q154</f>
        <v>11.636857032775879</v>
      </c>
    </row>
    <row r="168" spans="1:6">
      <c r="A168" t="s">
        <v>160</v>
      </c>
      <c r="B168" t="s">
        <v>208</v>
      </c>
      <c r="C168">
        <v>187</v>
      </c>
      <c r="D168">
        <f>Analise_Instancias!O155</f>
        <v>6.2918069204262572E-2</v>
      </c>
      <c r="E168" t="str">
        <f>Analise_Instancias!P155</f>
        <v>vrp_100</v>
      </c>
      <c r="F168">
        <f>Analise_Instancias!Q155</f>
        <v>9.2928471565246582</v>
      </c>
    </row>
    <row r="169" spans="1:6">
      <c r="A169" t="s">
        <v>160</v>
      </c>
      <c r="B169" t="s">
        <v>209</v>
      </c>
      <c r="C169">
        <v>188</v>
      </c>
      <c r="D169">
        <f>Analise_Instancias!O156</f>
        <v>8.4221428885667304E-2</v>
      </c>
      <c r="E169" t="str">
        <f>Analise_Instancias!P156</f>
        <v>vrp_100</v>
      </c>
      <c r="F169">
        <f>Analise_Instancias!Q156</f>
        <v>9.2479863166809082</v>
      </c>
    </row>
    <row r="170" spans="1:6">
      <c r="A170" t="s">
        <v>160</v>
      </c>
      <c r="B170" t="s">
        <v>210</v>
      </c>
      <c r="C170">
        <v>189</v>
      </c>
      <c r="D170">
        <f>Analise_Instancias!O157</f>
        <v>7.8534892352535302E-2</v>
      </c>
      <c r="E170" t="str">
        <f>Analise_Instancias!P157</f>
        <v>vrp_100</v>
      </c>
      <c r="F170">
        <f>Analise_Instancias!Q157</f>
        <v>9.5423440933227539</v>
      </c>
    </row>
    <row r="171" spans="1:6">
      <c r="A171" t="s">
        <v>160</v>
      </c>
      <c r="B171" t="s">
        <v>211</v>
      </c>
      <c r="C171">
        <v>190</v>
      </c>
      <c r="D171">
        <f>Analise_Instancias!O158</f>
        <v>7.3259456787344801E-2</v>
      </c>
      <c r="E171" t="str">
        <f>Analise_Instancias!P158</f>
        <v>vrp_100</v>
      </c>
      <c r="F171">
        <f>Analise_Instancias!Q158</f>
        <v>9.7984614372253418</v>
      </c>
    </row>
    <row r="172" spans="1:6">
      <c r="A172" t="s">
        <v>160</v>
      </c>
      <c r="B172" t="s">
        <v>212</v>
      </c>
      <c r="C172">
        <v>191</v>
      </c>
      <c r="D172">
        <f>Analise_Instancias!O159</f>
        <v>7.2694646720963929E-2</v>
      </c>
      <c r="E172" t="str">
        <f>Analise_Instancias!P159</f>
        <v>vrp_100</v>
      </c>
      <c r="F172">
        <f>Analise_Instancias!Q159</f>
        <v>13.620095491409302</v>
      </c>
    </row>
    <row r="173" spans="1:6">
      <c r="A173" t="s">
        <v>160</v>
      </c>
      <c r="B173" t="s">
        <v>213</v>
      </c>
      <c r="C173">
        <v>192</v>
      </c>
      <c r="D173">
        <f>Analise_Instancias!O160</f>
        <v>9.0353559750297352E-2</v>
      </c>
      <c r="E173" t="str">
        <f>Analise_Instancias!P160</f>
        <v>vrp_100</v>
      </c>
      <c r="F173">
        <f>Analise_Instancias!Q160</f>
        <v>13.637347936630249</v>
      </c>
    </row>
    <row r="174" spans="1:6">
      <c r="A174" t="s">
        <v>160</v>
      </c>
      <c r="B174" t="s">
        <v>214</v>
      </c>
      <c r="C174">
        <v>193</v>
      </c>
      <c r="D174">
        <f>Analise_Instancias!O161</f>
        <v>0.166506923125193</v>
      </c>
      <c r="E174" t="str">
        <f>Analise_Instancias!P161</f>
        <v>vrp_100</v>
      </c>
      <c r="F174">
        <f>Analise_Instancias!Q161</f>
        <v>13.340061187744141</v>
      </c>
    </row>
    <row r="175" spans="1:6">
      <c r="A175" t="s">
        <v>160</v>
      </c>
      <c r="B175" t="s">
        <v>215</v>
      </c>
      <c r="C175">
        <v>194</v>
      </c>
      <c r="D175">
        <f>Analise_Instancias!O162</f>
        <v>6.8513220803805508E-2</v>
      </c>
      <c r="E175" t="str">
        <f>Analise_Instancias!P162</f>
        <v>vrp_100</v>
      </c>
      <c r="F175">
        <f>Analise_Instancias!Q162</f>
        <v>12.88707709312439</v>
      </c>
    </row>
    <row r="176" spans="1:6">
      <c r="A176" t="s">
        <v>160</v>
      </c>
      <c r="B176" t="s">
        <v>216</v>
      </c>
      <c r="C176">
        <v>195</v>
      </c>
      <c r="D176">
        <f>Analise_Instancias!O163</f>
        <v>0.12529724072937665</v>
      </c>
      <c r="E176" t="str">
        <f>Analise_Instancias!P163</f>
        <v>vrp_100</v>
      </c>
      <c r="F176">
        <f>Analise_Instancias!Q163</f>
        <v>13.14004921913147</v>
      </c>
    </row>
    <row r="177" spans="1:6">
      <c r="A177" t="s">
        <v>160</v>
      </c>
      <c r="B177" t="s">
        <v>217</v>
      </c>
      <c r="C177">
        <v>196</v>
      </c>
      <c r="D177">
        <f>Analise_Instancias!O164</f>
        <v>6.6606358275845823E-2</v>
      </c>
      <c r="E177" t="str">
        <f>Analise_Instancias!P164</f>
        <v>vrp_100</v>
      </c>
      <c r="F177">
        <f>Analise_Instancias!Q164</f>
        <v>13.441025972366333</v>
      </c>
    </row>
    <row r="178" spans="1:6">
      <c r="A178" t="s">
        <v>160</v>
      </c>
      <c r="B178" t="s">
        <v>218</v>
      </c>
      <c r="C178">
        <v>197</v>
      </c>
      <c r="D178">
        <f>Analise_Instancias!O165</f>
        <v>9.5819589778586511E-2</v>
      </c>
      <c r="E178" t="str">
        <f>Analise_Instancias!P165</f>
        <v>vrp_100</v>
      </c>
      <c r="F178">
        <f>Analise_Instancias!Q165</f>
        <v>10.68390679359436</v>
      </c>
    </row>
    <row r="179" spans="1:6">
      <c r="A179" t="s">
        <v>160</v>
      </c>
      <c r="B179" t="s">
        <v>219</v>
      </c>
      <c r="C179">
        <v>198</v>
      </c>
      <c r="D179">
        <f>Analise_Instancias!O166</f>
        <v>0.11074065603763716</v>
      </c>
      <c r="E179" t="str">
        <f>Analise_Instancias!P166</f>
        <v>vrp_100</v>
      </c>
      <c r="F179">
        <f>Analise_Instancias!Q166</f>
        <v>11.327511548995972</v>
      </c>
    </row>
    <row r="180" spans="1:6">
      <c r="A180" t="s">
        <v>160</v>
      </c>
      <c r="B180" t="s">
        <v>220</v>
      </c>
      <c r="C180">
        <v>199</v>
      </c>
      <c r="D180">
        <f>Analise_Instancias!O167</f>
        <v>6.5347522447622319E-2</v>
      </c>
      <c r="E180" t="str">
        <f>Analise_Instancias!P167</f>
        <v>vrp_100</v>
      </c>
      <c r="F180">
        <f>Analise_Instancias!Q167</f>
        <v>13.245702028274536</v>
      </c>
    </row>
    <row r="181" spans="1:6">
      <c r="A181" t="s">
        <v>160</v>
      </c>
      <c r="B181" t="s">
        <v>221</v>
      </c>
      <c r="C181">
        <v>200</v>
      </c>
      <c r="D181">
        <f>Analise_Instancias!O168</f>
        <v>0.20634410907695822</v>
      </c>
      <c r="E181" t="str">
        <f>Analise_Instancias!P168</f>
        <v>vrp_100</v>
      </c>
      <c r="F181">
        <f>Analise_Instancias!Q168</f>
        <v>12.858561277389526</v>
      </c>
    </row>
    <row r="182" spans="1:6">
      <c r="A182" t="s">
        <v>160</v>
      </c>
      <c r="B182" t="s">
        <v>222</v>
      </c>
      <c r="C182">
        <v>201</v>
      </c>
      <c r="D182">
        <f>Analise_Instancias!O169</f>
        <v>0.10180188002096524</v>
      </c>
      <c r="E182" t="str">
        <f>Analise_Instancias!P169</f>
        <v>vrp_100</v>
      </c>
      <c r="F182">
        <f>Analise_Instancias!Q169</f>
        <v>18.478302240371704</v>
      </c>
    </row>
    <row r="183" spans="1:6">
      <c r="A183" t="s">
        <v>160</v>
      </c>
      <c r="B183" t="s">
        <v>223</v>
      </c>
      <c r="C183">
        <v>202</v>
      </c>
      <c r="D183">
        <f>Analise_Instancias!O170</f>
        <v>0.10372914406637235</v>
      </c>
      <c r="E183" t="str">
        <f>Analise_Instancias!P170</f>
        <v>vrp_100</v>
      </c>
      <c r="F183">
        <f>Analise_Instancias!Q170</f>
        <v>14.606542587280273</v>
      </c>
    </row>
    <row r="184" spans="1:6">
      <c r="A184" t="s">
        <v>160</v>
      </c>
      <c r="B184" t="s">
        <v>224</v>
      </c>
      <c r="C184">
        <v>203</v>
      </c>
      <c r="D184">
        <f>Analise_Instancias!O171</f>
        <v>9.1409534637685086E-2</v>
      </c>
      <c r="E184" t="str">
        <f>Analise_Instancias!P171</f>
        <v>vrp_100</v>
      </c>
      <c r="F184">
        <f>Analise_Instancias!Q171</f>
        <v>13.084031820297241</v>
      </c>
    </row>
    <row r="185" spans="1:6">
      <c r="A185" t="s">
        <v>160</v>
      </c>
      <c r="B185" t="s">
        <v>225</v>
      </c>
      <c r="C185">
        <v>204</v>
      </c>
      <c r="D185">
        <f>Analise_Instancias!O172</f>
        <v>8.1942492486375862E-2</v>
      </c>
      <c r="E185" t="str">
        <f>Analise_Instancias!P172</f>
        <v>vrp_100</v>
      </c>
      <c r="F185">
        <f>Analise_Instancias!Q172</f>
        <v>12.942208051681519</v>
      </c>
    </row>
    <row r="186" spans="1:6">
      <c r="A186" t="s">
        <v>160</v>
      </c>
      <c r="B186" t="s">
        <v>226</v>
      </c>
      <c r="C186">
        <v>205</v>
      </c>
      <c r="D186">
        <f>Analise_Instancias!O173</f>
        <v>0.22911882094328684</v>
      </c>
      <c r="E186" t="str">
        <f>Analise_Instancias!P173</f>
        <v>vrp_50</v>
      </c>
      <c r="F186">
        <f>Analise_Instancias!Q173</f>
        <v>13.899314880371094</v>
      </c>
    </row>
    <row r="187" spans="1:6">
      <c r="A187" t="s">
        <v>160</v>
      </c>
      <c r="B187" t="s">
        <v>227</v>
      </c>
      <c r="C187">
        <v>206</v>
      </c>
      <c r="D187">
        <f>Analise_Instancias!O174</f>
        <v>0.11188423874332809</v>
      </c>
      <c r="E187" t="str">
        <f>Analise_Instancias!P174</f>
        <v>vrp_50</v>
      </c>
      <c r="F187">
        <f>Analise_Instancias!Q174</f>
        <v>19.217891454696655</v>
      </c>
    </row>
    <row r="188" spans="1:6">
      <c r="A188" t="s">
        <v>160</v>
      </c>
      <c r="B188" t="s">
        <v>228</v>
      </c>
      <c r="C188">
        <v>207</v>
      </c>
      <c r="D188">
        <f>Analise_Instancias!O175</f>
        <v>8.9263679582779032E-2</v>
      </c>
      <c r="E188" t="str">
        <f>Analise_Instancias!P175</f>
        <v>vrp_100</v>
      </c>
      <c r="F188">
        <f>Analise_Instancias!Q175</f>
        <v>15.293423891067505</v>
      </c>
    </row>
    <row r="189" spans="1:6">
      <c r="A189" t="s">
        <v>160</v>
      </c>
      <c r="B189" t="s">
        <v>229</v>
      </c>
      <c r="C189">
        <v>208</v>
      </c>
      <c r="D189">
        <f>Analise_Instancias!O176</f>
        <v>9.7241729088639151E-2</v>
      </c>
      <c r="E189" t="str">
        <f>Analise_Instancias!P176</f>
        <v>vrp_100</v>
      </c>
      <c r="F189">
        <f>Analise_Instancias!Q176</f>
        <v>12.595240116119385</v>
      </c>
    </row>
    <row r="190" spans="1:6">
      <c r="A190" t="s">
        <v>160</v>
      </c>
      <c r="B190" t="s">
        <v>230</v>
      </c>
      <c r="C190">
        <v>209</v>
      </c>
      <c r="D190">
        <f>Analise_Instancias!O177</f>
        <v>5.3490559905237989E-2</v>
      </c>
      <c r="E190" t="str">
        <f>Analise_Instancias!P177</f>
        <v>vrp_100</v>
      </c>
      <c r="F190">
        <f>Analise_Instancias!Q177</f>
        <v>12.885387897491455</v>
      </c>
    </row>
    <row r="191" spans="1:6">
      <c r="A191" t="s">
        <v>160</v>
      </c>
      <c r="B191" t="s">
        <v>231</v>
      </c>
      <c r="C191">
        <v>210</v>
      </c>
      <c r="D191">
        <f>Analise_Instancias!O178</f>
        <v>0.12440593557600921</v>
      </c>
      <c r="E191" t="str">
        <f>Analise_Instancias!P178</f>
        <v>vrp_100</v>
      </c>
      <c r="F191">
        <f>Analise_Instancias!Q178</f>
        <v>12.360720872879028</v>
      </c>
    </row>
    <row r="192" spans="1:6">
      <c r="A192" t="s">
        <v>160</v>
      </c>
      <c r="B192" t="s">
        <v>232</v>
      </c>
      <c r="C192">
        <v>211</v>
      </c>
      <c r="D192">
        <f>Analise_Instancias!O179</f>
        <v>0.10406013694022365</v>
      </c>
      <c r="E192" t="str">
        <f>Analise_Instancias!P179</f>
        <v>vrp_100</v>
      </c>
      <c r="F192">
        <f>Analise_Instancias!Q179</f>
        <v>19.62412166595459</v>
      </c>
    </row>
    <row r="193" spans="1:6">
      <c r="A193" t="s">
        <v>160</v>
      </c>
      <c r="B193" t="s">
        <v>233</v>
      </c>
      <c r="C193">
        <v>212</v>
      </c>
      <c r="D193">
        <f>Analise_Instancias!O180</f>
        <v>0.10994895672985683</v>
      </c>
      <c r="E193" t="str">
        <f>Analise_Instancias!P180</f>
        <v>vrp_100</v>
      </c>
      <c r="F193">
        <f>Analise_Instancias!Q180</f>
        <v>14.656426906585693</v>
      </c>
    </row>
    <row r="194" spans="1:6">
      <c r="A194" t="s">
        <v>160</v>
      </c>
      <c r="B194" t="s">
        <v>234</v>
      </c>
      <c r="C194">
        <v>213</v>
      </c>
      <c r="D194">
        <f>Analise_Instancias!O181</f>
        <v>0.18365664648212232</v>
      </c>
      <c r="E194" t="str">
        <f>Analise_Instancias!P181</f>
        <v>vrp_100</v>
      </c>
      <c r="F194">
        <f>Analise_Instancias!Q181</f>
        <v>12.08414888381958</v>
      </c>
    </row>
    <row r="195" spans="1:6">
      <c r="A195" t="s">
        <v>160</v>
      </c>
      <c r="B195" t="s">
        <v>235</v>
      </c>
      <c r="C195">
        <v>214</v>
      </c>
      <c r="D195">
        <f>Analise_Instancias!O182</f>
        <v>0.1208047842486597</v>
      </c>
      <c r="E195" t="str">
        <f>Analise_Instancias!P182</f>
        <v>vrp_100</v>
      </c>
      <c r="F195">
        <f>Analise_Instancias!Q182</f>
        <v>12.497874021530151</v>
      </c>
    </row>
    <row r="196" spans="1:6">
      <c r="A196" t="s">
        <v>160</v>
      </c>
      <c r="B196" t="s">
        <v>236</v>
      </c>
      <c r="C196">
        <v>215</v>
      </c>
      <c r="D196">
        <f>Analise_Instancias!O183</f>
        <v>0.14651316714522533</v>
      </c>
      <c r="E196" t="str">
        <f>Analise_Instancias!P183</f>
        <v>vrp_50</v>
      </c>
      <c r="F196">
        <f>Analise_Instancias!Q183</f>
        <v>14.45100212097168</v>
      </c>
    </row>
    <row r="197" spans="1:6">
      <c r="A197" t="s">
        <v>160</v>
      </c>
      <c r="B197" t="s">
        <v>237</v>
      </c>
      <c r="C197">
        <v>216</v>
      </c>
      <c r="D197">
        <f>Analise_Instancias!O184</f>
        <v>0.1223544000504424</v>
      </c>
      <c r="E197" t="str">
        <f>Analise_Instancias!P184</f>
        <v>vrp_100</v>
      </c>
      <c r="F197">
        <f>Analise_Instancias!Q184</f>
        <v>19.250190258026123</v>
      </c>
    </row>
    <row r="198" spans="1:6">
      <c r="A198" t="s">
        <v>160</v>
      </c>
      <c r="B198" t="s">
        <v>238</v>
      </c>
      <c r="C198">
        <v>217</v>
      </c>
      <c r="D198">
        <f>Analise_Instancias!O185</f>
        <v>0.13920313090704561</v>
      </c>
      <c r="E198" t="str">
        <f>Analise_Instancias!P185</f>
        <v>vrp_100</v>
      </c>
      <c r="F198">
        <f>Analise_Instancias!Q185</f>
        <v>14.355743885040283</v>
      </c>
    </row>
    <row r="199" spans="1:6">
      <c r="A199" t="s">
        <v>160</v>
      </c>
      <c r="B199" t="s">
        <v>239</v>
      </c>
      <c r="C199">
        <v>218</v>
      </c>
      <c r="D199">
        <f>Analise_Instancias!O186</f>
        <v>0.1271892321743513</v>
      </c>
      <c r="E199" t="str">
        <f>Analise_Instancias!P186</f>
        <v>vrp_100</v>
      </c>
      <c r="F199">
        <f>Analise_Instancias!Q186</f>
        <v>13.08194637298584</v>
      </c>
    </row>
    <row r="200" spans="1:6">
      <c r="A200" t="s">
        <v>160</v>
      </c>
      <c r="B200" t="s">
        <v>240</v>
      </c>
      <c r="C200">
        <v>219</v>
      </c>
      <c r="D200">
        <f>Analise_Instancias!O187</f>
        <v>0.1856485465864488</v>
      </c>
      <c r="E200" t="str">
        <f>Analise_Instancias!P187</f>
        <v>vrp_50</v>
      </c>
      <c r="F200">
        <f>Analise_Instancias!Q187</f>
        <v>12.534502744674683</v>
      </c>
    </row>
    <row r="201" spans="1:6">
      <c r="A201" t="s">
        <v>160</v>
      </c>
      <c r="B201" t="s">
        <v>241</v>
      </c>
      <c r="C201">
        <v>220</v>
      </c>
      <c r="D201">
        <f>Analise_Instancias!O188</f>
        <v>9.6405077217197377E-2</v>
      </c>
      <c r="E201" t="str">
        <f>Analise_Instancias!P188</f>
        <v>vrp_100</v>
      </c>
      <c r="F201">
        <f>Analise_Instancias!Q188</f>
        <v>13.080227136611938</v>
      </c>
    </row>
    <row r="202" spans="1:6">
      <c r="A202" t="s">
        <v>160</v>
      </c>
      <c r="B202" t="s">
        <v>242</v>
      </c>
      <c r="C202">
        <v>221</v>
      </c>
      <c r="D202">
        <f>Analise_Instancias!O189</f>
        <v>0.14447403539988768</v>
      </c>
      <c r="E202" t="str">
        <f>Analise_Instancias!P189</f>
        <v>vrp_50</v>
      </c>
      <c r="F202">
        <f>Analise_Instancias!Q189</f>
        <v>22.884831428527832</v>
      </c>
    </row>
    <row r="203" spans="1:6">
      <c r="A203" t="s">
        <v>160</v>
      </c>
      <c r="B203" t="s">
        <v>243</v>
      </c>
      <c r="C203">
        <v>222</v>
      </c>
      <c r="D203">
        <f>Analise_Instancias!O190</f>
        <v>0.13780350504332617</v>
      </c>
      <c r="E203" t="str">
        <f>Analise_Instancias!P190</f>
        <v>vrp_50</v>
      </c>
      <c r="F203">
        <f>Analise_Instancias!Q190</f>
        <v>23.999434471130371</v>
      </c>
    </row>
    <row r="204" spans="1:6">
      <c r="A204" t="s">
        <v>160</v>
      </c>
      <c r="B204" t="s">
        <v>244</v>
      </c>
      <c r="C204">
        <v>223</v>
      </c>
      <c r="D204">
        <f>Analise_Instancias!O191</f>
        <v>0.13151780477970831</v>
      </c>
      <c r="E204" t="str">
        <f>Analise_Instancias!P191</f>
        <v>vrp_100</v>
      </c>
      <c r="F204">
        <f>Analise_Instancias!Q191</f>
        <v>15.640901803970337</v>
      </c>
    </row>
    <row r="205" spans="1:6">
      <c r="A205" t="s">
        <v>160</v>
      </c>
      <c r="B205" t="s">
        <v>245</v>
      </c>
      <c r="C205">
        <v>224</v>
      </c>
      <c r="D205">
        <f>Analise_Instancias!O192</f>
        <v>7.3640510754000799E-2</v>
      </c>
      <c r="E205" t="str">
        <f>Analise_Instancias!P192</f>
        <v>vrp_100</v>
      </c>
      <c r="F205">
        <f>Analise_Instancias!Q192</f>
        <v>14.724606513977051</v>
      </c>
    </row>
    <row r="206" spans="1:6">
      <c r="A206" t="s">
        <v>160</v>
      </c>
      <c r="B206" t="s">
        <v>246</v>
      </c>
      <c r="C206">
        <v>225</v>
      </c>
      <c r="D206">
        <f>Analise_Instancias!O193</f>
        <v>0.17677138931478109</v>
      </c>
      <c r="E206" t="str">
        <f>Analise_Instancias!P193</f>
        <v>vrp_100</v>
      </c>
      <c r="F206">
        <f>Analise_Instancias!Q193</f>
        <v>16.168105363845825</v>
      </c>
    </row>
    <row r="207" spans="1:6">
      <c r="A207" t="s">
        <v>160</v>
      </c>
      <c r="B207" t="s">
        <v>247</v>
      </c>
      <c r="C207">
        <v>226</v>
      </c>
      <c r="D207">
        <f>Analise_Instancias!O194</f>
        <v>0.12204048936388934</v>
      </c>
      <c r="E207" t="str">
        <f>Analise_Instancias!P194</f>
        <v>vrp_100</v>
      </c>
      <c r="F207">
        <f>Analise_Instancias!Q194</f>
        <v>23.113996982574463</v>
      </c>
    </row>
    <row r="208" spans="1:6">
      <c r="A208" t="s">
        <v>160</v>
      </c>
      <c r="B208" t="s">
        <v>248</v>
      </c>
      <c r="C208">
        <v>227</v>
      </c>
      <c r="D208">
        <f>Analise_Instancias!O195</f>
        <v>0.15653209081261577</v>
      </c>
      <c r="E208" t="str">
        <f>Analise_Instancias!P195</f>
        <v>vrp_100</v>
      </c>
      <c r="F208">
        <f>Analise_Instancias!Q195</f>
        <v>17.479253768920898</v>
      </c>
    </row>
    <row r="209" spans="1:6">
      <c r="A209" t="s">
        <v>160</v>
      </c>
      <c r="B209" t="s">
        <v>249</v>
      </c>
      <c r="C209">
        <v>228</v>
      </c>
      <c r="D209">
        <f>Analise_Instancias!O196</f>
        <v>0.12651064745623475</v>
      </c>
      <c r="E209" t="str">
        <f>Analise_Instancias!P196</f>
        <v>vrp_100</v>
      </c>
      <c r="F209">
        <f>Analise_Instancias!Q196</f>
        <v>23.911049365997314</v>
      </c>
    </row>
    <row r="210" spans="1:6">
      <c r="A210" t="s">
        <v>160</v>
      </c>
      <c r="B210" t="s">
        <v>250</v>
      </c>
      <c r="C210">
        <v>229</v>
      </c>
      <c r="D210">
        <f>Analise_Instancias!O197</f>
        <v>0.12311665066449318</v>
      </c>
      <c r="E210" t="str">
        <f>Analise_Instancias!P197</f>
        <v>vrp_100</v>
      </c>
      <c r="F210">
        <f>Analise_Instancias!Q197</f>
        <v>17.613973379135132</v>
      </c>
    </row>
    <row r="211" spans="1:6">
      <c r="A211" t="s">
        <v>160</v>
      </c>
      <c r="B211" t="s">
        <v>251</v>
      </c>
      <c r="C211">
        <v>230</v>
      </c>
      <c r="D211">
        <f>Analise_Instancias!O198</f>
        <v>0.15975539993998167</v>
      </c>
      <c r="E211" t="str">
        <f>Analise_Instancias!P198</f>
        <v>vrp_100</v>
      </c>
      <c r="F211">
        <f>Analise_Instancias!Q198</f>
        <v>13.751477479934692</v>
      </c>
    </row>
    <row r="212" spans="1:6">
      <c r="A212" t="s">
        <v>160</v>
      </c>
      <c r="B212" t="s">
        <v>252</v>
      </c>
      <c r="C212">
        <v>231</v>
      </c>
      <c r="D212">
        <f>Analise_Instancias!O199</f>
        <v>0.15981234307903436</v>
      </c>
      <c r="E212" t="str">
        <f>Analise_Instancias!P199</f>
        <v>vrp_100</v>
      </c>
      <c r="F212">
        <f>Analise_Instancias!Q199</f>
        <v>26.564434766769409</v>
      </c>
    </row>
    <row r="213" spans="1:6">
      <c r="A213" t="s">
        <v>160</v>
      </c>
      <c r="B213" t="s">
        <v>253</v>
      </c>
      <c r="C213">
        <v>232</v>
      </c>
      <c r="D213">
        <f>Analise_Instancias!O200</f>
        <v>0.1121217972044577</v>
      </c>
      <c r="E213" t="str">
        <f>Analise_Instancias!P200</f>
        <v>vrp_100</v>
      </c>
      <c r="F213">
        <f>Analise_Instancias!Q200</f>
        <v>25.714474439620972</v>
      </c>
    </row>
    <row r="214" spans="1:6">
      <c r="A214" t="s">
        <v>160</v>
      </c>
      <c r="B214" t="s">
        <v>254</v>
      </c>
      <c r="C214">
        <v>233</v>
      </c>
      <c r="D214">
        <f>Analise_Instancias!O201</f>
        <v>0.1340303244253358</v>
      </c>
      <c r="E214" t="str">
        <f>Analise_Instancias!P201</f>
        <v>vrp_100</v>
      </c>
      <c r="F214">
        <f>Analise_Instancias!Q201</f>
        <v>19.373068332672119</v>
      </c>
    </row>
    <row r="215" spans="1:6">
      <c r="A215" t="s">
        <v>160</v>
      </c>
      <c r="B215" t="s">
        <v>255</v>
      </c>
      <c r="C215">
        <v>234</v>
      </c>
      <c r="D215">
        <f>Analise_Instancias!O202</f>
        <v>0.10023687927370872</v>
      </c>
      <c r="E215" t="str">
        <f>Analise_Instancias!P202</f>
        <v>vrp_100</v>
      </c>
      <c r="F215">
        <f>Analise_Instancias!Q202</f>
        <v>16.775312185287476</v>
      </c>
    </row>
    <row r="216" spans="1:6">
      <c r="A216" t="s">
        <v>160</v>
      </c>
      <c r="B216" t="s">
        <v>256</v>
      </c>
      <c r="C216">
        <v>235</v>
      </c>
      <c r="D216">
        <f>Analise_Instancias!O203</f>
        <v>0.14738253690122538</v>
      </c>
      <c r="E216" t="str">
        <f>Analise_Instancias!P203</f>
        <v>vrp_100</v>
      </c>
      <c r="F216">
        <f>Analise_Instancias!Q203</f>
        <v>16.037331342697144</v>
      </c>
    </row>
    <row r="217" spans="1:6">
      <c r="A217" t="s">
        <v>160</v>
      </c>
      <c r="B217" t="s">
        <v>257</v>
      </c>
      <c r="C217">
        <v>236</v>
      </c>
      <c r="D217">
        <f>Analise_Instancias!O204</f>
        <v>0.12058190604503927</v>
      </c>
      <c r="E217" t="str">
        <f>Analise_Instancias!P204</f>
        <v>vrp_100</v>
      </c>
      <c r="F217">
        <f>Analise_Instancias!Q204</f>
        <v>34.821922302246094</v>
      </c>
    </row>
    <row r="218" spans="1:6">
      <c r="A218" t="s">
        <v>160</v>
      </c>
      <c r="B218" t="s">
        <v>258</v>
      </c>
      <c r="C218">
        <v>237</v>
      </c>
      <c r="D218">
        <f>Analise_Instancias!O205</f>
        <v>0.18583619033266774</v>
      </c>
      <c r="E218" t="str">
        <f>Analise_Instancias!P205</f>
        <v>vrp_100</v>
      </c>
      <c r="F218">
        <f>Analise_Instancias!Q205</f>
        <v>33.182290077209473</v>
      </c>
    </row>
    <row r="219" spans="1:6">
      <c r="A219" t="s">
        <v>160</v>
      </c>
      <c r="B219" t="s">
        <v>259</v>
      </c>
      <c r="C219">
        <v>238</v>
      </c>
      <c r="D219">
        <f>Analise_Instancias!O206</f>
        <v>0.25213418870297777</v>
      </c>
      <c r="E219" t="str">
        <f>Analise_Instancias!P206</f>
        <v>vrp_100</v>
      </c>
      <c r="F219">
        <f>Analise_Instancias!Q206</f>
        <v>16.537704467773438</v>
      </c>
    </row>
    <row r="220" spans="1:6">
      <c r="A220" t="s">
        <v>160</v>
      </c>
      <c r="B220" t="s">
        <v>260</v>
      </c>
      <c r="C220">
        <v>239</v>
      </c>
      <c r="D220">
        <f>Analise_Instancias!O207</f>
        <v>8.9035682616662282E-2</v>
      </c>
      <c r="E220" t="str">
        <f>Analise_Instancias!P207</f>
        <v>vrp_100</v>
      </c>
      <c r="F220">
        <f>Analise_Instancias!Q207</f>
        <v>26.362781286239624</v>
      </c>
    </row>
  </sheetData>
  <mergeCells count="2">
    <mergeCell ref="V1:W1"/>
    <mergeCell ref="V8:W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15"/>
  <sheetViews>
    <sheetView workbookViewId="0">
      <selection activeCell="A6" sqref="A6"/>
    </sheetView>
  </sheetViews>
  <sheetFormatPr defaultRowHeight="14"/>
  <cols>
    <col min="1" max="1" width="14" customWidth="1"/>
    <col min="2" max="3" width="10" customWidth="1"/>
    <col min="4" max="4" width="8" customWidth="1"/>
    <col min="5" max="6" width="12" customWidth="1"/>
    <col min="7" max="7" width="11" customWidth="1"/>
    <col min="8" max="8" width="10" customWidth="1"/>
    <col min="9" max="9" width="20" customWidth="1"/>
    <col min="10" max="11" width="16" customWidth="1"/>
    <col min="12" max="12" width="17" customWidth="1"/>
    <col min="13" max="14" width="16" customWidth="1"/>
    <col min="15" max="15" width="17" customWidth="1"/>
  </cols>
  <sheetData>
    <row r="1" spans="1:27">
      <c r="A1" s="1" t="s">
        <v>1205</v>
      </c>
      <c r="B1" s="1" t="s">
        <v>1206</v>
      </c>
      <c r="C1" s="1" t="s">
        <v>1207</v>
      </c>
      <c r="D1" s="1" t="s">
        <v>1183</v>
      </c>
      <c r="E1" s="1" t="s">
        <v>1184</v>
      </c>
      <c r="F1" s="1" t="s">
        <v>1185</v>
      </c>
      <c r="G1" s="1" t="s">
        <v>267</v>
      </c>
      <c r="H1" s="1" t="s">
        <v>1188</v>
      </c>
      <c r="I1" s="1" t="s">
        <v>1191</v>
      </c>
      <c r="J1" s="1" t="s">
        <v>1208</v>
      </c>
      <c r="K1" s="1" t="s">
        <v>1209</v>
      </c>
      <c r="L1" s="1" t="s">
        <v>1210</v>
      </c>
      <c r="M1" s="1" t="s">
        <v>1192</v>
      </c>
      <c r="N1" s="1" t="s">
        <v>1193</v>
      </c>
      <c r="O1" s="1" t="s">
        <v>1194</v>
      </c>
    </row>
    <row r="2" spans="1:27">
      <c r="A2" t="s">
        <v>1211</v>
      </c>
      <c r="B2">
        <v>0</v>
      </c>
      <c r="C2">
        <v>50</v>
      </c>
      <c r="D2">
        <f>COUNT($V$10:$V$56)</f>
        <v>47</v>
      </c>
      <c r="E2" s="4">
        <f>AVERAGE($V$10:$V$56)</f>
        <v>1.6458676965259478E-2</v>
      </c>
      <c r="F2" s="4">
        <f>MEDIAN($V$10:$V$56)</f>
        <v>1.212136236744854E-2</v>
      </c>
      <c r="G2" s="4">
        <f>STDEV($V$10:$V$56)</f>
        <v>1.4087856605504911E-2</v>
      </c>
      <c r="H2" s="4">
        <f>COUNTIF($V$10:$V$56,"&lt;=0.05")/D2</f>
        <v>0</v>
      </c>
      <c r="I2" s="6">
        <f>AVERAGE($Z$10:$Z$56)</f>
        <v>11.277036169742017</v>
      </c>
      <c r="J2" s="4">
        <f>AVERAGE($W$10:$W$56)</f>
        <v>2.3983937584189995E-2</v>
      </c>
      <c r="K2" s="4">
        <f>AVERAGE($X$10:$X$56)</f>
        <v>2.709885100222682E-2</v>
      </c>
      <c r="L2" s="4">
        <f>AVERAGE($Y$10:$Y$56)</f>
        <v>4.9098855917932102E-2</v>
      </c>
      <c r="M2" s="4">
        <f>COUNTIF($AA$10:$AA$56,"vrp_20")/D2</f>
        <v>0.40425531914893614</v>
      </c>
      <c r="N2" s="4">
        <f>COUNTIF($AA$10:$AA$56,"vrp_50")/D2</f>
        <v>0.36170212765957449</v>
      </c>
      <c r="O2" s="4">
        <f>COUNTIF($AA$10:$AA$56,"vrp_100")/D2</f>
        <v>0.23404255319148937</v>
      </c>
    </row>
    <row r="3" spans="1:27">
      <c r="A3" t="s">
        <v>1212</v>
      </c>
      <c r="B3">
        <v>51</v>
      </c>
      <c r="C3">
        <v>100</v>
      </c>
      <c r="D3">
        <f>COUNT($V$57:$V$106)</f>
        <v>50</v>
      </c>
      <c r="E3" s="4">
        <f>AVERAGE($V$57:$V$106)</f>
        <v>3.4911346082635297E-2</v>
      </c>
      <c r="F3" s="4">
        <f>MEDIAN($V$57:$V$106)</f>
        <v>3.0802832215144793E-2</v>
      </c>
      <c r="G3" s="4">
        <f>STDEV($V$57:$V$106)</f>
        <v>2.005311435501091E-2</v>
      </c>
      <c r="H3" s="4">
        <f>COUNTIF($V$57:$V$106,"&lt;=0.05")/D3</f>
        <v>0</v>
      </c>
      <c r="I3" s="6">
        <f>AVERAGE($Z$57:$Z$106)</f>
        <v>15.400555486679076</v>
      </c>
      <c r="J3" s="4">
        <f>AVERAGE($W$57:$W$106)</f>
        <v>6.546735669687756E-2</v>
      </c>
      <c r="K3" s="4">
        <f>AVERAGE($X$57:$X$106)</f>
        <v>4.1457743133609365E-2</v>
      </c>
      <c r="L3" s="4">
        <f>AVERAGE($Y$57:$Y$106)</f>
        <v>4.8253019403345976E-2</v>
      </c>
      <c r="M3" s="4">
        <f>COUNTIF($AA$57:$AA$106,"vrp_20")/D3</f>
        <v>0.16</v>
      </c>
      <c r="N3" s="4">
        <f>COUNTIF($AA$57:$AA$106,"vrp_50")/D3</f>
        <v>0.46</v>
      </c>
      <c r="O3" s="4">
        <f>COUNTIF($AA$57:$AA$106,"vrp_100")/D3</f>
        <v>0.38</v>
      </c>
    </row>
    <row r="4" spans="1:27">
      <c r="A4" t="s">
        <v>279</v>
      </c>
      <c r="B4">
        <v>101</v>
      </c>
      <c r="C4">
        <v>200</v>
      </c>
      <c r="D4">
        <f>COUNT($V$107:$V$136)</f>
        <v>30</v>
      </c>
      <c r="E4" s="4">
        <f>AVERAGE($V$107:$V$136)</f>
        <v>6.435263329635528E-2</v>
      </c>
      <c r="F4" s="4">
        <f>MEDIAN($V$107:$V$136)</f>
        <v>5.7464937717113362E-2</v>
      </c>
      <c r="G4" s="4">
        <f>STDEV($V$107:$V$136)</f>
        <v>2.9531500535107457E-2</v>
      </c>
      <c r="H4" s="4">
        <f>COUNTIF($V$107:$V$136,"&lt;=0.05")/D4</f>
        <v>0</v>
      </c>
      <c r="I4" s="6">
        <f>AVERAGE($Z$107:$Z$136)</f>
        <v>12.876944398880005</v>
      </c>
      <c r="J4" s="4">
        <f>AVERAGE($W$107:$W$136)</f>
        <v>0.14926950273631318</v>
      </c>
      <c r="K4" s="4">
        <f>AVERAGE($X$107:$X$136)</f>
        <v>7.973265185195183E-2</v>
      </c>
      <c r="L4" s="4">
        <f>AVERAGE($Y$107:$Y$136)</f>
        <v>8.6650407284594166E-2</v>
      </c>
      <c r="M4" s="4">
        <f>COUNTIF($AA$107:$AA$136,"vrp_20")/D4</f>
        <v>3.3333333333333333E-2</v>
      </c>
      <c r="N4" s="4">
        <f>COUNTIF($AA$107:$AA$136,"vrp_50")/D4</f>
        <v>0.4</v>
      </c>
      <c r="O4" s="4">
        <f>COUNTIF($AA$107:$AA$136,"vrp_100")/D4</f>
        <v>0.56666666666666665</v>
      </c>
    </row>
    <row r="5" spans="1:27">
      <c r="A5" t="s">
        <v>1213</v>
      </c>
      <c r="B5">
        <v>201</v>
      </c>
      <c r="C5">
        <v>500</v>
      </c>
      <c r="D5">
        <f>COUNT($V$137:$V$183)</f>
        <v>47</v>
      </c>
      <c r="E5" s="4">
        <f>AVERAGE($V$137:$V$183)</f>
        <v>9.4993954740356726E-2</v>
      </c>
      <c r="F5" s="4">
        <f>MEDIAN($V$137:$V$183)</f>
        <v>8.9263679582779032E-2</v>
      </c>
      <c r="G5" s="4">
        <f>STDEV($V$137:$V$183)</f>
        <v>3.6907854303030015E-2</v>
      </c>
      <c r="H5" s="4">
        <f>COUNTIF($V$137:$V$183,"&lt;=0.05")/D5</f>
        <v>0</v>
      </c>
      <c r="I5" s="6">
        <f>AVERAGE($Z$137:$Z$183)</f>
        <v>11.462978357964374</v>
      </c>
      <c r="J5" s="4">
        <f>AVERAGE($W$137:$W$183)</f>
        <v>0.19773820516165436</v>
      </c>
      <c r="K5" s="4">
        <f>AVERAGE($X$137:$X$183)</f>
        <v>0.12083221414842379</v>
      </c>
      <c r="L5" s="4">
        <f>AVERAGE($Y$137:$Y$183)</f>
        <v>9.6057636837055843E-2</v>
      </c>
      <c r="M5" s="4">
        <f>COUNTIF($AA$137:$AA$183,"vrp_20")/D5</f>
        <v>0</v>
      </c>
      <c r="N5" s="4">
        <f>COUNTIF($AA$137:$AA$183,"vrp_50")/D5</f>
        <v>0.1276595744680851</v>
      </c>
      <c r="O5" s="4">
        <f>COUNTIF($AA$137:$AA$183,"vrp_100")/D5</f>
        <v>0.87234042553191493</v>
      </c>
    </row>
    <row r="6" spans="1:27">
      <c r="A6" t="s">
        <v>1214</v>
      </c>
      <c r="B6">
        <v>501</v>
      </c>
      <c r="D6">
        <f>COUNT($V$184:$V$215)</f>
        <v>32</v>
      </c>
      <c r="E6" s="4">
        <f>AVERAGE($V$184:$V$215)</f>
        <v>0.13410591354502149</v>
      </c>
      <c r="F6" s="4">
        <f>MEDIAN($V$184:$V$215)</f>
        <v>0.12684993981529302</v>
      </c>
      <c r="G6" s="4">
        <f>STDEV($V$184:$V$215)</f>
        <v>3.7514533861735394E-2</v>
      </c>
      <c r="H6" s="4">
        <f>COUNTIF($V$184:$V$215,"&lt;=0.05")/D6</f>
        <v>0</v>
      </c>
      <c r="I6" s="6">
        <f>AVERAGE($Z$184:$Z$215)</f>
        <v>18.544708333909512</v>
      </c>
      <c r="J6" s="4">
        <f>AVERAGE($W$184:$W$215)</f>
        <v>0.28793327238153898</v>
      </c>
      <c r="K6" s="4">
        <f>AVERAGE($X$184:$X$215)</f>
        <v>0.18349380441569202</v>
      </c>
      <c r="L6" s="4">
        <f>AVERAGE($Y$184:$Y$215)</f>
        <v>0.14522612312469046</v>
      </c>
      <c r="M6" s="4">
        <f>COUNTIF($AA$184:$AA$215,"vrp_20")/D6</f>
        <v>0</v>
      </c>
      <c r="N6" s="4">
        <f>COUNTIF($AA$184:$AA$215,"vrp_50")/D6</f>
        <v>0.125</v>
      </c>
      <c r="O6" s="4">
        <f>COUNTIF($AA$184:$AA$215,"vrp_100")/D6</f>
        <v>0.875</v>
      </c>
    </row>
    <row r="9" spans="1:27">
      <c r="R9" s="2" t="s">
        <v>1205</v>
      </c>
      <c r="S9" s="2" t="s">
        <v>1162</v>
      </c>
      <c r="T9" s="2" t="s">
        <v>1215</v>
      </c>
      <c r="U9" s="2" t="s">
        <v>1204</v>
      </c>
      <c r="V9" s="2" t="s">
        <v>1216</v>
      </c>
      <c r="W9" s="2" t="s">
        <v>1217</v>
      </c>
      <c r="X9" s="2" t="s">
        <v>1218</v>
      </c>
      <c r="Y9" s="2" t="s">
        <v>1219</v>
      </c>
      <c r="Z9" s="2" t="s">
        <v>1177</v>
      </c>
      <c r="AA9" s="2" t="s">
        <v>1176</v>
      </c>
    </row>
    <row r="10" spans="1:27">
      <c r="R10" t="s">
        <v>1211</v>
      </c>
      <c r="S10" t="s">
        <v>123</v>
      </c>
      <c r="T10">
        <v>15</v>
      </c>
      <c r="U10">
        <v>104</v>
      </c>
      <c r="V10">
        <f>Analise_Instancias!O72</f>
        <v>4.326850043402608E-3</v>
      </c>
      <c r="W10">
        <f>Analise_Instancias!F72</f>
        <v>4.326850043402608E-3</v>
      </c>
      <c r="X10">
        <f>Analise_Instancias!I72</f>
        <v>4.326850043402608E-3</v>
      </c>
      <c r="Y10">
        <f>Analise_Instancias!L72</f>
        <v>4.326850043402608E-3</v>
      </c>
      <c r="Z10">
        <f>Analise_Instancias!Q72</f>
        <v>5.4356191158294687</v>
      </c>
      <c r="AA10" t="str">
        <f>Analise_Instancias!P72</f>
        <v>vrp_20</v>
      </c>
    </row>
    <row r="11" spans="1:27">
      <c r="R11" t="s">
        <v>1211</v>
      </c>
      <c r="S11" t="s">
        <v>124</v>
      </c>
      <c r="T11">
        <v>18</v>
      </c>
      <c r="U11">
        <v>105</v>
      </c>
      <c r="V11">
        <f>Analise_Instancias!O73</f>
        <v>4.0769469063236752E-2</v>
      </c>
      <c r="W11">
        <f>Analise_Instancias!F73</f>
        <v>4.0769469063236752E-2</v>
      </c>
      <c r="X11">
        <f>Analise_Instancias!I73</f>
        <v>4.0769469063236752E-2</v>
      </c>
      <c r="Y11">
        <f>Analise_Instancias!L73</f>
        <v>4.0769469063236752E-2</v>
      </c>
      <c r="Z11">
        <f>Analise_Instancias!Q73</f>
        <v>13.712060451507568</v>
      </c>
      <c r="AA11" t="str">
        <f>Analise_Instancias!P73</f>
        <v>vrp_20</v>
      </c>
    </row>
    <row r="12" spans="1:27">
      <c r="R12" t="s">
        <v>1211</v>
      </c>
      <c r="S12" t="s">
        <v>125</v>
      </c>
      <c r="T12">
        <v>19</v>
      </c>
      <c r="U12">
        <v>106</v>
      </c>
      <c r="V12">
        <f>Analise_Instancias!O74</f>
        <v>2.1394093831380134E-2</v>
      </c>
      <c r="W12">
        <f>Analise_Instancias!F74</f>
        <v>2.1394093831380134E-2</v>
      </c>
      <c r="X12">
        <f>Analise_Instancias!I74</f>
        <v>4.8665082013165772E-2</v>
      </c>
      <c r="Y12">
        <f>Analise_Instancias!L74</f>
        <v>0.17784881591796853</v>
      </c>
      <c r="Z12">
        <f>Analise_Instancias!Q74</f>
        <v>14.04751992225647</v>
      </c>
      <c r="AA12" t="str">
        <f>Analise_Instancias!P74</f>
        <v>vrp_20</v>
      </c>
    </row>
    <row r="13" spans="1:27">
      <c r="R13" t="s">
        <v>1211</v>
      </c>
      <c r="S13" t="s">
        <v>126</v>
      </c>
      <c r="T13">
        <v>20</v>
      </c>
      <c r="U13">
        <v>107</v>
      </c>
      <c r="V13">
        <f>Analise_Instancias!O75</f>
        <v>8.1116011922393039E-3</v>
      </c>
      <c r="W13">
        <f>Analise_Instancias!F75</f>
        <v>8.1116011922393039E-3</v>
      </c>
      <c r="X13">
        <f>Analise_Instancias!I75</f>
        <v>1.7711476692090944E-2</v>
      </c>
      <c r="Y13">
        <f>Analise_Instancias!L75</f>
        <v>0.20933207290432465</v>
      </c>
      <c r="Z13">
        <f>Analise_Instancias!Q75</f>
        <v>10.827728033065796</v>
      </c>
      <c r="AA13" t="str">
        <f>Analise_Instancias!P75</f>
        <v>vrp_20</v>
      </c>
    </row>
    <row r="14" spans="1:27">
      <c r="R14" t="s">
        <v>1211</v>
      </c>
      <c r="S14" t="s">
        <v>70</v>
      </c>
      <c r="T14">
        <v>21</v>
      </c>
      <c r="U14">
        <v>54</v>
      </c>
      <c r="V14">
        <f>Analise_Instancias!O54</f>
        <v>7.4609374999989875E-4</v>
      </c>
      <c r="W14">
        <f>Analise_Instancias!F54</f>
        <v>5.5028889973958384E-2</v>
      </c>
      <c r="X14">
        <f>Analise_Instancias!I54</f>
        <v>2.2711588541666661E-2</v>
      </c>
      <c r="Y14">
        <f>Analise_Instancias!L54</f>
        <v>7.4609374999989875E-4</v>
      </c>
      <c r="Z14">
        <f>Analise_Instancias!Q54</f>
        <v>9.6456866264343244</v>
      </c>
      <c r="AA14" t="str">
        <f>Analise_Instancias!P54</f>
        <v>vrp_100</v>
      </c>
    </row>
    <row r="15" spans="1:27">
      <c r="R15" t="s">
        <v>1211</v>
      </c>
      <c r="S15" t="s">
        <v>127</v>
      </c>
      <c r="T15">
        <v>21</v>
      </c>
      <c r="U15">
        <v>108</v>
      </c>
      <c r="V15">
        <f>Analise_Instancias!O76</f>
        <v>9.494498923972694E-3</v>
      </c>
      <c r="W15">
        <f>Analise_Instancias!F76</f>
        <v>1.8032921685112946E-2</v>
      </c>
      <c r="X15">
        <f>Analise_Instancias!I76</f>
        <v>9.494498923972694E-3</v>
      </c>
      <c r="Y15">
        <f>Analise_Instancias!L76</f>
        <v>0.20521785594798891</v>
      </c>
      <c r="Z15">
        <f>Analise_Instancias!Q76</f>
        <v>10.823854207992554</v>
      </c>
      <c r="AA15" t="str">
        <f>Analise_Instancias!P76</f>
        <v>vrp_50</v>
      </c>
    </row>
    <row r="16" spans="1:27">
      <c r="R16" t="s">
        <v>1211</v>
      </c>
      <c r="S16" t="s">
        <v>128</v>
      </c>
      <c r="T16">
        <v>21</v>
      </c>
      <c r="U16">
        <v>109</v>
      </c>
      <c r="V16">
        <f>Analise_Instancias!O77</f>
        <v>0</v>
      </c>
      <c r="W16">
        <f>Analise_Instancias!F77</f>
        <v>0</v>
      </c>
      <c r="X16">
        <f>Analise_Instancias!I77</f>
        <v>2.8903132449730418E-2</v>
      </c>
      <c r="Y16">
        <f>Analise_Instancias!L77</f>
        <v>0</v>
      </c>
      <c r="Z16">
        <f>Analise_Instancias!Q77</f>
        <v>10.823854207992554</v>
      </c>
      <c r="AA16" t="str">
        <f>Analise_Instancias!P77</f>
        <v>vrp_20</v>
      </c>
    </row>
    <row r="17" spans="18:27">
      <c r="R17" t="s">
        <v>1211</v>
      </c>
      <c r="S17" t="s">
        <v>71</v>
      </c>
      <c r="T17">
        <v>22</v>
      </c>
      <c r="U17">
        <v>55</v>
      </c>
      <c r="V17">
        <f>Analise_Instancias!O55</f>
        <v>1.5546265721111396E-3</v>
      </c>
      <c r="W17">
        <f>Analise_Instancias!F55</f>
        <v>1.5546265721111396E-3</v>
      </c>
      <c r="X17">
        <f>Analise_Instancias!I55</f>
        <v>3.9299346441124872E-2</v>
      </c>
      <c r="Y17">
        <f>Analise_Instancias!L55</f>
        <v>1.5547338395209831E-3</v>
      </c>
      <c r="Z17">
        <f>Analise_Instancias!Q55</f>
        <v>5.9792466163635254</v>
      </c>
      <c r="AA17" t="str">
        <f>Analise_Instancias!P55</f>
        <v>vrp_20</v>
      </c>
    </row>
    <row r="18" spans="18:27">
      <c r="R18" t="s">
        <v>1211</v>
      </c>
      <c r="S18" t="s">
        <v>129</v>
      </c>
      <c r="T18">
        <v>22</v>
      </c>
      <c r="U18">
        <v>110</v>
      </c>
      <c r="V18">
        <f>Analise_Instancias!O78</f>
        <v>1.8617107196656324E-2</v>
      </c>
      <c r="W18">
        <f>Analise_Instancias!F78</f>
        <v>2.3281623825909703E-2</v>
      </c>
      <c r="X18">
        <f>Analise_Instancias!I78</f>
        <v>2.5000415362121942E-2</v>
      </c>
      <c r="Y18">
        <f>Analise_Instancias!L78</f>
        <v>1.8617107196656324E-2</v>
      </c>
      <c r="Z18">
        <f>Analise_Instancias!Q78</f>
        <v>11.126914262771606</v>
      </c>
      <c r="AA18" t="str">
        <f>Analise_Instancias!P78</f>
        <v>vrp_100</v>
      </c>
    </row>
    <row r="19" spans="18:27">
      <c r="R19" t="s">
        <v>1211</v>
      </c>
      <c r="S19" t="s">
        <v>72</v>
      </c>
      <c r="T19">
        <v>29</v>
      </c>
      <c r="U19">
        <v>56</v>
      </c>
      <c r="V19">
        <f>Analise_Instancias!O56</f>
        <v>0</v>
      </c>
      <c r="W19">
        <f>Analise_Instancias!F56</f>
        <v>0</v>
      </c>
      <c r="X19">
        <f>Analise_Instancias!I56</f>
        <v>0</v>
      </c>
      <c r="Y19">
        <f>Analise_Instancias!L56</f>
        <v>0</v>
      </c>
      <c r="Z19">
        <f>Analise_Instancias!Q56</f>
        <v>4.5576293468475342</v>
      </c>
      <c r="AA19" t="str">
        <f>Analise_Instancias!P56</f>
        <v>vrp_20</v>
      </c>
    </row>
    <row r="20" spans="18:27">
      <c r="R20" t="s">
        <v>1211</v>
      </c>
      <c r="S20" t="s">
        <v>44</v>
      </c>
      <c r="T20">
        <v>30</v>
      </c>
      <c r="U20">
        <v>29</v>
      </c>
      <c r="V20">
        <f>Analise_Instancias!O29</f>
        <v>3.7612551734560906E-2</v>
      </c>
      <c r="W20">
        <f>Analise_Instancias!F29</f>
        <v>3.7612551734560906E-2</v>
      </c>
      <c r="X20">
        <f>Analise_Instancias!I29</f>
        <v>4.3772197905040944E-2</v>
      </c>
      <c r="Y20">
        <f>Analise_Instancias!L29</f>
        <v>4.9654006958007813E-2</v>
      </c>
      <c r="Z20">
        <f>Analise_Instancias!Q29</f>
        <v>9.9596843719482422</v>
      </c>
      <c r="AA20" t="str">
        <f>Analise_Instancias!P29</f>
        <v>vrp_20</v>
      </c>
    </row>
    <row r="21" spans="18:27">
      <c r="R21" t="s">
        <v>1211</v>
      </c>
      <c r="S21" t="s">
        <v>16</v>
      </c>
      <c r="T21">
        <v>31</v>
      </c>
      <c r="U21">
        <v>2</v>
      </c>
      <c r="V21">
        <f>Analise_Instancias!O2</f>
        <v>1.069065016143167E-2</v>
      </c>
      <c r="W21">
        <f>Analise_Instancias!F2</f>
        <v>1.069065016143167E-2</v>
      </c>
      <c r="X21">
        <f>Analise_Instancias!I2</f>
        <v>6.1842548603914249E-2</v>
      </c>
      <c r="Y21">
        <f>Analise_Instancias!L2</f>
        <v>6.2524055948062873E-2</v>
      </c>
      <c r="Z21">
        <f>Analise_Instancias!Q2</f>
        <v>9.1835076808929443</v>
      </c>
      <c r="AA21" t="str">
        <f>Analise_Instancias!P2</f>
        <v>vrp_20</v>
      </c>
    </row>
    <row r="22" spans="18:27">
      <c r="R22" t="s">
        <v>1211</v>
      </c>
      <c r="S22" t="s">
        <v>17</v>
      </c>
      <c r="T22">
        <v>32</v>
      </c>
      <c r="U22">
        <v>3</v>
      </c>
      <c r="V22">
        <f>Analise_Instancias!O3</f>
        <v>1.9843443439154784E-2</v>
      </c>
      <c r="W22">
        <f>Analise_Instancias!F3</f>
        <v>2.0963775588596745E-2</v>
      </c>
      <c r="X22">
        <f>Analise_Instancias!I3</f>
        <v>1.9843443439154784E-2</v>
      </c>
      <c r="Y22">
        <f>Analise_Instancias!L3</f>
        <v>0.10539534160481279</v>
      </c>
      <c r="Z22">
        <f>Analise_Instancias!Q3</f>
        <v>9.1653635501861572</v>
      </c>
      <c r="AA22" t="str">
        <f>Analise_Instancias!P3</f>
        <v>vrp_50</v>
      </c>
    </row>
    <row r="23" spans="18:27">
      <c r="R23" t="s">
        <v>1211</v>
      </c>
      <c r="S23" t="s">
        <v>18</v>
      </c>
      <c r="T23">
        <v>32</v>
      </c>
      <c r="U23">
        <v>4</v>
      </c>
      <c r="V23">
        <f>Analise_Instancias!O4</f>
        <v>3.4561362870619838E-3</v>
      </c>
      <c r="W23">
        <f>Analise_Instancias!F4</f>
        <v>2.7729455994145891E-2</v>
      </c>
      <c r="X23">
        <f>Analise_Instancias!I4</f>
        <v>3.4561362870619838E-3</v>
      </c>
      <c r="Y23">
        <f>Analise_Instancias!L4</f>
        <v>4.7760832341854798E-2</v>
      </c>
      <c r="Z23">
        <f>Analise_Instancias!Q4</f>
        <v>9.1653635501861572</v>
      </c>
      <c r="AA23" t="str">
        <f>Analise_Instancias!P4</f>
        <v>vrp_50</v>
      </c>
    </row>
    <row r="24" spans="18:27">
      <c r="R24" t="s">
        <v>1211</v>
      </c>
      <c r="S24" t="s">
        <v>73</v>
      </c>
      <c r="T24">
        <v>32</v>
      </c>
      <c r="U24">
        <v>57</v>
      </c>
      <c r="V24">
        <f>Analise_Instancias!O57</f>
        <v>7.374070218937101E-3</v>
      </c>
      <c r="W24">
        <f>Analise_Instancias!F57</f>
        <v>1.359000748502992E-2</v>
      </c>
      <c r="X24">
        <f>Analise_Instancias!I57</f>
        <v>8.9963627432634308E-3</v>
      </c>
      <c r="Y24">
        <f>Analise_Instancias!L57</f>
        <v>7.374070218937101E-3</v>
      </c>
      <c r="Z24">
        <f>Analise_Instancias!Q57</f>
        <v>11.987453937530518</v>
      </c>
      <c r="AA24" t="str">
        <f>Analise_Instancias!P57</f>
        <v>vrp_100</v>
      </c>
    </row>
    <row r="25" spans="18:27">
      <c r="R25" t="s">
        <v>1211</v>
      </c>
      <c r="S25" t="s">
        <v>19</v>
      </c>
      <c r="T25">
        <v>33</v>
      </c>
      <c r="U25">
        <v>5</v>
      </c>
      <c r="V25">
        <f>Analise_Instancias!O5</f>
        <v>1.212136236744854E-2</v>
      </c>
      <c r="W25">
        <f>Analise_Instancias!F5</f>
        <v>3.1864901741243568E-2</v>
      </c>
      <c r="X25">
        <f>Analise_Instancias!I5</f>
        <v>1.5708158439106779E-2</v>
      </c>
      <c r="Y25">
        <f>Analise_Instancias!L5</f>
        <v>1.212136236744854E-2</v>
      </c>
      <c r="Z25">
        <f>Analise_Instancias!Q5</f>
        <v>9.3210787773132324</v>
      </c>
      <c r="AA25" t="str">
        <f>Analise_Instancias!P5</f>
        <v>vrp_100</v>
      </c>
    </row>
    <row r="26" spans="18:27">
      <c r="R26" t="s">
        <v>1211</v>
      </c>
      <c r="S26" t="s">
        <v>45</v>
      </c>
      <c r="T26">
        <v>33</v>
      </c>
      <c r="U26">
        <v>30</v>
      </c>
      <c r="V26">
        <f>Analise_Instancias!O30</f>
        <v>8.746926554568546E-3</v>
      </c>
      <c r="W26">
        <f>Analise_Instancias!F30</f>
        <v>8.9394816287278189E-3</v>
      </c>
      <c r="X26">
        <f>Analise_Instancias!I30</f>
        <v>8.746926554568546E-3</v>
      </c>
      <c r="Y26">
        <f>Analise_Instancias!L30</f>
        <v>1.6311955330940764E-2</v>
      </c>
      <c r="Z26">
        <f>Analise_Instancias!Q30</f>
        <v>9.7051272392272949</v>
      </c>
      <c r="AA26" t="str">
        <f>Analise_Instancias!P30</f>
        <v>vrp_50</v>
      </c>
    </row>
    <row r="27" spans="18:27">
      <c r="R27" t="s">
        <v>1211</v>
      </c>
      <c r="S27" t="s">
        <v>46</v>
      </c>
      <c r="T27">
        <v>34</v>
      </c>
      <c r="U27">
        <v>31</v>
      </c>
      <c r="V27">
        <f>Analise_Instancias!O31</f>
        <v>1.6940930750981575E-2</v>
      </c>
      <c r="W27">
        <f>Analise_Instancias!F31</f>
        <v>1.6940930750981575E-2</v>
      </c>
      <c r="X27">
        <f>Analise_Instancias!I31</f>
        <v>4.2823479937009079E-2</v>
      </c>
      <c r="Y27">
        <f>Analise_Instancias!L31</f>
        <v>4.9846741042211651E-2</v>
      </c>
      <c r="Z27">
        <f>Analise_Instancias!Q31</f>
        <v>9.8264017105102539</v>
      </c>
      <c r="AA27" t="str">
        <f>Analise_Instancias!P31</f>
        <v>vrp_20</v>
      </c>
    </row>
    <row r="28" spans="18:27">
      <c r="R28" t="s">
        <v>1211</v>
      </c>
      <c r="S28" t="s">
        <v>20</v>
      </c>
      <c r="T28">
        <v>35</v>
      </c>
      <c r="U28">
        <v>6</v>
      </c>
      <c r="V28">
        <f>Analise_Instancias!O6</f>
        <v>1.3855820752503023E-2</v>
      </c>
      <c r="W28">
        <f>Analise_Instancias!F6</f>
        <v>2.7711030389549363E-2</v>
      </c>
      <c r="X28">
        <f>Analise_Instancias!I6</f>
        <v>8.709418878089803E-2</v>
      </c>
      <c r="Y28">
        <f>Analise_Instancias!L6</f>
        <v>1.3855820752503023E-2</v>
      </c>
      <c r="Z28">
        <f>Analise_Instancias!Q6</f>
        <v>9.9453456401824951</v>
      </c>
      <c r="AA28" t="str">
        <f>Analise_Instancias!P6</f>
        <v>vrp_100</v>
      </c>
    </row>
    <row r="29" spans="18:27">
      <c r="R29" t="s">
        <v>1211</v>
      </c>
      <c r="S29" t="s">
        <v>21</v>
      </c>
      <c r="T29">
        <v>36</v>
      </c>
      <c r="U29">
        <v>7</v>
      </c>
      <c r="V29">
        <f>Analise_Instancias!O7</f>
        <v>4.2508203708893966E-2</v>
      </c>
      <c r="W29">
        <f>Analise_Instancias!F7</f>
        <v>4.2508203708893966E-2</v>
      </c>
      <c r="X29">
        <f>Analise_Instancias!I7</f>
        <v>4.4779550868834006E-2</v>
      </c>
      <c r="Y29">
        <f>Analise_Instancias!L7</f>
        <v>0.10664620848514583</v>
      </c>
      <c r="Z29">
        <f>Analise_Instancias!Q7</f>
        <v>12.016358137130737</v>
      </c>
      <c r="AA29" t="str">
        <f>Analise_Instancias!P7</f>
        <v>vrp_20</v>
      </c>
    </row>
    <row r="30" spans="18:27">
      <c r="R30" t="s">
        <v>1211</v>
      </c>
      <c r="S30" t="s">
        <v>22</v>
      </c>
      <c r="T30">
        <v>36</v>
      </c>
      <c r="U30">
        <v>8</v>
      </c>
      <c r="V30">
        <f>Analise_Instancias!O8</f>
        <v>8.1600595198894066E-3</v>
      </c>
      <c r="W30">
        <f>Analise_Instancias!F8</f>
        <v>3.4498819686841431E-2</v>
      </c>
      <c r="X30">
        <f>Analise_Instancias!I8</f>
        <v>8.4613120719179147E-3</v>
      </c>
      <c r="Y30">
        <f>Analise_Instancias!L8</f>
        <v>8.1600595198894066E-3</v>
      </c>
      <c r="Z30">
        <f>Analise_Instancias!Q8</f>
        <v>12.016358137130737</v>
      </c>
      <c r="AA30" t="str">
        <f>Analise_Instancias!P8</f>
        <v>vrp_100</v>
      </c>
    </row>
    <row r="31" spans="18:27">
      <c r="R31" t="s">
        <v>1211</v>
      </c>
      <c r="S31" t="s">
        <v>23</v>
      </c>
      <c r="T31">
        <v>37</v>
      </c>
      <c r="U31">
        <v>9</v>
      </c>
      <c r="V31">
        <f>Analise_Instancias!O9</f>
        <v>1.3188359508775616E-2</v>
      </c>
      <c r="W31">
        <f>Analise_Instancias!F9</f>
        <v>1.3188359508775616E-2</v>
      </c>
      <c r="X31">
        <f>Analise_Instancias!I9</f>
        <v>5.9726830051369806E-2</v>
      </c>
      <c r="Y31">
        <f>Analise_Instancias!L9</f>
        <v>3.6940984856592474E-2</v>
      </c>
      <c r="Z31">
        <f>Analise_Instancias!Q9</f>
        <v>11.472368001937866</v>
      </c>
      <c r="AA31" t="str">
        <f>Analise_Instancias!P9</f>
        <v>vrp_20</v>
      </c>
    </row>
    <row r="32" spans="18:27">
      <c r="R32" t="s">
        <v>1211</v>
      </c>
      <c r="S32" t="s">
        <v>47</v>
      </c>
      <c r="T32">
        <v>37</v>
      </c>
      <c r="U32">
        <v>32</v>
      </c>
      <c r="V32">
        <f>Analise_Instancias!O32</f>
        <v>1.6213894482725255E-2</v>
      </c>
      <c r="W32">
        <f>Analise_Instancias!F32</f>
        <v>1.7816503299689535E-2</v>
      </c>
      <c r="X32">
        <f>Analise_Instancias!I32</f>
        <v>1.9687515164013902E-2</v>
      </c>
      <c r="Y32">
        <f>Analise_Instancias!L32</f>
        <v>1.6213894482725255E-2</v>
      </c>
      <c r="Z32">
        <f>Analise_Instancias!Q32</f>
        <v>9.8898653984069824</v>
      </c>
      <c r="AA32" t="str">
        <f>Analise_Instancias!P32</f>
        <v>vrp_100</v>
      </c>
    </row>
    <row r="33" spans="18:27">
      <c r="R33" t="s">
        <v>1211</v>
      </c>
      <c r="S33" t="s">
        <v>24</v>
      </c>
      <c r="T33">
        <v>38</v>
      </c>
      <c r="U33">
        <v>10</v>
      </c>
      <c r="V33">
        <f>Analise_Instancias!O10</f>
        <v>1.3887205843217787E-2</v>
      </c>
      <c r="W33">
        <f>Analise_Instancias!F10</f>
        <v>2.1533901093940155E-2</v>
      </c>
      <c r="X33">
        <f>Analise_Instancias!I10</f>
        <v>1.3887205843217787E-2</v>
      </c>
      <c r="Y33">
        <f>Analise_Instancias!L10</f>
        <v>3.9604688212819372E-2</v>
      </c>
      <c r="Z33">
        <f>Analise_Instancias!Q10</f>
        <v>6.9933621883392334</v>
      </c>
      <c r="AA33" t="str">
        <f>Analise_Instancias!P10</f>
        <v>vrp_50</v>
      </c>
    </row>
    <row r="34" spans="18:27">
      <c r="R34" t="s">
        <v>1211</v>
      </c>
      <c r="S34" t="s">
        <v>25</v>
      </c>
      <c r="T34">
        <v>38</v>
      </c>
      <c r="U34">
        <v>11</v>
      </c>
      <c r="V34">
        <f>Analise_Instancias!O11</f>
        <v>5.1539819306558599E-3</v>
      </c>
      <c r="W34">
        <f>Analise_Instancias!F11</f>
        <v>6.6954317792944362E-3</v>
      </c>
      <c r="X34">
        <f>Analise_Instancias!I11</f>
        <v>5.1539819306558599E-3</v>
      </c>
      <c r="Y34">
        <f>Analise_Instancias!L11</f>
        <v>5.6693066758799704E-2</v>
      </c>
      <c r="Z34">
        <f>Analise_Instancias!Q11</f>
        <v>6.9933621883392334</v>
      </c>
      <c r="AA34" t="str">
        <f>Analise_Instancias!P11</f>
        <v>vrp_50</v>
      </c>
    </row>
    <row r="35" spans="18:27">
      <c r="R35" t="s">
        <v>1211</v>
      </c>
      <c r="S35" t="s">
        <v>48</v>
      </c>
      <c r="T35">
        <v>38</v>
      </c>
      <c r="U35">
        <v>33</v>
      </c>
      <c r="V35">
        <f>Analise_Instancias!O33</f>
        <v>2.8609034359346586E-2</v>
      </c>
      <c r="W35">
        <f>Analise_Instancias!F33</f>
        <v>4.1634203523451818E-2</v>
      </c>
      <c r="X35">
        <f>Analise_Instancias!I33</f>
        <v>2.8609034359346586E-2</v>
      </c>
      <c r="Y35">
        <f>Analise_Instancias!L33</f>
        <v>9.815197998491576E-2</v>
      </c>
      <c r="Z35">
        <f>Analise_Instancias!Q33</f>
        <v>10.283905267715454</v>
      </c>
      <c r="AA35" t="str">
        <f>Analise_Instancias!P33</f>
        <v>vrp_50</v>
      </c>
    </row>
    <row r="36" spans="18:27">
      <c r="R36" t="s">
        <v>1211</v>
      </c>
      <c r="S36" t="s">
        <v>130</v>
      </c>
      <c r="T36">
        <v>39</v>
      </c>
      <c r="U36">
        <v>111</v>
      </c>
      <c r="V36">
        <f>Analise_Instancias!O79</f>
        <v>8.1357997577784502E-3</v>
      </c>
      <c r="W36">
        <f>Analise_Instancias!F79</f>
        <v>1.8163822623840087E-2</v>
      </c>
      <c r="X36">
        <f>Analise_Instancias!I79</f>
        <v>8.1357997577784502E-3</v>
      </c>
      <c r="Y36">
        <f>Analise_Instancias!L79</f>
        <v>6.9035292712882113E-2</v>
      </c>
      <c r="Z36">
        <f>Analise_Instancias!Q79</f>
        <v>14.461716413497925</v>
      </c>
      <c r="AA36" t="str">
        <f>Analise_Instancias!P79</f>
        <v>vrp_50</v>
      </c>
    </row>
    <row r="37" spans="18:27">
      <c r="R37" t="s">
        <v>1211</v>
      </c>
      <c r="S37" t="s">
        <v>49</v>
      </c>
      <c r="T37">
        <v>40</v>
      </c>
      <c r="U37">
        <v>34</v>
      </c>
      <c r="V37">
        <f>Analise_Instancias!O34</f>
        <v>2.3203814130352773E-2</v>
      </c>
      <c r="W37">
        <f>Analise_Instancias!F34</f>
        <v>2.3203814130352773E-2</v>
      </c>
      <c r="X37">
        <f>Analise_Instancias!I34</f>
        <v>3.3829085070491649E-2</v>
      </c>
      <c r="Y37">
        <f>Analise_Instancias!L34</f>
        <v>3.8913556548740846E-2</v>
      </c>
      <c r="Z37">
        <f>Analise_Instancias!Q34</f>
        <v>10.636881589889526</v>
      </c>
      <c r="AA37" t="str">
        <f>Analise_Instancias!P34</f>
        <v>vrp_20</v>
      </c>
    </row>
    <row r="38" spans="18:27">
      <c r="R38" t="s">
        <v>1211</v>
      </c>
      <c r="S38" t="s">
        <v>50</v>
      </c>
      <c r="T38">
        <v>42</v>
      </c>
      <c r="U38">
        <v>35</v>
      </c>
      <c r="V38">
        <f>Analise_Instancias!O35</f>
        <v>9.4216236207040893E-3</v>
      </c>
      <c r="W38">
        <f>Analise_Instancias!F35</f>
        <v>9.4216236207040893E-3</v>
      </c>
      <c r="X38">
        <f>Analise_Instancias!I35</f>
        <v>1.0307455962558887E-2</v>
      </c>
      <c r="Y38">
        <f>Analise_Instancias!L35</f>
        <v>1.2804550623315425E-2</v>
      </c>
      <c r="Z38">
        <f>Analise_Instancias!Q35</f>
        <v>13.075325727462769</v>
      </c>
      <c r="AA38" t="str">
        <f>Analise_Instancias!P35</f>
        <v>vrp_20</v>
      </c>
    </row>
    <row r="39" spans="18:27">
      <c r="R39" t="s">
        <v>1211</v>
      </c>
      <c r="S39" t="s">
        <v>26</v>
      </c>
      <c r="T39">
        <v>43</v>
      </c>
      <c r="U39">
        <v>12</v>
      </c>
      <c r="V39">
        <f>Analise_Instancias!O12</f>
        <v>2.0404502192836071E-2</v>
      </c>
      <c r="W39">
        <f>Analise_Instancias!F12</f>
        <v>2.3767754260605622E-2</v>
      </c>
      <c r="X39">
        <f>Analise_Instancias!I12</f>
        <v>2.0404502192836071E-2</v>
      </c>
      <c r="Y39">
        <f>Analise_Instancias!L12</f>
        <v>3.1212414850420256E-2</v>
      </c>
      <c r="Z39">
        <f>Analise_Instancias!Q12</f>
        <v>10.425825119018555</v>
      </c>
      <c r="AA39" t="str">
        <f>Analise_Instancias!P12</f>
        <v>vrp_50</v>
      </c>
    </row>
    <row r="40" spans="18:27">
      <c r="R40" t="s">
        <v>1211</v>
      </c>
      <c r="S40" t="s">
        <v>51</v>
      </c>
      <c r="T40">
        <v>43</v>
      </c>
      <c r="U40">
        <v>36</v>
      </c>
      <c r="V40">
        <f>Analise_Instancias!O36</f>
        <v>2.7218792435884209E-2</v>
      </c>
      <c r="W40">
        <f>Analise_Instancias!F36</f>
        <v>2.7218792435884209E-2</v>
      </c>
      <c r="X40">
        <f>Analise_Instancias!I36</f>
        <v>2.8434191075357607E-2</v>
      </c>
      <c r="Y40">
        <f>Analise_Instancias!L36</f>
        <v>4.828585885932335E-2</v>
      </c>
      <c r="Z40">
        <f>Analise_Instancias!Q36</f>
        <v>11.093323707580566</v>
      </c>
      <c r="AA40" t="str">
        <f>Analise_Instancias!P36</f>
        <v>vrp_20</v>
      </c>
    </row>
    <row r="41" spans="18:27">
      <c r="R41" t="s">
        <v>1211</v>
      </c>
      <c r="S41" t="s">
        <v>27</v>
      </c>
      <c r="T41">
        <v>44</v>
      </c>
      <c r="U41">
        <v>13</v>
      </c>
      <c r="V41">
        <f>Analise_Instancias!O13</f>
        <v>5.0454026561672416E-2</v>
      </c>
      <c r="W41">
        <f>Analise_Instancias!F13</f>
        <v>5.1153215311341427E-2</v>
      </c>
      <c r="X41">
        <f>Analise_Instancias!I13</f>
        <v>5.0454026561672416E-2</v>
      </c>
      <c r="Y41">
        <f>Analise_Instancias!L13</f>
        <v>5.3244509939420093E-2</v>
      </c>
      <c r="Z41">
        <f>Analise_Instancias!Q13</f>
        <v>11.310103893280029</v>
      </c>
      <c r="AA41" t="str">
        <f>Analise_Instancias!P13</f>
        <v>vrp_50</v>
      </c>
    </row>
    <row r="42" spans="18:27">
      <c r="R42" t="s">
        <v>1211</v>
      </c>
      <c r="S42" t="s">
        <v>28</v>
      </c>
      <c r="T42">
        <v>44</v>
      </c>
      <c r="U42">
        <v>14</v>
      </c>
      <c r="V42">
        <f>Analise_Instancias!O14</f>
        <v>1.178489804891969E-2</v>
      </c>
      <c r="W42">
        <f>Analise_Instancias!F14</f>
        <v>2.9613128715368253E-2</v>
      </c>
      <c r="X42">
        <f>Analise_Instancias!I14</f>
        <v>1.178489804891969E-2</v>
      </c>
      <c r="Y42">
        <f>Analise_Instancias!L14</f>
        <v>3.164071021487791E-2</v>
      </c>
      <c r="Z42">
        <f>Analise_Instancias!Q14</f>
        <v>11.310103893280029</v>
      </c>
      <c r="AA42" t="str">
        <f>Analise_Instancias!P14</f>
        <v>vrp_50</v>
      </c>
    </row>
    <row r="43" spans="18:27">
      <c r="R43" t="s">
        <v>1211</v>
      </c>
      <c r="S43" t="s">
        <v>52</v>
      </c>
      <c r="T43">
        <v>44</v>
      </c>
      <c r="U43">
        <v>37</v>
      </c>
      <c r="V43">
        <f>Analise_Instancias!O37</f>
        <v>1.9928750598160683E-2</v>
      </c>
      <c r="W43">
        <f>Analise_Instancias!F37</f>
        <v>1.9928750598160683E-2</v>
      </c>
      <c r="X43">
        <f>Analise_Instancias!I37</f>
        <v>3.3278626544815282E-2</v>
      </c>
      <c r="Y43">
        <f>Analise_Instancias!L37</f>
        <v>2.208245451377322E-2</v>
      </c>
      <c r="Z43">
        <f>Analise_Instancias!Q37</f>
        <v>11.260766983032227</v>
      </c>
      <c r="AA43" t="str">
        <f>Analise_Instancias!P37</f>
        <v>vrp_20</v>
      </c>
    </row>
    <row r="44" spans="18:27">
      <c r="R44" t="s">
        <v>1211</v>
      </c>
      <c r="S44" t="s">
        <v>53</v>
      </c>
      <c r="T44">
        <v>44</v>
      </c>
      <c r="U44">
        <v>38</v>
      </c>
      <c r="V44">
        <f>Analise_Instancias!O38</f>
        <v>6.4526043107024256E-2</v>
      </c>
      <c r="W44">
        <f>Analise_Instancias!F38</f>
        <v>7.8860392612693619E-2</v>
      </c>
      <c r="X44">
        <f>Analise_Instancias!I38</f>
        <v>6.7935549755715252E-2</v>
      </c>
      <c r="Y44">
        <f>Analise_Instancias!L38</f>
        <v>6.4526043107024256E-2</v>
      </c>
      <c r="Z44">
        <f>Analise_Instancias!Q38</f>
        <v>11.260766983032227</v>
      </c>
      <c r="AA44" t="str">
        <f>Analise_Instancias!P38</f>
        <v>vrp_100</v>
      </c>
    </row>
    <row r="45" spans="18:27">
      <c r="R45" t="s">
        <v>1211</v>
      </c>
      <c r="S45" t="s">
        <v>81</v>
      </c>
      <c r="T45">
        <v>44</v>
      </c>
      <c r="U45">
        <v>64</v>
      </c>
      <c r="V45">
        <f>Analise_Instancias!O64</f>
        <v>5.1744998489295924E-3</v>
      </c>
      <c r="W45">
        <f>Analise_Instancias!F64</f>
        <v>4.9630855328470336E-2</v>
      </c>
      <c r="X45">
        <f>Analise_Instancias!I64</f>
        <v>5.1744998489295924E-3</v>
      </c>
      <c r="Y45">
        <f>Analise_Instancias!L64</f>
        <v>1.4782731704290342E-2</v>
      </c>
      <c r="Z45">
        <f>Analise_Instancias!Q64</f>
        <v>11.620858669281006</v>
      </c>
      <c r="AA45" t="str">
        <f>Analise_Instancias!P64</f>
        <v>vrp_50</v>
      </c>
    </row>
    <row r="46" spans="18:27">
      <c r="R46" t="s">
        <v>1211</v>
      </c>
      <c r="S46" t="s">
        <v>131</v>
      </c>
      <c r="T46">
        <v>44</v>
      </c>
      <c r="U46">
        <v>112</v>
      </c>
      <c r="V46">
        <f>Analise_Instancias!O80</f>
        <v>8.6691463694852366E-3</v>
      </c>
      <c r="W46">
        <f>Analise_Instancias!F80</f>
        <v>8.6691463694852366E-3</v>
      </c>
      <c r="X46">
        <f>Analise_Instancias!I80</f>
        <v>1.9381414675245123E-2</v>
      </c>
      <c r="Y46">
        <f>Analise_Instancias!L80</f>
        <v>8.7568694469975394E-2</v>
      </c>
      <c r="Z46">
        <f>Analise_Instancias!Q80</f>
        <v>13.977951288223267</v>
      </c>
      <c r="AA46" t="str">
        <f>Analise_Instancias!P80</f>
        <v>vrp_20</v>
      </c>
    </row>
    <row r="47" spans="18:27">
      <c r="R47" t="s">
        <v>1211</v>
      </c>
      <c r="S47" t="s">
        <v>29</v>
      </c>
      <c r="T47">
        <v>45</v>
      </c>
      <c r="U47">
        <v>15</v>
      </c>
      <c r="V47">
        <f>Analise_Instancias!O15</f>
        <v>1.1715878542977398E-2</v>
      </c>
      <c r="W47">
        <f>Analise_Instancias!F15</f>
        <v>1.4903329394317488E-2</v>
      </c>
      <c r="X47">
        <f>Analise_Instancias!I15</f>
        <v>1.1715878542977398E-2</v>
      </c>
      <c r="Y47">
        <f>Analise_Instancias!L15</f>
        <v>8.1151448923858061E-2</v>
      </c>
      <c r="Z47">
        <f>Analise_Instancias!Q15</f>
        <v>13.134425163269043</v>
      </c>
      <c r="AA47" t="str">
        <f>Analise_Instancias!P15</f>
        <v>vrp_50</v>
      </c>
    </row>
    <row r="48" spans="18:27">
      <c r="R48" t="s">
        <v>1211</v>
      </c>
      <c r="S48" t="s">
        <v>30</v>
      </c>
      <c r="T48">
        <v>47</v>
      </c>
      <c r="U48">
        <v>16</v>
      </c>
      <c r="V48">
        <f>Analise_Instancias!O16</f>
        <v>8.4231928588069938E-3</v>
      </c>
      <c r="W48">
        <f>Analise_Instancias!F16</f>
        <v>3.4174568055394206E-2</v>
      </c>
      <c r="X48">
        <f>Analise_Instancias!I16</f>
        <v>2.8464225776152929E-2</v>
      </c>
      <c r="Y48">
        <f>Analise_Instancias!L16</f>
        <v>8.4231928588069938E-3</v>
      </c>
      <c r="Z48">
        <f>Analise_Instancias!Q16</f>
        <v>10.902098894119263</v>
      </c>
      <c r="AA48" t="str">
        <f>Analise_Instancias!P16</f>
        <v>vrp_100</v>
      </c>
    </row>
    <row r="49" spans="18:27">
      <c r="R49" t="s">
        <v>1211</v>
      </c>
      <c r="S49" t="s">
        <v>54</v>
      </c>
      <c r="T49">
        <v>49</v>
      </c>
      <c r="U49">
        <v>39</v>
      </c>
      <c r="V49">
        <f>Analise_Instancias!O39</f>
        <v>1.8979133060264886E-2</v>
      </c>
      <c r="W49">
        <f>Analise_Instancias!F39</f>
        <v>3.5068692144272884E-2</v>
      </c>
      <c r="X49">
        <f>Analise_Instancias!I39</f>
        <v>3.3481036764085648E-2</v>
      </c>
      <c r="Y49">
        <f>Analise_Instancias!L39</f>
        <v>1.8979133060264886E-2</v>
      </c>
      <c r="Z49">
        <f>Analise_Instancias!Q39</f>
        <v>11.313071012496948</v>
      </c>
      <c r="AA49" t="str">
        <f>Analise_Instancias!P39</f>
        <v>vrp_100</v>
      </c>
    </row>
    <row r="50" spans="18:27">
      <c r="R50" t="s">
        <v>1211</v>
      </c>
      <c r="S50" t="s">
        <v>55</v>
      </c>
      <c r="T50">
        <v>49</v>
      </c>
      <c r="U50">
        <v>40</v>
      </c>
      <c r="V50">
        <f>Analise_Instancias!O40</f>
        <v>5.6232359351180428E-3</v>
      </c>
      <c r="W50">
        <f>Analise_Instancias!F40</f>
        <v>7.1185972632430428E-3</v>
      </c>
      <c r="X50">
        <f>Analise_Instancias!I40</f>
        <v>5.6232359351180428E-3</v>
      </c>
      <c r="Y50">
        <f>Analise_Instancias!L40</f>
        <v>5.0211650569264465E-2</v>
      </c>
      <c r="Z50">
        <f>Analise_Instancias!Q40</f>
        <v>11.313071012496948</v>
      </c>
      <c r="AA50" t="str">
        <f>Analise_Instancias!P40</f>
        <v>vrp_50</v>
      </c>
    </row>
    <row r="51" spans="18:27">
      <c r="R51" t="s">
        <v>1211</v>
      </c>
      <c r="S51" t="s">
        <v>132</v>
      </c>
      <c r="T51">
        <v>49</v>
      </c>
      <c r="U51">
        <v>113</v>
      </c>
      <c r="V51">
        <f>Analise_Instancias!O81</f>
        <v>3.9602433127918557E-2</v>
      </c>
      <c r="W51">
        <f>Analise_Instancias!F81</f>
        <v>4.3423707457794558E-2</v>
      </c>
      <c r="X51">
        <f>Analise_Instancias!I81</f>
        <v>3.9602433127918557E-2</v>
      </c>
      <c r="Y51">
        <f>Analise_Instancias!L81</f>
        <v>5.165731495824355E-2</v>
      </c>
      <c r="Z51">
        <f>Analise_Instancias!Q81</f>
        <v>20.962139129638672</v>
      </c>
      <c r="AA51" t="str">
        <f>Analise_Instancias!P81</f>
        <v>vrp_50</v>
      </c>
    </row>
    <row r="52" spans="18:27">
      <c r="R52" t="s">
        <v>1211</v>
      </c>
      <c r="S52" t="s">
        <v>133</v>
      </c>
      <c r="T52">
        <v>49</v>
      </c>
      <c r="U52">
        <v>114</v>
      </c>
      <c r="V52">
        <f>Analise_Instancias!O82</f>
        <v>1.8016388269968431E-2</v>
      </c>
      <c r="W52">
        <f>Analise_Instancias!F82</f>
        <v>1.8016388269968431E-2</v>
      </c>
      <c r="X52">
        <f>Analise_Instancias!I82</f>
        <v>4.3692798821074019E-2</v>
      </c>
      <c r="Y52">
        <f>Analise_Instancias!L82</f>
        <v>4.1580806140004478E-2</v>
      </c>
      <c r="Z52">
        <f>Analise_Instancias!Q82</f>
        <v>20.962139129638672</v>
      </c>
      <c r="AA52" t="str">
        <f>Analise_Instancias!P82</f>
        <v>vrp_20</v>
      </c>
    </row>
    <row r="53" spans="18:27">
      <c r="R53" t="s">
        <v>1211</v>
      </c>
      <c r="S53" t="s">
        <v>134</v>
      </c>
      <c r="T53">
        <v>49</v>
      </c>
      <c r="U53">
        <v>115</v>
      </c>
      <c r="V53">
        <f>Analise_Instancias!O83</f>
        <v>1.8235873118066515E-2</v>
      </c>
      <c r="W53">
        <f>Analise_Instancias!F83</f>
        <v>2.9729828025950811E-2</v>
      </c>
      <c r="X53">
        <f>Analise_Instancias!I83</f>
        <v>1.8235873118066515E-2</v>
      </c>
      <c r="Y53">
        <f>Analise_Instancias!L83</f>
        <v>3.5847272434627486E-2</v>
      </c>
      <c r="Z53">
        <f>Analise_Instancias!Q83</f>
        <v>20.962139129638672</v>
      </c>
      <c r="AA53" t="str">
        <f>Analise_Instancias!P83</f>
        <v>vrp_50</v>
      </c>
    </row>
    <row r="54" spans="18:27">
      <c r="R54" t="s">
        <v>1211</v>
      </c>
      <c r="S54" t="s">
        <v>56</v>
      </c>
      <c r="T54">
        <v>50</v>
      </c>
      <c r="U54">
        <v>41</v>
      </c>
      <c r="V54">
        <f>Analise_Instancias!O41</f>
        <v>0</v>
      </c>
      <c r="W54">
        <f>Analise_Instancias!F41</f>
        <v>0</v>
      </c>
      <c r="X54">
        <f>Analise_Instancias!I41</f>
        <v>5.2835272264110555E-2</v>
      </c>
      <c r="Y54">
        <f>Analise_Instancias!L41</f>
        <v>4.2424519856771203E-2</v>
      </c>
      <c r="Z54">
        <f>Analise_Instancias!Q41</f>
        <v>11.532374620437622</v>
      </c>
      <c r="AA54" t="str">
        <f>Analise_Instancias!P41</f>
        <v>vrp_20</v>
      </c>
    </row>
    <row r="55" spans="18:27">
      <c r="R55" t="s">
        <v>1211</v>
      </c>
      <c r="S55" t="s">
        <v>74</v>
      </c>
      <c r="T55">
        <v>50</v>
      </c>
      <c r="U55">
        <v>58</v>
      </c>
      <c r="V55">
        <f>Analise_Instancias!O58</f>
        <v>7.5371974718090318E-3</v>
      </c>
      <c r="W55">
        <f>Analise_Instancias!F58</f>
        <v>1.7616667353946847E-2</v>
      </c>
      <c r="X55">
        <f>Analise_Instancias!I58</f>
        <v>7.5371974718090318E-3</v>
      </c>
      <c r="Y55">
        <f>Analise_Instancias!L58</f>
        <v>8.4480388150791841E-2</v>
      </c>
      <c r="Z55">
        <f>Analise_Instancias!Q58</f>
        <v>11.270205736160278</v>
      </c>
      <c r="AA55" t="str">
        <f>Analise_Instancias!P58</f>
        <v>vrp_50</v>
      </c>
    </row>
    <row r="56" spans="18:27">
      <c r="R56" t="s">
        <v>1211</v>
      </c>
      <c r="S56" t="s">
        <v>135</v>
      </c>
      <c r="T56">
        <v>50</v>
      </c>
      <c r="U56">
        <v>116</v>
      </c>
      <c r="V56">
        <f>Analise_Instancias!O84</f>
        <v>3.3125616117366752E-2</v>
      </c>
      <c r="W56">
        <f>Analise_Instancias!F84</f>
        <v>4.1143708222629805E-2</v>
      </c>
      <c r="X56">
        <f>Analise_Instancias!I84</f>
        <v>3.3867263279141469E-2</v>
      </c>
      <c r="Y56">
        <f>Analise_Instancias!L84</f>
        <v>3.3125616117366752E-2</v>
      </c>
      <c r="Z56">
        <f>Analise_Instancias!Q84</f>
        <v>12.330393314361572</v>
      </c>
      <c r="AA56" t="str">
        <f>Analise_Instancias!P84</f>
        <v>vrp_100</v>
      </c>
    </row>
    <row r="57" spans="18:27">
      <c r="R57" t="s">
        <v>1212</v>
      </c>
      <c r="S57" t="s">
        <v>57</v>
      </c>
      <c r="T57">
        <v>51</v>
      </c>
      <c r="U57">
        <v>42</v>
      </c>
      <c r="V57">
        <f>Analise_Instancias!O42</f>
        <v>1.477140658990117E-2</v>
      </c>
      <c r="W57">
        <f>Analise_Instancias!F42</f>
        <v>3.1258906066976344E-2</v>
      </c>
      <c r="X57">
        <f>Analise_Instancias!I42</f>
        <v>1.477140658990117E-2</v>
      </c>
      <c r="Y57">
        <f>Analise_Instancias!L42</f>
        <v>2.537771528823618E-2</v>
      </c>
      <c r="Z57">
        <f>Analise_Instancias!Q42</f>
        <v>11.42298412322998</v>
      </c>
      <c r="AA57" t="str">
        <f>Analise_Instancias!P42</f>
        <v>vrp_50</v>
      </c>
    </row>
    <row r="58" spans="18:27">
      <c r="R58" t="s">
        <v>1212</v>
      </c>
      <c r="S58" t="s">
        <v>31</v>
      </c>
      <c r="T58">
        <v>52</v>
      </c>
      <c r="U58">
        <v>17</v>
      </c>
      <c r="V58">
        <f>Analise_Instancias!O17</f>
        <v>1.3595309115872256E-2</v>
      </c>
      <c r="W58">
        <f>Analise_Instancias!F17</f>
        <v>1.3595309115872256E-2</v>
      </c>
      <c r="X58">
        <f>Analise_Instancias!I17</f>
        <v>8.1087320157797071E-2</v>
      </c>
      <c r="Y58">
        <f>Analise_Instancias!L17</f>
        <v>6.5509456219059459E-2</v>
      </c>
      <c r="Z58">
        <f>Analise_Instancias!Q17</f>
        <v>11.365095376968384</v>
      </c>
      <c r="AA58" t="str">
        <f>Analise_Instancias!P17</f>
        <v>vrp_20</v>
      </c>
    </row>
    <row r="59" spans="18:27">
      <c r="R59" t="s">
        <v>1212</v>
      </c>
      <c r="S59" t="s">
        <v>32</v>
      </c>
      <c r="T59">
        <v>53</v>
      </c>
      <c r="U59">
        <v>18</v>
      </c>
      <c r="V59">
        <f>Analise_Instancias!O18</f>
        <v>5.4127252704583295E-3</v>
      </c>
      <c r="W59">
        <f>Analise_Instancias!F18</f>
        <v>4.5023757163132005E-2</v>
      </c>
      <c r="X59">
        <f>Analise_Instancias!I18</f>
        <v>5.4127252704583295E-3</v>
      </c>
      <c r="Y59">
        <f>Analise_Instancias!L18</f>
        <v>2.0854358297182518E-2</v>
      </c>
      <c r="Z59">
        <f>Analise_Instancias!Q18</f>
        <v>11.208788394927979</v>
      </c>
      <c r="AA59" t="str">
        <f>Analise_Instancias!P18</f>
        <v>vrp_50</v>
      </c>
    </row>
    <row r="60" spans="18:27">
      <c r="R60" t="s">
        <v>1212</v>
      </c>
      <c r="S60" t="s">
        <v>33</v>
      </c>
      <c r="T60">
        <v>54</v>
      </c>
      <c r="U60">
        <v>19</v>
      </c>
      <c r="V60">
        <f>Analise_Instancias!O19</f>
        <v>1.8314528665248853E-2</v>
      </c>
      <c r="W60">
        <f>Analise_Instancias!F19</f>
        <v>6.8590773896202162E-2</v>
      </c>
      <c r="X60">
        <f>Analise_Instancias!I19</f>
        <v>1.8314528665248853E-2</v>
      </c>
      <c r="Y60">
        <f>Analise_Instancias!L19</f>
        <v>6.7302835398706407E-2</v>
      </c>
      <c r="Z60">
        <f>Analise_Instancias!Q19</f>
        <v>12.427638530731201</v>
      </c>
      <c r="AA60" t="str">
        <f>Analise_Instancias!P19</f>
        <v>vrp_50</v>
      </c>
    </row>
    <row r="61" spans="18:27">
      <c r="R61" t="s">
        <v>1212</v>
      </c>
      <c r="S61" t="s">
        <v>136</v>
      </c>
      <c r="T61">
        <v>54</v>
      </c>
      <c r="U61">
        <v>117</v>
      </c>
      <c r="V61">
        <f>Analise_Instancias!O85</f>
        <v>2.3745226241669748E-2</v>
      </c>
      <c r="W61">
        <f>Analise_Instancias!F85</f>
        <v>2.3745226241669748E-2</v>
      </c>
      <c r="X61">
        <f>Analise_Instancias!I85</f>
        <v>3.009156328800433E-2</v>
      </c>
      <c r="Y61">
        <f>Analise_Instancias!L85</f>
        <v>2.8416174633015157E-2</v>
      </c>
      <c r="Z61">
        <f>Analise_Instancias!Q85</f>
        <v>21.682640314102173</v>
      </c>
      <c r="AA61" t="str">
        <f>Analise_Instancias!P85</f>
        <v>vrp_20</v>
      </c>
    </row>
    <row r="62" spans="18:27">
      <c r="R62" t="s">
        <v>1212</v>
      </c>
      <c r="S62" t="s">
        <v>137</v>
      </c>
      <c r="T62">
        <v>54</v>
      </c>
      <c r="U62">
        <v>118</v>
      </c>
      <c r="V62">
        <f>Analise_Instancias!O86</f>
        <v>0</v>
      </c>
      <c r="W62">
        <f>Analise_Instancias!F86</f>
        <v>0</v>
      </c>
      <c r="X62">
        <f>Analise_Instancias!I86</f>
        <v>0</v>
      </c>
      <c r="Y62">
        <f>Analise_Instancias!L86</f>
        <v>0</v>
      </c>
      <c r="Z62">
        <f>Analise_Instancias!Q86</f>
        <v>21.682640314102173</v>
      </c>
      <c r="AA62" t="str">
        <f>Analise_Instancias!P86</f>
        <v>vrp_20</v>
      </c>
    </row>
    <row r="63" spans="18:27">
      <c r="R63" t="s">
        <v>1212</v>
      </c>
      <c r="S63" t="s">
        <v>138</v>
      </c>
      <c r="T63">
        <v>54</v>
      </c>
      <c r="U63">
        <v>119</v>
      </c>
      <c r="V63">
        <f>Analise_Instancias!O87</f>
        <v>3.3870965662136987E-2</v>
      </c>
      <c r="W63">
        <f>Analise_Instancias!F87</f>
        <v>4.5291417081591012E-2</v>
      </c>
      <c r="X63">
        <f>Analise_Instancias!I87</f>
        <v>3.3870965662136987E-2</v>
      </c>
      <c r="Y63">
        <f>Analise_Instancias!L87</f>
        <v>4.8375411772392241E-2</v>
      </c>
      <c r="Z63">
        <f>Analise_Instancias!Q87</f>
        <v>21.682640314102173</v>
      </c>
      <c r="AA63" t="str">
        <f>Analise_Instancias!P87</f>
        <v>vrp_50</v>
      </c>
    </row>
    <row r="64" spans="18:27">
      <c r="R64" t="s">
        <v>1212</v>
      </c>
      <c r="S64" t="s">
        <v>139</v>
      </c>
      <c r="T64">
        <v>54</v>
      </c>
      <c r="U64">
        <v>120</v>
      </c>
      <c r="V64">
        <f>Analise_Instancias!O88</f>
        <v>3.4378985969385489E-4</v>
      </c>
      <c r="W64">
        <f>Analise_Instancias!F88</f>
        <v>3.4378985969385489E-4</v>
      </c>
      <c r="X64">
        <f>Analise_Instancias!I88</f>
        <v>6.5496535528273281E-3</v>
      </c>
      <c r="Y64">
        <f>Analise_Instancias!L88</f>
        <v>1.2547499468537504E-2</v>
      </c>
      <c r="Z64">
        <f>Analise_Instancias!Q88</f>
        <v>21.682640314102173</v>
      </c>
      <c r="AA64" t="str">
        <f>Analise_Instancias!P88</f>
        <v>vrp_20</v>
      </c>
    </row>
    <row r="65" spans="18:27">
      <c r="R65" t="s">
        <v>1212</v>
      </c>
      <c r="S65" t="s">
        <v>58</v>
      </c>
      <c r="T65">
        <v>55</v>
      </c>
      <c r="U65">
        <v>43</v>
      </c>
      <c r="V65">
        <f>Analise_Instancias!O43</f>
        <v>4.0261102700671847E-2</v>
      </c>
      <c r="W65">
        <f>Analise_Instancias!F43</f>
        <v>5.765672654039955E-2</v>
      </c>
      <c r="X65">
        <f>Analise_Instancias!I43</f>
        <v>5.5039639182947298E-2</v>
      </c>
      <c r="Y65">
        <f>Analise_Instancias!L43</f>
        <v>4.0261102700671847E-2</v>
      </c>
      <c r="Z65">
        <f>Analise_Instancias!Q43</f>
        <v>12.893540620803833</v>
      </c>
      <c r="AA65" t="str">
        <f>Analise_Instancias!P43</f>
        <v>vrp_100</v>
      </c>
    </row>
    <row r="66" spans="18:27">
      <c r="R66" t="s">
        <v>1212</v>
      </c>
      <c r="S66" t="s">
        <v>59</v>
      </c>
      <c r="T66">
        <v>56</v>
      </c>
      <c r="U66">
        <v>44</v>
      </c>
      <c r="V66">
        <f>Analise_Instancias!O44</f>
        <v>1.4513980173997965E-3</v>
      </c>
      <c r="W66">
        <f>Analise_Instancias!F44</f>
        <v>9.1630656100932351E-2</v>
      </c>
      <c r="X66">
        <f>Analise_Instancias!I44</f>
        <v>4.3786504634648615E-3</v>
      </c>
      <c r="Y66">
        <f>Analise_Instancias!L44</f>
        <v>1.4513980173997965E-3</v>
      </c>
      <c r="Z66">
        <f>Analise_Instancias!Q44</f>
        <v>18.971728086471558</v>
      </c>
      <c r="AA66" t="str">
        <f>Analise_Instancias!P44</f>
        <v>vrp_100</v>
      </c>
    </row>
    <row r="67" spans="18:27">
      <c r="R67" t="s">
        <v>1212</v>
      </c>
      <c r="S67" t="s">
        <v>60</v>
      </c>
      <c r="T67">
        <v>56</v>
      </c>
      <c r="U67">
        <v>45</v>
      </c>
      <c r="V67">
        <f>Analise_Instancias!O45</f>
        <v>2.2957774366395567E-2</v>
      </c>
      <c r="W67">
        <f>Analise_Instancias!F45</f>
        <v>2.2957774366395567E-2</v>
      </c>
      <c r="X67">
        <f>Analise_Instancias!I45</f>
        <v>4.7718950445869934E-2</v>
      </c>
      <c r="Y67">
        <f>Analise_Instancias!L45</f>
        <v>2.9687377776908663E-2</v>
      </c>
      <c r="Z67">
        <f>Analise_Instancias!Q45</f>
        <v>18.971728086471558</v>
      </c>
      <c r="AA67" t="str">
        <f>Analise_Instancias!P45</f>
        <v>vrp_20</v>
      </c>
    </row>
    <row r="68" spans="18:27">
      <c r="R68" t="s">
        <v>1212</v>
      </c>
      <c r="S68" t="s">
        <v>34</v>
      </c>
      <c r="T68">
        <v>59</v>
      </c>
      <c r="U68">
        <v>20</v>
      </c>
      <c r="V68">
        <f>Analise_Instancias!O20</f>
        <v>1.8867706794682526E-2</v>
      </c>
      <c r="W68">
        <f>Analise_Instancias!F20</f>
        <v>4.1586849150664795E-2</v>
      </c>
      <c r="X68">
        <f>Analise_Instancias!I20</f>
        <v>2.3364834806591572E-2</v>
      </c>
      <c r="Y68">
        <f>Analise_Instancias!L20</f>
        <v>1.8867706794682526E-2</v>
      </c>
      <c r="Z68">
        <f>Analise_Instancias!Q20</f>
        <v>11.176435232162476</v>
      </c>
      <c r="AA68" t="str">
        <f>Analise_Instancias!P20</f>
        <v>vrp_100</v>
      </c>
    </row>
    <row r="69" spans="18:27">
      <c r="R69" t="s">
        <v>1212</v>
      </c>
      <c r="S69" t="s">
        <v>140</v>
      </c>
      <c r="T69">
        <v>59</v>
      </c>
      <c r="U69">
        <v>121</v>
      </c>
      <c r="V69">
        <f>Analise_Instancias!O89</f>
        <v>2.3817328996555753E-2</v>
      </c>
      <c r="W69">
        <f>Analise_Instancias!F89</f>
        <v>4.4511856571320507E-2</v>
      </c>
      <c r="X69">
        <f>Analise_Instancias!I89</f>
        <v>2.3817328996555753E-2</v>
      </c>
      <c r="Y69">
        <f>Analise_Instancias!L89</f>
        <v>4.1195366972236247E-2</v>
      </c>
      <c r="Z69">
        <f>Analise_Instancias!Q89</f>
        <v>15.42657208442688</v>
      </c>
      <c r="AA69" t="str">
        <f>Analise_Instancias!P89</f>
        <v>vrp_50</v>
      </c>
    </row>
    <row r="70" spans="18:27">
      <c r="R70" t="s">
        <v>1212</v>
      </c>
      <c r="S70" t="s">
        <v>141</v>
      </c>
      <c r="T70">
        <v>59</v>
      </c>
      <c r="U70">
        <v>122</v>
      </c>
      <c r="V70">
        <f>Analise_Instancias!O90</f>
        <v>2.7607437007683311E-2</v>
      </c>
      <c r="W70">
        <f>Analise_Instancias!F90</f>
        <v>7.6667470380294311E-2</v>
      </c>
      <c r="X70">
        <f>Analise_Instancias!I90</f>
        <v>2.7607437007683311E-2</v>
      </c>
      <c r="Y70">
        <f>Analise_Instancias!L90</f>
        <v>5.2191048614250057E-2</v>
      </c>
      <c r="Z70">
        <f>Analise_Instancias!Q90</f>
        <v>15.42657208442688</v>
      </c>
      <c r="AA70" t="str">
        <f>Analise_Instancias!P90</f>
        <v>vrp_50</v>
      </c>
    </row>
    <row r="71" spans="18:27">
      <c r="R71" t="s">
        <v>1212</v>
      </c>
      <c r="S71" t="s">
        <v>35</v>
      </c>
      <c r="T71">
        <v>60</v>
      </c>
      <c r="U71">
        <v>21</v>
      </c>
      <c r="V71">
        <f>Analise_Instancias!O21</f>
        <v>3.8405161992262959E-2</v>
      </c>
      <c r="W71">
        <f>Analise_Instancias!F21</f>
        <v>3.8405161992262959E-2</v>
      </c>
      <c r="X71">
        <f>Analise_Instancias!I21</f>
        <v>3.887679729055904E-2</v>
      </c>
      <c r="Y71">
        <f>Analise_Instancias!L21</f>
        <v>5.238280305548848E-2</v>
      </c>
      <c r="Z71">
        <f>Analise_Instancias!Q21</f>
        <v>11.409239530563354</v>
      </c>
      <c r="AA71" t="str">
        <f>Analise_Instancias!P21</f>
        <v>vrp_20</v>
      </c>
    </row>
    <row r="72" spans="18:27">
      <c r="R72" t="s">
        <v>1212</v>
      </c>
      <c r="S72" t="s">
        <v>36</v>
      </c>
      <c r="T72">
        <v>61</v>
      </c>
      <c r="U72">
        <v>22</v>
      </c>
      <c r="V72">
        <f>Analise_Instancias!O22</f>
        <v>3.1584745608501663E-2</v>
      </c>
      <c r="W72">
        <f>Analise_Instancias!F22</f>
        <v>5.93048474803477E-2</v>
      </c>
      <c r="X72">
        <f>Analise_Instancias!I22</f>
        <v>3.1584745608501663E-2</v>
      </c>
      <c r="Y72">
        <f>Analise_Instancias!L22</f>
        <v>3.8659421553523199E-2</v>
      </c>
      <c r="Z72">
        <f>Analise_Instancias!Q22</f>
        <v>10.341264963150024</v>
      </c>
      <c r="AA72" t="str">
        <f>Analise_Instancias!P22</f>
        <v>vrp_50</v>
      </c>
    </row>
    <row r="73" spans="18:27">
      <c r="R73" t="s">
        <v>1212</v>
      </c>
      <c r="S73" t="s">
        <v>37</v>
      </c>
      <c r="T73">
        <v>62</v>
      </c>
      <c r="U73">
        <v>23</v>
      </c>
      <c r="V73">
        <f>Analise_Instancias!O23</f>
        <v>2.2325210919663663E-2</v>
      </c>
      <c r="W73">
        <f>Analise_Instancias!F23</f>
        <v>3.0591526350837173E-2</v>
      </c>
      <c r="X73">
        <f>Analise_Instancias!I23</f>
        <v>3.3920868709570007E-2</v>
      </c>
      <c r="Y73">
        <f>Analise_Instancias!L23</f>
        <v>2.2325210919663663E-2</v>
      </c>
      <c r="Z73">
        <f>Analise_Instancias!Q23</f>
        <v>19.159807920455933</v>
      </c>
      <c r="AA73" t="str">
        <f>Analise_Instancias!P23</f>
        <v>vrp_100</v>
      </c>
    </row>
    <row r="74" spans="18:27">
      <c r="R74" t="s">
        <v>1212</v>
      </c>
      <c r="S74" t="s">
        <v>38</v>
      </c>
      <c r="T74">
        <v>62</v>
      </c>
      <c r="U74">
        <v>24</v>
      </c>
      <c r="V74">
        <f>Analise_Instancias!O24</f>
        <v>1.5008983045521118E-2</v>
      </c>
      <c r="W74">
        <f>Analise_Instancias!F24</f>
        <v>3.1373581083694368E-2</v>
      </c>
      <c r="X74">
        <f>Analise_Instancias!I24</f>
        <v>3.8122271547222697E-2</v>
      </c>
      <c r="Y74">
        <f>Analise_Instancias!L24</f>
        <v>1.5008983045521118E-2</v>
      </c>
      <c r="Z74">
        <f>Analise_Instancias!Q24</f>
        <v>19.159807920455933</v>
      </c>
      <c r="AA74" t="str">
        <f>Analise_Instancias!P24</f>
        <v>vrp_100</v>
      </c>
    </row>
    <row r="75" spans="18:27">
      <c r="R75" t="s">
        <v>1212</v>
      </c>
      <c r="S75" t="s">
        <v>61</v>
      </c>
      <c r="T75">
        <v>62</v>
      </c>
      <c r="U75">
        <v>46</v>
      </c>
      <c r="V75">
        <f>Analise_Instancias!O46</f>
        <v>4.3290163743942456E-2</v>
      </c>
      <c r="W75">
        <f>Analise_Instancias!F46</f>
        <v>6.8910649753509468E-2</v>
      </c>
      <c r="X75">
        <f>Analise_Instancias!I46</f>
        <v>4.3290163743942456E-2</v>
      </c>
      <c r="Y75">
        <f>Analise_Instancias!L46</f>
        <v>6.6128327884775961E-2</v>
      </c>
      <c r="Z75">
        <f>Analise_Instancias!Q46</f>
        <v>11.509817600250244</v>
      </c>
      <c r="AA75" t="str">
        <f>Analise_Instancias!P46</f>
        <v>vrp_50</v>
      </c>
    </row>
    <row r="76" spans="18:27">
      <c r="R76" t="s">
        <v>1212</v>
      </c>
      <c r="S76" t="s">
        <v>39</v>
      </c>
      <c r="T76">
        <v>63</v>
      </c>
      <c r="U76">
        <v>25</v>
      </c>
      <c r="V76">
        <f>Analise_Instancias!O25</f>
        <v>2.4218540885974305E-2</v>
      </c>
      <c r="W76">
        <f>Analise_Instancias!F25</f>
        <v>5.2819414703783041E-2</v>
      </c>
      <c r="X76">
        <f>Analise_Instancias!I25</f>
        <v>3.1410843538097755E-2</v>
      </c>
      <c r="Y76">
        <f>Analise_Instancias!L25</f>
        <v>2.4218540885974305E-2</v>
      </c>
      <c r="Z76">
        <f>Analise_Instancias!Q25</f>
        <v>10.904804706573486</v>
      </c>
      <c r="AA76" t="str">
        <f>Analise_Instancias!P25</f>
        <v>vrp_100</v>
      </c>
    </row>
    <row r="77" spans="18:27">
      <c r="R77" t="s">
        <v>1212</v>
      </c>
      <c r="S77" t="s">
        <v>62</v>
      </c>
      <c r="T77">
        <v>63</v>
      </c>
      <c r="U77">
        <v>47</v>
      </c>
      <c r="V77">
        <f>Analise_Instancias!O47</f>
        <v>5.025681552155925E-2</v>
      </c>
      <c r="W77">
        <f>Analise_Instancias!F47</f>
        <v>5.025681552155925E-2</v>
      </c>
      <c r="X77">
        <f>Analise_Instancias!I47</f>
        <v>7.3044124519091147E-2</v>
      </c>
      <c r="Y77">
        <f>Analise_Instancias!L47</f>
        <v>0.17507775070775256</v>
      </c>
      <c r="Z77">
        <f>Analise_Instancias!Q47</f>
        <v>11.233950138092041</v>
      </c>
      <c r="AA77" t="str">
        <f>Analise_Instancias!P47</f>
        <v>vrp_20</v>
      </c>
    </row>
    <row r="78" spans="18:27">
      <c r="R78" t="s">
        <v>1212</v>
      </c>
      <c r="S78" t="s">
        <v>40</v>
      </c>
      <c r="T78">
        <v>64</v>
      </c>
      <c r="U78">
        <v>26</v>
      </c>
      <c r="V78">
        <f>Analise_Instancias!O26</f>
        <v>4.5887831731793005E-2</v>
      </c>
      <c r="W78">
        <f>Analise_Instancias!F26</f>
        <v>5.299993511765333E-2</v>
      </c>
      <c r="X78">
        <f>Analise_Instancias!I26</f>
        <v>4.7949717844974371E-2</v>
      </c>
      <c r="Y78">
        <f>Analise_Instancias!L26</f>
        <v>4.5887831731793005E-2</v>
      </c>
      <c r="Z78">
        <f>Analise_Instancias!Q26</f>
        <v>10.83575177192688</v>
      </c>
      <c r="AA78" t="str">
        <f>Analise_Instancias!P26</f>
        <v>vrp_100</v>
      </c>
    </row>
    <row r="79" spans="18:27">
      <c r="R79" t="s">
        <v>1212</v>
      </c>
      <c r="S79" t="s">
        <v>142</v>
      </c>
      <c r="T79">
        <v>64</v>
      </c>
      <c r="U79">
        <v>123</v>
      </c>
      <c r="V79">
        <f>Analise_Instancias!O91</f>
        <v>2.6438549311474047E-2</v>
      </c>
      <c r="W79">
        <f>Analise_Instancias!F91</f>
        <v>4.4745320021503998E-2</v>
      </c>
      <c r="X79">
        <f>Analise_Instancias!I91</f>
        <v>2.6438549311474047E-2</v>
      </c>
      <c r="Y79">
        <f>Analise_Instancias!L91</f>
        <v>4.4496786714804282E-2</v>
      </c>
      <c r="Z79">
        <f>Analise_Instancias!Q91</f>
        <v>10.831694364547729</v>
      </c>
      <c r="AA79" t="str">
        <f>Analise_Instancias!P91</f>
        <v>vrp_50</v>
      </c>
    </row>
    <row r="80" spans="18:27">
      <c r="R80" t="s">
        <v>1212</v>
      </c>
      <c r="S80" t="s">
        <v>63</v>
      </c>
      <c r="T80">
        <v>65</v>
      </c>
      <c r="U80">
        <v>48</v>
      </c>
      <c r="V80">
        <f>Analise_Instancias!O48</f>
        <v>2.2122368624145183E-2</v>
      </c>
      <c r="W80">
        <f>Analise_Instancias!F48</f>
        <v>6.6773574040653427E-2</v>
      </c>
      <c r="X80">
        <f>Analise_Instancias!I48</f>
        <v>2.2122368624145183E-2</v>
      </c>
      <c r="Y80">
        <f>Analise_Instancias!L48</f>
        <v>2.8102700833491534E-2</v>
      </c>
      <c r="Z80">
        <f>Analise_Instancias!Q48</f>
        <v>10.923311710357666</v>
      </c>
      <c r="AA80" t="str">
        <f>Analise_Instancias!P48</f>
        <v>vrp_50</v>
      </c>
    </row>
    <row r="81" spans="18:27">
      <c r="R81" t="s">
        <v>1212</v>
      </c>
      <c r="S81" t="s">
        <v>64</v>
      </c>
      <c r="T81">
        <v>66</v>
      </c>
      <c r="U81">
        <v>49</v>
      </c>
      <c r="V81">
        <f>Analise_Instancias!O49</f>
        <v>2.9063380041787878E-2</v>
      </c>
      <c r="W81">
        <f>Analise_Instancias!F49</f>
        <v>4.6588394993035021E-2</v>
      </c>
      <c r="X81">
        <f>Analise_Instancias!I49</f>
        <v>2.9063380041787878E-2</v>
      </c>
      <c r="Y81">
        <f>Analise_Instancias!L49</f>
        <v>6.7414276359617276E-2</v>
      </c>
      <c r="Z81">
        <f>Analise_Instancias!Q49</f>
        <v>15.286508083343504</v>
      </c>
      <c r="AA81" t="str">
        <f>Analise_Instancias!P49</f>
        <v>vrp_50</v>
      </c>
    </row>
    <row r="82" spans="18:27">
      <c r="R82" t="s">
        <v>1212</v>
      </c>
      <c r="S82" t="s">
        <v>65</v>
      </c>
      <c r="T82">
        <v>67</v>
      </c>
      <c r="U82">
        <v>50</v>
      </c>
      <c r="V82">
        <f>Analise_Instancias!O50</f>
        <v>2.6211240756436993E-2</v>
      </c>
      <c r="W82">
        <f>Analise_Instancias!F50</f>
        <v>5.3853736733490587E-2</v>
      </c>
      <c r="X82">
        <f>Analise_Instancias!I50</f>
        <v>2.6211240756436993E-2</v>
      </c>
      <c r="Y82">
        <f>Analise_Instancias!L50</f>
        <v>2.8644777693838108E-2</v>
      </c>
      <c r="Z82">
        <f>Analise_Instancias!Q50</f>
        <v>10.334748506546021</v>
      </c>
      <c r="AA82" t="str">
        <f>Analise_Instancias!P50</f>
        <v>vrp_50</v>
      </c>
    </row>
    <row r="83" spans="18:27">
      <c r="R83" t="s">
        <v>1212</v>
      </c>
      <c r="S83" t="s">
        <v>41</v>
      </c>
      <c r="T83">
        <v>68</v>
      </c>
      <c r="U83">
        <v>27</v>
      </c>
      <c r="V83">
        <f>Analise_Instancias!O27</f>
        <v>2.2580374716889562E-2</v>
      </c>
      <c r="W83">
        <f>Analise_Instancias!F27</f>
        <v>4.6530485770329699E-2</v>
      </c>
      <c r="X83">
        <f>Analise_Instancias!I27</f>
        <v>2.2580374716889562E-2</v>
      </c>
      <c r="Y83">
        <f>Analise_Instancias!L27</f>
        <v>3.0441850295244155E-2</v>
      </c>
      <c r="Z83">
        <f>Analise_Instancias!Q27</f>
        <v>13.770147562026978</v>
      </c>
      <c r="AA83" t="str">
        <f>Analise_Instancias!P27</f>
        <v>vrp_50</v>
      </c>
    </row>
    <row r="84" spans="18:27">
      <c r="R84" t="s">
        <v>1212</v>
      </c>
      <c r="S84" t="s">
        <v>143</v>
      </c>
      <c r="T84">
        <v>69</v>
      </c>
      <c r="U84">
        <v>124</v>
      </c>
      <c r="V84">
        <f>Analise_Instancias!O92</f>
        <v>2.9891285094845843E-2</v>
      </c>
      <c r="W84">
        <f>Analise_Instancias!F92</f>
        <v>4.5529643454315316E-2</v>
      </c>
      <c r="X84">
        <f>Analise_Instancias!I92</f>
        <v>3.382779436215233E-2</v>
      </c>
      <c r="Y84">
        <f>Analise_Instancias!L92</f>
        <v>2.9891285094845843E-2</v>
      </c>
      <c r="Z84">
        <f>Analise_Instancias!Q92</f>
        <v>10.169124603271484</v>
      </c>
      <c r="AA84" t="str">
        <f>Analise_Instancias!P92</f>
        <v>vrp_100</v>
      </c>
    </row>
    <row r="85" spans="18:27">
      <c r="R85" t="s">
        <v>1212</v>
      </c>
      <c r="S85" t="s">
        <v>82</v>
      </c>
      <c r="T85">
        <v>71</v>
      </c>
      <c r="U85">
        <v>65</v>
      </c>
      <c r="V85">
        <f>Analise_Instancias!O65</f>
        <v>7.4113548053468037E-2</v>
      </c>
      <c r="W85">
        <f>Analise_Instancias!F65</f>
        <v>9.3768542325949333E-2</v>
      </c>
      <c r="X85">
        <f>Analise_Instancias!I65</f>
        <v>8.5054164194356519E-2</v>
      </c>
      <c r="Y85">
        <f>Analise_Instancias!L65</f>
        <v>7.4113548053468037E-2</v>
      </c>
      <c r="Z85">
        <f>Analise_Instancias!Q65</f>
        <v>14.402122497558594</v>
      </c>
      <c r="AA85" t="str">
        <f>Analise_Instancias!P65</f>
        <v>vrp_100</v>
      </c>
    </row>
    <row r="86" spans="18:27">
      <c r="R86" t="s">
        <v>1212</v>
      </c>
      <c r="S86" t="s">
        <v>75</v>
      </c>
      <c r="T86">
        <v>75</v>
      </c>
      <c r="U86">
        <v>59</v>
      </c>
      <c r="V86">
        <f>Analise_Instancias!O59</f>
        <v>3.2025220020707845E-2</v>
      </c>
      <c r="W86">
        <f>Analise_Instancias!F59</f>
        <v>5.5359769154744054E-2</v>
      </c>
      <c r="X86">
        <f>Analise_Instancias!I59</f>
        <v>3.207470997270323E-2</v>
      </c>
      <c r="Y86">
        <f>Analise_Instancias!L59</f>
        <v>3.2025220020707845E-2</v>
      </c>
      <c r="Z86">
        <f>Analise_Instancias!Q59</f>
        <v>32.266649723052979</v>
      </c>
      <c r="AA86" t="str">
        <f>Analise_Instancias!P59</f>
        <v>vrp_100</v>
      </c>
    </row>
    <row r="87" spans="18:27">
      <c r="R87" t="s">
        <v>1212</v>
      </c>
      <c r="S87" t="s">
        <v>76</v>
      </c>
      <c r="T87">
        <v>75</v>
      </c>
      <c r="U87">
        <v>60</v>
      </c>
      <c r="V87">
        <f>Analise_Instancias!O60</f>
        <v>3.3255731207149752E-2</v>
      </c>
      <c r="W87">
        <f>Analise_Instancias!F60</f>
        <v>3.3255731207149752E-2</v>
      </c>
      <c r="X87">
        <f>Analise_Instancias!I60</f>
        <v>3.5732048849167475E-2</v>
      </c>
      <c r="Y87">
        <f>Analise_Instancias!L60</f>
        <v>3.4740660963516135E-2</v>
      </c>
      <c r="Z87">
        <f>Analise_Instancias!Q60</f>
        <v>32.266649723052979</v>
      </c>
      <c r="AA87" t="str">
        <f>Analise_Instancias!P60</f>
        <v>vrp_20</v>
      </c>
    </row>
    <row r="88" spans="18:27">
      <c r="R88" t="s">
        <v>1212</v>
      </c>
      <c r="S88" t="s">
        <v>77</v>
      </c>
      <c r="T88">
        <v>75</v>
      </c>
      <c r="U88">
        <v>61</v>
      </c>
      <c r="V88">
        <f>Analise_Instancias!O61</f>
        <v>3.8753475961097905E-2</v>
      </c>
      <c r="W88">
        <f>Analise_Instancias!F61</f>
        <v>7.0311247078904016E-2</v>
      </c>
      <c r="X88">
        <f>Analise_Instancias!I61</f>
        <v>3.8753475961097905E-2</v>
      </c>
      <c r="Y88">
        <f>Analise_Instancias!L61</f>
        <v>5.5941853005865072E-2</v>
      </c>
      <c r="Z88">
        <f>Analise_Instancias!Q61</f>
        <v>32.266649723052979</v>
      </c>
      <c r="AA88" t="str">
        <f>Analise_Instancias!P61</f>
        <v>vrp_50</v>
      </c>
    </row>
    <row r="89" spans="18:27">
      <c r="R89" t="s">
        <v>1212</v>
      </c>
      <c r="S89" t="s">
        <v>78</v>
      </c>
      <c r="T89">
        <v>75</v>
      </c>
      <c r="U89">
        <v>62</v>
      </c>
      <c r="V89">
        <f>Analise_Instancias!O62</f>
        <v>1.9138465933248305E-2</v>
      </c>
      <c r="W89">
        <f>Analise_Instancias!F62</f>
        <v>6.2604465614370719E-2</v>
      </c>
      <c r="X89">
        <f>Analise_Instancias!I62</f>
        <v>3.0580855389030548E-2</v>
      </c>
      <c r="Y89">
        <f>Analise_Instancias!L62</f>
        <v>1.9138465933248305E-2</v>
      </c>
      <c r="Z89">
        <f>Analise_Instancias!Q62</f>
        <v>32.266649723052979</v>
      </c>
      <c r="AA89" t="str">
        <f>Analise_Instancias!P62</f>
        <v>vrp_100</v>
      </c>
    </row>
    <row r="90" spans="18:27">
      <c r="R90" t="s">
        <v>1212</v>
      </c>
      <c r="S90" t="s">
        <v>144</v>
      </c>
      <c r="T90">
        <v>75</v>
      </c>
      <c r="U90">
        <v>125</v>
      </c>
      <c r="V90">
        <f>Analise_Instancias!O93</f>
        <v>7.8291946076623153E-2</v>
      </c>
      <c r="W90">
        <f>Analise_Instancias!F93</f>
        <v>7.8451378550537632E-2</v>
      </c>
      <c r="X90">
        <f>Analise_Instancias!I93</f>
        <v>7.8291946076623153E-2</v>
      </c>
      <c r="Y90">
        <f>Analise_Instancias!L93</f>
        <v>8.5313356344856706E-2</v>
      </c>
      <c r="Z90">
        <f>Analise_Instancias!Q93</f>
        <v>10.272475004196167</v>
      </c>
      <c r="AA90" t="str">
        <f>Analise_Instancias!P93</f>
        <v>vrp_50</v>
      </c>
    </row>
    <row r="91" spans="18:27">
      <c r="R91" t="s">
        <v>1212</v>
      </c>
      <c r="S91" t="s">
        <v>145</v>
      </c>
      <c r="T91">
        <v>75</v>
      </c>
      <c r="U91">
        <v>126</v>
      </c>
      <c r="V91">
        <f>Analise_Instancias!O94</f>
        <v>2.9842394961124397E-2</v>
      </c>
      <c r="W91">
        <f>Analise_Instancias!F94</f>
        <v>3.9465896630781483E-2</v>
      </c>
      <c r="X91">
        <f>Analise_Instancias!I94</f>
        <v>2.9842394961124397E-2</v>
      </c>
      <c r="Y91">
        <f>Analise_Instancias!L94</f>
        <v>6.2131355443829639E-2</v>
      </c>
      <c r="Z91">
        <f>Analise_Instancias!Q94</f>
        <v>10.272475004196167</v>
      </c>
      <c r="AA91" t="str">
        <f>Analise_Instancias!P94</f>
        <v>vrp_50</v>
      </c>
    </row>
    <row r="92" spans="18:27">
      <c r="R92" t="s">
        <v>1212</v>
      </c>
      <c r="S92" t="s">
        <v>156</v>
      </c>
      <c r="T92">
        <v>75</v>
      </c>
      <c r="U92">
        <v>136</v>
      </c>
      <c r="V92">
        <f>Analise_Instancias!O104</f>
        <v>4.3996851220139632E-2</v>
      </c>
      <c r="W92">
        <f>Analise_Instancias!F104</f>
        <v>0.12284412344904716</v>
      </c>
      <c r="X92">
        <f>Analise_Instancias!I104</f>
        <v>4.3996851220139632E-2</v>
      </c>
      <c r="Y92">
        <f>Analise_Instancias!L104</f>
        <v>5.9856125809847782E-2</v>
      </c>
      <c r="Z92">
        <f>Analise_Instancias!Q104</f>
        <v>13.260036945343018</v>
      </c>
      <c r="AA92" t="str">
        <f>Analise_Instancias!P104</f>
        <v>vrp_50</v>
      </c>
    </row>
    <row r="93" spans="18:27">
      <c r="R93" t="s">
        <v>1212</v>
      </c>
      <c r="S93" t="s">
        <v>157</v>
      </c>
      <c r="T93">
        <v>75</v>
      </c>
      <c r="U93">
        <v>137</v>
      </c>
      <c r="V93">
        <f>Analise_Instancias!O105</f>
        <v>6.7534396770788874E-2</v>
      </c>
      <c r="W93">
        <f>Analise_Instancias!F105</f>
        <v>9.4199636212275673E-2</v>
      </c>
      <c r="X93">
        <f>Analise_Instancias!I105</f>
        <v>9.1682189078048149E-2</v>
      </c>
      <c r="Y93">
        <f>Analise_Instancias!L105</f>
        <v>6.7534396770788874E-2</v>
      </c>
      <c r="Z93">
        <f>Analise_Instancias!Q105</f>
        <v>13.260036945343018</v>
      </c>
      <c r="AA93" t="str">
        <f>Analise_Instancias!P105</f>
        <v>vrp_100</v>
      </c>
    </row>
    <row r="94" spans="18:27">
      <c r="R94" t="s">
        <v>1212</v>
      </c>
      <c r="S94" t="s">
        <v>158</v>
      </c>
      <c r="T94">
        <v>75</v>
      </c>
      <c r="U94">
        <v>138</v>
      </c>
      <c r="V94">
        <f>Analise_Instancias!O106</f>
        <v>6.803301956898089E-2</v>
      </c>
      <c r="W94">
        <f>Analise_Instancias!F106</f>
        <v>0.10895225988276613</v>
      </c>
      <c r="X94">
        <f>Analise_Instancias!I106</f>
        <v>6.803301956898089E-2</v>
      </c>
      <c r="Y94">
        <f>Analise_Instancias!L106</f>
        <v>7.2996921680990035E-2</v>
      </c>
      <c r="Z94">
        <f>Analise_Instancias!Q106</f>
        <v>13.260036945343018</v>
      </c>
      <c r="AA94" t="str">
        <f>Analise_Instancias!P106</f>
        <v>vrp_50</v>
      </c>
    </row>
    <row r="95" spans="18:27">
      <c r="R95" t="s">
        <v>1212</v>
      </c>
      <c r="S95" t="s">
        <v>159</v>
      </c>
      <c r="T95">
        <v>75</v>
      </c>
      <c r="U95">
        <v>139</v>
      </c>
      <c r="V95">
        <f>Analise_Instancias!O107</f>
        <v>6.1838101440399251E-2</v>
      </c>
      <c r="W95">
        <f>Analise_Instancias!F107</f>
        <v>8.8095439784553475E-2</v>
      </c>
      <c r="X95">
        <f>Analise_Instancias!I107</f>
        <v>8.1662927403976626E-2</v>
      </c>
      <c r="Y95">
        <f>Analise_Instancias!L107</f>
        <v>6.1838101440399251E-2</v>
      </c>
      <c r="Z95">
        <f>Analise_Instancias!Q107</f>
        <v>13.260036945343018</v>
      </c>
      <c r="AA95" t="str">
        <f>Analise_Instancias!P107</f>
        <v>vrp_100</v>
      </c>
    </row>
    <row r="96" spans="18:27">
      <c r="R96" t="s">
        <v>1212</v>
      </c>
      <c r="S96" t="s">
        <v>66</v>
      </c>
      <c r="T96">
        <v>77</v>
      </c>
      <c r="U96">
        <v>51</v>
      </c>
      <c r="V96">
        <f>Analise_Instancias!O51</f>
        <v>3.7770014332514368E-2</v>
      </c>
      <c r="W96">
        <f>Analise_Instancias!F51</f>
        <v>8.5485010045556864E-2</v>
      </c>
      <c r="X96">
        <f>Analise_Instancias!I51</f>
        <v>3.7883686687397278E-2</v>
      </c>
      <c r="Y96">
        <f>Analise_Instancias!L51</f>
        <v>3.7770014332514368E-2</v>
      </c>
      <c r="Z96">
        <f>Analise_Instancias!Q51</f>
        <v>10.675469875335693</v>
      </c>
      <c r="AA96" t="str">
        <f>Analise_Instancias!P51</f>
        <v>vrp_100</v>
      </c>
    </row>
    <row r="97" spans="18:27">
      <c r="R97" t="s">
        <v>1212</v>
      </c>
      <c r="S97" t="s">
        <v>42</v>
      </c>
      <c r="T97">
        <v>79</v>
      </c>
      <c r="U97">
        <v>28</v>
      </c>
      <c r="V97">
        <f>Analise_Instancias!O28</f>
        <v>3.0020918821787923E-2</v>
      </c>
      <c r="W97">
        <f>Analise_Instancias!F28</f>
        <v>6.0689163424383352E-2</v>
      </c>
      <c r="X97">
        <f>Analise_Instancias!I28</f>
        <v>4.065197594654002E-2</v>
      </c>
      <c r="Y97">
        <f>Analise_Instancias!L28</f>
        <v>3.0020918821787923E-2</v>
      </c>
      <c r="Z97">
        <f>Analise_Instancias!Q28</f>
        <v>9.7950787544250488</v>
      </c>
      <c r="AA97" t="str">
        <f>Analise_Instancias!P28</f>
        <v>vrp_100</v>
      </c>
    </row>
    <row r="98" spans="18:27">
      <c r="R98" t="s">
        <v>1212</v>
      </c>
      <c r="S98" t="s">
        <v>68</v>
      </c>
      <c r="T98">
        <v>100</v>
      </c>
      <c r="U98">
        <v>52</v>
      </c>
      <c r="V98">
        <f>Analise_Instancias!O52</f>
        <v>4.5604530627636253E-2</v>
      </c>
      <c r="W98">
        <f>Analise_Instancias!F52</f>
        <v>9.9123610663659711E-2</v>
      </c>
      <c r="X98">
        <f>Analise_Instancias!I52</f>
        <v>6.7711498542935455E-2</v>
      </c>
      <c r="Y98">
        <f>Analise_Instancias!L52</f>
        <v>4.5604530627636253E-2</v>
      </c>
      <c r="Z98">
        <f>Analise_Instancias!Q52</f>
        <v>20.368714332580566</v>
      </c>
      <c r="AA98" t="str">
        <f>Analise_Instancias!P52</f>
        <v>vrp_100</v>
      </c>
    </row>
    <row r="99" spans="18:27">
      <c r="R99" t="s">
        <v>1212</v>
      </c>
      <c r="S99" t="s">
        <v>69</v>
      </c>
      <c r="T99">
        <v>100</v>
      </c>
      <c r="U99">
        <v>53</v>
      </c>
      <c r="V99">
        <f>Analise_Instancias!O53</f>
        <v>3.8253690567484622E-2</v>
      </c>
      <c r="W99">
        <f>Analise_Instancias!F53</f>
        <v>7.7752947661043015E-2</v>
      </c>
      <c r="X99">
        <f>Analise_Instancias!I53</f>
        <v>3.8253690567484622E-2</v>
      </c>
      <c r="Y99">
        <f>Analise_Instancias!L53</f>
        <v>5.2299864599309798E-2</v>
      </c>
      <c r="Z99">
        <f>Analise_Instancias!Q53</f>
        <v>20.368714332580566</v>
      </c>
      <c r="AA99" t="str">
        <f>Analise_Instancias!P53</f>
        <v>vrp_50</v>
      </c>
    </row>
    <row r="100" spans="18:27">
      <c r="R100" t="s">
        <v>1212</v>
      </c>
      <c r="S100" t="s">
        <v>116</v>
      </c>
      <c r="T100">
        <v>100</v>
      </c>
      <c r="U100">
        <v>98</v>
      </c>
      <c r="V100">
        <f>Analise_Instancias!O66</f>
        <v>1.4147130454458923E-2</v>
      </c>
      <c r="W100">
        <f>Analise_Instancias!F66</f>
        <v>0.22126777462842928</v>
      </c>
      <c r="X100">
        <f>Analise_Instancias!I66</f>
        <v>1.5700772913490812E-2</v>
      </c>
      <c r="Y100">
        <f>Analise_Instancias!L66</f>
        <v>1.4147130454458923E-2</v>
      </c>
      <c r="Z100">
        <f>Analise_Instancias!Q66</f>
        <v>8.0180914402008057</v>
      </c>
      <c r="AA100" t="str">
        <f>Analise_Instancias!P66</f>
        <v>vrp_100</v>
      </c>
    </row>
    <row r="101" spans="18:27">
      <c r="R101" t="s">
        <v>1212</v>
      </c>
      <c r="S101" t="s">
        <v>122</v>
      </c>
      <c r="T101">
        <v>100</v>
      </c>
      <c r="U101">
        <v>103</v>
      </c>
      <c r="V101">
        <f>Analise_Instancias!O71</f>
        <v>6.6753191394777867E-2</v>
      </c>
      <c r="W101">
        <f>Analise_Instancias!F71</f>
        <v>9.6613185171163796E-2</v>
      </c>
      <c r="X101">
        <f>Analise_Instancias!I71</f>
        <v>6.6753191394777867E-2</v>
      </c>
      <c r="Y101">
        <f>Analise_Instancias!L71</f>
        <v>9.4893445702551427E-2</v>
      </c>
      <c r="Z101">
        <f>Analise_Instancias!Q71</f>
        <v>8.4147636890411377</v>
      </c>
      <c r="AA101" t="str">
        <f>Analise_Instancias!P71</f>
        <v>vrp_50</v>
      </c>
    </row>
    <row r="102" spans="18:27">
      <c r="R102" t="s">
        <v>1212</v>
      </c>
      <c r="S102" t="s">
        <v>147</v>
      </c>
      <c r="T102">
        <v>100</v>
      </c>
      <c r="U102">
        <v>127</v>
      </c>
      <c r="V102">
        <f>Analise_Instancias!O95</f>
        <v>6.7959098902252935E-2</v>
      </c>
      <c r="W102">
        <f>Analise_Instancias!F95</f>
        <v>9.4637514451291871E-2</v>
      </c>
      <c r="X102">
        <f>Analise_Instancias!I95</f>
        <v>6.7959098902252935E-2</v>
      </c>
      <c r="Y102">
        <f>Analise_Instancias!L95</f>
        <v>8.2399507262998828E-2</v>
      </c>
      <c r="Z102">
        <f>Analise_Instancias!Q95</f>
        <v>16.942796230316162</v>
      </c>
      <c r="AA102" t="str">
        <f>Analise_Instancias!P95</f>
        <v>vrp_50</v>
      </c>
    </row>
    <row r="103" spans="18:27">
      <c r="R103" t="s">
        <v>1212</v>
      </c>
      <c r="S103" t="s">
        <v>148</v>
      </c>
      <c r="T103">
        <v>100</v>
      </c>
      <c r="U103">
        <v>128</v>
      </c>
      <c r="V103">
        <f>Analise_Instancias!O96</f>
        <v>4.0010494057361123E-2</v>
      </c>
      <c r="W103">
        <f>Analise_Instancias!F96</f>
        <v>0.14500984063289346</v>
      </c>
      <c r="X103">
        <f>Analise_Instancias!I96</f>
        <v>4.0010494057361123E-2</v>
      </c>
      <c r="Y103">
        <f>Analise_Instancias!L96</f>
        <v>7.4873558841628274E-2</v>
      </c>
      <c r="Z103">
        <f>Analise_Instancias!Q96</f>
        <v>16.942796230316162</v>
      </c>
      <c r="AA103" t="str">
        <f>Analise_Instancias!P96</f>
        <v>vrp_50</v>
      </c>
    </row>
    <row r="104" spans="18:27">
      <c r="R104" t="s">
        <v>1212</v>
      </c>
      <c r="S104" t="s">
        <v>149</v>
      </c>
      <c r="T104">
        <v>100</v>
      </c>
      <c r="U104">
        <v>129</v>
      </c>
      <c r="V104">
        <f>Analise_Instancias!O97</f>
        <v>7.1103448261493396E-2</v>
      </c>
      <c r="W104">
        <f>Analise_Instancias!F97</f>
        <v>0.1000909372611023</v>
      </c>
      <c r="X104">
        <f>Analise_Instancias!I97</f>
        <v>8.9348194185792984E-2</v>
      </c>
      <c r="Y104">
        <f>Analise_Instancias!L97</f>
        <v>7.1103448261493396E-2</v>
      </c>
      <c r="Z104">
        <f>Analise_Instancias!Q97</f>
        <v>16.942796230316162</v>
      </c>
      <c r="AA104" t="str">
        <f>Analise_Instancias!P97</f>
        <v>vrp_100</v>
      </c>
    </row>
    <row r="105" spans="18:27">
      <c r="R105" t="s">
        <v>1212</v>
      </c>
      <c r="S105" t="s">
        <v>150</v>
      </c>
      <c r="T105">
        <v>100</v>
      </c>
      <c r="U105">
        <v>130</v>
      </c>
      <c r="V105">
        <f>Analise_Instancias!O98</f>
        <v>6.299950536058363E-2</v>
      </c>
      <c r="W105">
        <f>Analise_Instancias!F98</f>
        <v>0.12837840476427753</v>
      </c>
      <c r="X105">
        <f>Analise_Instancias!I98</f>
        <v>6.299950536058363E-2</v>
      </c>
      <c r="Y105">
        <f>Analise_Instancias!L98</f>
        <v>0.11136976821127265</v>
      </c>
      <c r="Z105">
        <f>Analise_Instancias!Q98</f>
        <v>16.942796230316162</v>
      </c>
      <c r="AA105" t="str">
        <f>Analise_Instancias!P98</f>
        <v>vrp_50</v>
      </c>
    </row>
    <row r="106" spans="18:27">
      <c r="R106" t="s">
        <v>1212</v>
      </c>
      <c r="S106" t="s">
        <v>162</v>
      </c>
      <c r="T106">
        <v>100</v>
      </c>
      <c r="U106">
        <v>141</v>
      </c>
      <c r="V106">
        <f>Analise_Instancias!O109</f>
        <v>5.1820778854517746E-2</v>
      </c>
      <c r="W106" t="str">
        <f>Analise_Instancias!F109</f>
        <v/>
      </c>
      <c r="X106">
        <f>Analise_Instancias!I109</f>
        <v>5.9442220742271124E-2</v>
      </c>
      <c r="Y106">
        <f>Analise_Instancias!L109</f>
        <v>5.1820778854517746E-2</v>
      </c>
      <c r="Z106">
        <f>Analise_Instancias!Q109</f>
        <v>5.6703145503997803</v>
      </c>
      <c r="AA106" t="str">
        <f>Analise_Instancias!P109</f>
        <v>vrp_100</v>
      </c>
    </row>
    <row r="107" spans="18:27">
      <c r="R107" t="s">
        <v>279</v>
      </c>
      <c r="S107" t="s">
        <v>163</v>
      </c>
      <c r="T107">
        <v>105</v>
      </c>
      <c r="U107">
        <v>142</v>
      </c>
      <c r="V107">
        <f>Analise_Instancias!O110</f>
        <v>4.671704299749635E-2</v>
      </c>
      <c r="W107">
        <f>Analise_Instancias!F110</f>
        <v>7.1415161382861747E-2</v>
      </c>
      <c r="X107">
        <f>Analise_Instancias!I110</f>
        <v>5.476692303315378E-2</v>
      </c>
      <c r="Y107">
        <f>Analise_Instancias!L110</f>
        <v>4.671704299749635E-2</v>
      </c>
      <c r="Z107">
        <f>Analise_Instancias!Q110</f>
        <v>7.3362345695495614</v>
      </c>
      <c r="AA107" t="str">
        <f>Analise_Instancias!P110</f>
        <v>vrp_100</v>
      </c>
    </row>
    <row r="108" spans="18:27">
      <c r="R108" t="s">
        <v>279</v>
      </c>
      <c r="S108" t="s">
        <v>164</v>
      </c>
      <c r="T108">
        <v>109</v>
      </c>
      <c r="U108">
        <v>143</v>
      </c>
      <c r="V108">
        <f>Analise_Instancias!O111</f>
        <v>3.0600110734920749E-2</v>
      </c>
      <c r="W108">
        <f>Analise_Instancias!F111</f>
        <v>7.5660991458486482E-2</v>
      </c>
      <c r="X108">
        <f>Analise_Instancias!I111</f>
        <v>3.0600110734920749E-2</v>
      </c>
      <c r="Y108">
        <f>Analise_Instancias!L111</f>
        <v>6.7156398203192857E-2</v>
      </c>
      <c r="Z108">
        <f>Analise_Instancias!Q111</f>
        <v>7.694338321685791</v>
      </c>
      <c r="AA108" t="str">
        <f>Analise_Instancias!P111</f>
        <v>vrp_50</v>
      </c>
    </row>
    <row r="109" spans="18:27">
      <c r="R109" t="s">
        <v>279</v>
      </c>
      <c r="S109" t="s">
        <v>165</v>
      </c>
      <c r="T109">
        <v>114</v>
      </c>
      <c r="U109">
        <v>144</v>
      </c>
      <c r="V109">
        <f>Analise_Instancias!O112</f>
        <v>3.9238705675845198E-2</v>
      </c>
      <c r="W109">
        <f>Analise_Instancias!F112</f>
        <v>0.16883981892798317</v>
      </c>
      <c r="X109">
        <f>Analise_Instancias!I112</f>
        <v>7.2335341158703992E-2</v>
      </c>
      <c r="Y109">
        <f>Analise_Instancias!L112</f>
        <v>3.9238705675845198E-2</v>
      </c>
      <c r="Z109">
        <f>Analise_Instancias!Q112</f>
        <v>8.2404594421386719</v>
      </c>
      <c r="AA109" t="str">
        <f>Analise_Instancias!P112</f>
        <v>vrp_100</v>
      </c>
    </row>
    <row r="110" spans="18:27">
      <c r="R110" t="s">
        <v>279</v>
      </c>
      <c r="S110" t="s">
        <v>166</v>
      </c>
      <c r="T110">
        <v>119</v>
      </c>
      <c r="U110">
        <v>145</v>
      </c>
      <c r="V110">
        <f>Analise_Instancias!O113</f>
        <v>5.4362565162766385E-2</v>
      </c>
      <c r="W110">
        <f>Analise_Instancias!F113</f>
        <v>6.1687443158378263E-2</v>
      </c>
      <c r="X110">
        <f>Analise_Instancias!I113</f>
        <v>5.4362565162766385E-2</v>
      </c>
      <c r="Y110">
        <f>Analise_Instancias!L113</f>
        <v>6.4087902930918039E-2</v>
      </c>
      <c r="Z110">
        <f>Analise_Instancias!Q113</f>
        <v>9.1661818027496338</v>
      </c>
      <c r="AA110" t="str">
        <f>Analise_Instancias!P113</f>
        <v>vrp_50</v>
      </c>
    </row>
    <row r="111" spans="18:27">
      <c r="R111" t="s">
        <v>279</v>
      </c>
      <c r="S111" t="s">
        <v>117</v>
      </c>
      <c r="T111">
        <v>120</v>
      </c>
      <c r="U111">
        <v>99</v>
      </c>
      <c r="V111">
        <f>Analise_Instancias!O67</f>
        <v>4.2398537611822995E-2</v>
      </c>
      <c r="W111">
        <f>Analise_Instancias!F67</f>
        <v>0.15459768269463248</v>
      </c>
      <c r="X111">
        <f>Analise_Instancias!I67</f>
        <v>4.2398537611822995E-2</v>
      </c>
      <c r="Y111">
        <f>Analise_Instancias!L67</f>
        <v>5.1808340637089056E-2</v>
      </c>
      <c r="Z111">
        <f>Analise_Instancias!Q67</f>
        <v>7.9028398990631104</v>
      </c>
      <c r="AA111" t="str">
        <f>Analise_Instancias!P67</f>
        <v>vrp_50</v>
      </c>
    </row>
    <row r="112" spans="18:27">
      <c r="R112" t="s">
        <v>279</v>
      </c>
      <c r="S112" t="s">
        <v>167</v>
      </c>
      <c r="T112">
        <v>124</v>
      </c>
      <c r="U112">
        <v>146</v>
      </c>
      <c r="V112">
        <f>Analise_Instancias!O114</f>
        <v>5.7359046120744051E-2</v>
      </c>
      <c r="W112">
        <f>Analise_Instancias!F114</f>
        <v>5.7359046120744051E-2</v>
      </c>
      <c r="X112">
        <f>Analise_Instancias!I114</f>
        <v>6.7911878364752765E-2</v>
      </c>
      <c r="Y112">
        <f>Analise_Instancias!L114</f>
        <v>7.6608610615963579E-2</v>
      </c>
      <c r="Z112">
        <f>Analise_Instancias!Q114</f>
        <v>8.8394739627838135</v>
      </c>
      <c r="AA112" t="str">
        <f>Analise_Instancias!P114</f>
        <v>vrp_20</v>
      </c>
    </row>
    <row r="113" spans="18:27">
      <c r="R113" t="s">
        <v>279</v>
      </c>
      <c r="S113" t="s">
        <v>168</v>
      </c>
      <c r="T113">
        <v>128</v>
      </c>
      <c r="U113">
        <v>147</v>
      </c>
      <c r="V113">
        <f>Analise_Instancias!O115</f>
        <v>4.2683879902384314E-2</v>
      </c>
      <c r="W113">
        <f>Analise_Instancias!F115</f>
        <v>9.8241242657221894E-2</v>
      </c>
      <c r="X113">
        <f>Analise_Instancias!I115</f>
        <v>7.0851195361091968E-2</v>
      </c>
      <c r="Y113">
        <f>Analise_Instancias!L115</f>
        <v>4.2683879902384314E-2</v>
      </c>
      <c r="Z113">
        <f>Analise_Instancias!Q115</f>
        <v>8.5046582221984863</v>
      </c>
      <c r="AA113" t="str">
        <f>Analise_Instancias!P115</f>
        <v>vrp_100</v>
      </c>
    </row>
    <row r="114" spans="18:27">
      <c r="R114" t="s">
        <v>279</v>
      </c>
      <c r="S114" t="s">
        <v>169</v>
      </c>
      <c r="T114">
        <v>133</v>
      </c>
      <c r="U114">
        <v>148</v>
      </c>
      <c r="V114">
        <f>Analise_Instancias!O116</f>
        <v>0.13649616961341149</v>
      </c>
      <c r="W114">
        <f>Analise_Instancias!F116</f>
        <v>0.16732292692492678</v>
      </c>
      <c r="X114">
        <f>Analise_Instancias!I116</f>
        <v>0.13649616961341149</v>
      </c>
      <c r="Y114">
        <f>Analise_Instancias!L116</f>
        <v>0.21197212305904167</v>
      </c>
      <c r="Z114">
        <f>Analise_Instancias!Q116</f>
        <v>8.3587310314178467</v>
      </c>
      <c r="AA114" t="str">
        <f>Analise_Instancias!P116</f>
        <v>vrp_50</v>
      </c>
    </row>
    <row r="115" spans="18:27">
      <c r="R115" t="s">
        <v>279</v>
      </c>
      <c r="S115" t="s">
        <v>80</v>
      </c>
      <c r="T115">
        <v>134</v>
      </c>
      <c r="U115">
        <v>63</v>
      </c>
      <c r="V115">
        <f>Analise_Instancias!O63</f>
        <v>0.14188247129141573</v>
      </c>
      <c r="W115">
        <f>Analise_Instancias!F63</f>
        <v>0.7468403538820465</v>
      </c>
      <c r="X115">
        <f>Analise_Instancias!I63</f>
        <v>0.14188247129141573</v>
      </c>
      <c r="Y115">
        <f>Analise_Instancias!L63</f>
        <v>0.28816850829657925</v>
      </c>
      <c r="Z115">
        <f>Analise_Instancias!Q63</f>
        <v>33.907053709030151</v>
      </c>
      <c r="AA115" t="str">
        <f>Analise_Instancias!P63</f>
        <v>vrp_50</v>
      </c>
    </row>
    <row r="116" spans="18:27">
      <c r="R116" t="s">
        <v>279</v>
      </c>
      <c r="S116" t="s">
        <v>170</v>
      </c>
      <c r="T116">
        <v>138</v>
      </c>
      <c r="U116">
        <v>149</v>
      </c>
      <c r="V116">
        <f>Analise_Instancias!O117</f>
        <v>2.3559803853936634E-2</v>
      </c>
      <c r="W116">
        <f>Analise_Instancias!F117</f>
        <v>0.12626442926784409</v>
      </c>
      <c r="X116">
        <f>Analise_Instancias!I117</f>
        <v>4.9691869021339263E-2</v>
      </c>
      <c r="Y116">
        <f>Analise_Instancias!L117</f>
        <v>2.3559803853936634E-2</v>
      </c>
      <c r="Z116">
        <f>Analise_Instancias!Q117</f>
        <v>8.2392976284027082</v>
      </c>
      <c r="AA116" t="str">
        <f>Analise_Instancias!P117</f>
        <v>vrp_100</v>
      </c>
    </row>
    <row r="117" spans="18:27">
      <c r="R117" t="s">
        <v>279</v>
      </c>
      <c r="S117" t="s">
        <v>171</v>
      </c>
      <c r="T117">
        <v>142</v>
      </c>
      <c r="U117">
        <v>150</v>
      </c>
      <c r="V117">
        <f>Analise_Instancias!O118</f>
        <v>6.7580737460191109E-2</v>
      </c>
      <c r="W117">
        <f>Analise_Instancias!F118</f>
        <v>0.10470143312101921</v>
      </c>
      <c r="X117">
        <f>Analise_Instancias!I118</f>
        <v>8.1302000398089103E-2</v>
      </c>
      <c r="Y117">
        <f>Analise_Instancias!L118</f>
        <v>6.7580737460191109E-2</v>
      </c>
      <c r="Z117">
        <f>Analise_Instancias!Q118</f>
        <v>8.3479523658752441</v>
      </c>
      <c r="AA117" t="str">
        <f>Analise_Instancias!P118</f>
        <v>vrp_100</v>
      </c>
    </row>
    <row r="118" spans="18:27">
      <c r="R118" t="s">
        <v>279</v>
      </c>
      <c r="S118" t="s">
        <v>172</v>
      </c>
      <c r="T118">
        <v>147</v>
      </c>
      <c r="U118">
        <v>151</v>
      </c>
      <c r="V118">
        <f>Analise_Instancias!O119</f>
        <v>6.4084868693610852E-2</v>
      </c>
      <c r="W118">
        <f>Analise_Instancias!F119</f>
        <v>9.0078944945682249E-2</v>
      </c>
      <c r="X118">
        <f>Analise_Instancias!I119</f>
        <v>7.9479708502117496E-2</v>
      </c>
      <c r="Y118">
        <f>Analise_Instancias!L119</f>
        <v>6.4084868693610852E-2</v>
      </c>
      <c r="Z118">
        <f>Analise_Instancias!Q119</f>
        <v>9.4408457279205322</v>
      </c>
      <c r="AA118" t="str">
        <f>Analise_Instancias!P119</f>
        <v>vrp_100</v>
      </c>
    </row>
    <row r="119" spans="18:27">
      <c r="R119" t="s">
        <v>279</v>
      </c>
      <c r="S119" t="s">
        <v>118</v>
      </c>
      <c r="T119">
        <v>150</v>
      </c>
      <c r="U119">
        <v>100</v>
      </c>
      <c r="V119">
        <f>Analise_Instancias!O68</f>
        <v>6.6024043642241459E-2</v>
      </c>
      <c r="W119">
        <f>Analise_Instancias!F68</f>
        <v>0.11862925261699497</v>
      </c>
      <c r="X119">
        <f>Analise_Instancias!I68</f>
        <v>6.6024043642241459E-2</v>
      </c>
      <c r="Y119">
        <f>Analise_Instancias!L68</f>
        <v>7.1176493226601023E-2</v>
      </c>
      <c r="Z119">
        <f>Analise_Instancias!Q68</f>
        <v>10.644611358642578</v>
      </c>
      <c r="AA119" t="str">
        <f>Analise_Instancias!P68</f>
        <v>vrp_50</v>
      </c>
    </row>
    <row r="120" spans="18:27">
      <c r="R120" t="s">
        <v>279</v>
      </c>
      <c r="S120" t="s">
        <v>151</v>
      </c>
      <c r="T120">
        <v>150</v>
      </c>
      <c r="U120">
        <v>131</v>
      </c>
      <c r="V120">
        <f>Analise_Instancias!O99</f>
        <v>6.8383309368279965E-2</v>
      </c>
      <c r="W120">
        <f>Analise_Instancias!F99</f>
        <v>0.12171271296473596</v>
      </c>
      <c r="X120">
        <f>Analise_Instancias!I99</f>
        <v>6.8383309368279965E-2</v>
      </c>
      <c r="Y120">
        <f>Analise_Instancias!L99</f>
        <v>0.11810569690641137</v>
      </c>
      <c r="Z120">
        <f>Analise_Instancias!Q99</f>
        <v>27.142813920974731</v>
      </c>
      <c r="AA120" t="str">
        <f>Analise_Instancias!P99</f>
        <v>vrp_50</v>
      </c>
    </row>
    <row r="121" spans="18:27">
      <c r="R121" t="s">
        <v>279</v>
      </c>
      <c r="S121" t="s">
        <v>152</v>
      </c>
      <c r="T121">
        <v>150</v>
      </c>
      <c r="U121">
        <v>132</v>
      </c>
      <c r="V121">
        <f>Analise_Instancias!O100</f>
        <v>4.6815049677441989E-2</v>
      </c>
      <c r="W121">
        <f>Analise_Instancias!F100</f>
        <v>0.15789799107224711</v>
      </c>
      <c r="X121">
        <f>Analise_Instancias!I100</f>
        <v>9.9196827541088606E-2</v>
      </c>
      <c r="Y121">
        <f>Analise_Instancias!L100</f>
        <v>4.6815049677441989E-2</v>
      </c>
      <c r="Z121">
        <f>Analise_Instancias!Q100</f>
        <v>27.142813920974731</v>
      </c>
      <c r="AA121" t="str">
        <f>Analise_Instancias!P100</f>
        <v>vrp_100</v>
      </c>
    </row>
    <row r="122" spans="18:27">
      <c r="R122" t="s">
        <v>279</v>
      </c>
      <c r="S122" t="s">
        <v>153</v>
      </c>
      <c r="T122">
        <v>150</v>
      </c>
      <c r="U122">
        <v>133</v>
      </c>
      <c r="V122">
        <f>Analise_Instancias!O101</f>
        <v>9.8197457057185078E-2</v>
      </c>
      <c r="W122">
        <f>Analise_Instancias!F101</f>
        <v>0.21190410087189337</v>
      </c>
      <c r="X122">
        <f>Analise_Instancias!I101</f>
        <v>9.8197457057185078E-2</v>
      </c>
      <c r="Y122">
        <f>Analise_Instancias!L101</f>
        <v>0.14298565744161951</v>
      </c>
      <c r="Z122">
        <f>Analise_Instancias!Q101</f>
        <v>27.142813920974731</v>
      </c>
      <c r="AA122" t="str">
        <f>Analise_Instancias!P101</f>
        <v>vrp_50</v>
      </c>
    </row>
    <row r="123" spans="18:27">
      <c r="R123" t="s">
        <v>279</v>
      </c>
      <c r="S123" t="s">
        <v>154</v>
      </c>
      <c r="T123">
        <v>150</v>
      </c>
      <c r="U123">
        <v>134</v>
      </c>
      <c r="V123">
        <f>Analise_Instancias!O102</f>
        <v>6.6679100836738669E-2</v>
      </c>
      <c r="W123">
        <f>Analise_Instancias!F102</f>
        <v>0.15029245894508936</v>
      </c>
      <c r="X123">
        <f>Analise_Instancias!I102</f>
        <v>6.6679100836738669E-2</v>
      </c>
      <c r="Y123">
        <f>Analise_Instancias!L102</f>
        <v>8.9545752233130216E-2</v>
      </c>
      <c r="Z123">
        <f>Analise_Instancias!Q102</f>
        <v>27.142813920974731</v>
      </c>
      <c r="AA123" t="str">
        <f>Analise_Instancias!P102</f>
        <v>vrp_50</v>
      </c>
    </row>
    <row r="124" spans="18:27">
      <c r="R124" t="s">
        <v>279</v>
      </c>
      <c r="S124" t="s">
        <v>173</v>
      </c>
      <c r="T124">
        <v>152</v>
      </c>
      <c r="U124">
        <v>152</v>
      </c>
      <c r="V124">
        <f>Analise_Instancias!O120</f>
        <v>0.12651758364750232</v>
      </c>
      <c r="W124">
        <f>Analise_Instancias!F120</f>
        <v>0.16464079803840725</v>
      </c>
      <c r="X124">
        <f>Analise_Instancias!I120</f>
        <v>0.12651758364750232</v>
      </c>
      <c r="Y124">
        <f>Analise_Instancias!L120</f>
        <v>0.15428352895263897</v>
      </c>
      <c r="Z124">
        <f>Analise_Instancias!Q120</f>
        <v>8.9983782768249512</v>
      </c>
      <c r="AA124" t="str">
        <f>Analise_Instancias!P120</f>
        <v>vrp_50</v>
      </c>
    </row>
    <row r="125" spans="18:27">
      <c r="R125" t="s">
        <v>279</v>
      </c>
      <c r="S125" t="s">
        <v>174</v>
      </c>
      <c r="T125">
        <v>156</v>
      </c>
      <c r="U125">
        <v>153</v>
      </c>
      <c r="V125">
        <f>Analise_Instancias!O121</f>
        <v>4.064411923737854E-2</v>
      </c>
      <c r="W125">
        <f>Analise_Instancias!F121</f>
        <v>6.4765837950343741E-2</v>
      </c>
      <c r="X125">
        <f>Analise_Instancias!I121</f>
        <v>9.4179719905487014E-2</v>
      </c>
      <c r="Y125">
        <f>Analise_Instancias!L121</f>
        <v>4.064411923737854E-2</v>
      </c>
      <c r="Z125">
        <f>Analise_Instancias!Q121</f>
        <v>9.4030942916870117</v>
      </c>
      <c r="AA125" t="str">
        <f>Analise_Instancias!P121</f>
        <v>vrp_100</v>
      </c>
    </row>
    <row r="126" spans="18:27">
      <c r="R126" t="s">
        <v>279</v>
      </c>
      <c r="S126" t="s">
        <v>175</v>
      </c>
      <c r="T126">
        <v>161</v>
      </c>
      <c r="U126">
        <v>154</v>
      </c>
      <c r="V126">
        <f>Analise_Instancias!O122</f>
        <v>4.6728011387749291E-2</v>
      </c>
      <c r="W126">
        <f>Analise_Instancias!F122</f>
        <v>0.13152911258664601</v>
      </c>
      <c r="X126">
        <f>Analise_Instancias!I122</f>
        <v>4.6728011387749291E-2</v>
      </c>
      <c r="Y126">
        <f>Analise_Instancias!L122</f>
        <v>4.7130503231539222E-2</v>
      </c>
      <c r="Z126">
        <f>Analise_Instancias!Q122</f>
        <v>9.8404741287231445</v>
      </c>
      <c r="AA126" t="str">
        <f>Analise_Instancias!P122</f>
        <v>vrp_50</v>
      </c>
    </row>
    <row r="127" spans="18:27">
      <c r="R127" t="s">
        <v>279</v>
      </c>
      <c r="S127" t="s">
        <v>176</v>
      </c>
      <c r="T127">
        <v>166</v>
      </c>
      <c r="U127">
        <v>155</v>
      </c>
      <c r="V127">
        <f>Analise_Instancias!O123</f>
        <v>3.4353983740331717E-2</v>
      </c>
      <c r="W127">
        <f>Analise_Instancias!F123</f>
        <v>0.11222141104611572</v>
      </c>
      <c r="X127">
        <f>Analise_Instancias!I123</f>
        <v>6.6697646330933447E-2</v>
      </c>
      <c r="Y127">
        <f>Analise_Instancias!L123</f>
        <v>3.4353983740331717E-2</v>
      </c>
      <c r="Z127">
        <f>Analise_Instancias!Q123</f>
        <v>9.6883397102355957</v>
      </c>
      <c r="AA127" t="str">
        <f>Analise_Instancias!P123</f>
        <v>vrp_100</v>
      </c>
    </row>
    <row r="128" spans="18:27">
      <c r="R128" t="s">
        <v>279</v>
      </c>
      <c r="S128" t="s">
        <v>177</v>
      </c>
      <c r="T128">
        <v>171</v>
      </c>
      <c r="U128">
        <v>156</v>
      </c>
      <c r="V128">
        <f>Analise_Instancias!O124</f>
        <v>5.7570829313482674E-2</v>
      </c>
      <c r="W128">
        <f>Analise_Instancias!F124</f>
        <v>0.14849882556405825</v>
      </c>
      <c r="X128">
        <f>Analise_Instancias!I124</f>
        <v>5.9615814184226013E-2</v>
      </c>
      <c r="Y128">
        <f>Analise_Instancias!L124</f>
        <v>5.7570829313482674E-2</v>
      </c>
      <c r="Z128">
        <f>Analise_Instancias!Q124</f>
        <v>9.7494955062866211</v>
      </c>
      <c r="AA128" t="str">
        <f>Analise_Instancias!P124</f>
        <v>vrp_100</v>
      </c>
    </row>
    <row r="129" spans="18:27">
      <c r="R129" t="s">
        <v>279</v>
      </c>
      <c r="S129" t="s">
        <v>178</v>
      </c>
      <c r="T129">
        <v>175</v>
      </c>
      <c r="U129">
        <v>157</v>
      </c>
      <c r="V129">
        <f>Analise_Instancias!O125</f>
        <v>8.7713253864092788E-2</v>
      </c>
      <c r="W129">
        <f>Analise_Instancias!F125</f>
        <v>0.11062174506400058</v>
      </c>
      <c r="X129">
        <f>Analise_Instancias!I125</f>
        <v>0.10335165269702173</v>
      </c>
      <c r="Y129">
        <f>Analise_Instancias!L125</f>
        <v>8.7713253864092788E-2</v>
      </c>
      <c r="Z129">
        <f>Analise_Instancias!Q125</f>
        <v>9.4971671104431152</v>
      </c>
      <c r="AA129" t="str">
        <f>Analise_Instancias!P125</f>
        <v>vrp_100</v>
      </c>
    </row>
    <row r="130" spans="18:27">
      <c r="R130" t="s">
        <v>279</v>
      </c>
      <c r="S130" t="s">
        <v>179</v>
      </c>
      <c r="T130">
        <v>180</v>
      </c>
      <c r="U130">
        <v>158</v>
      </c>
      <c r="V130">
        <f>Analise_Instancias!O126</f>
        <v>4.4506332741796717E-2</v>
      </c>
      <c r="W130">
        <f>Analise_Instancias!F126</f>
        <v>0.11458952063533956</v>
      </c>
      <c r="X130">
        <f>Analise_Instancias!I126</f>
        <v>6.4614682330165429E-2</v>
      </c>
      <c r="Y130">
        <f>Analise_Instancias!L126</f>
        <v>4.4506332741796717E-2</v>
      </c>
      <c r="Z130">
        <f>Analise_Instancias!Q126</f>
        <v>9.9701931476593018</v>
      </c>
      <c r="AA130" t="str">
        <f>Analise_Instancias!P126</f>
        <v>vrp_100</v>
      </c>
    </row>
    <row r="131" spans="18:27">
      <c r="R131" t="s">
        <v>279</v>
      </c>
      <c r="S131" t="s">
        <v>180</v>
      </c>
      <c r="T131">
        <v>185</v>
      </c>
      <c r="U131">
        <v>159</v>
      </c>
      <c r="V131">
        <f>Analise_Instancias!O127</f>
        <v>4.7046651739490519E-2</v>
      </c>
      <c r="W131">
        <f>Analise_Instancias!F127</f>
        <v>0.14112029858666397</v>
      </c>
      <c r="X131">
        <f>Analise_Instancias!I127</f>
        <v>8.6267051925864591E-2</v>
      </c>
      <c r="Y131">
        <f>Analise_Instancias!L127</f>
        <v>4.7046651739490519E-2</v>
      </c>
      <c r="Z131">
        <f>Analise_Instancias!Q127</f>
        <v>9.8055694103240967</v>
      </c>
      <c r="AA131" t="str">
        <f>Analise_Instancias!P127</f>
        <v>vrp_100</v>
      </c>
    </row>
    <row r="132" spans="18:27">
      <c r="R132" t="s">
        <v>279</v>
      </c>
      <c r="S132" t="s">
        <v>181</v>
      </c>
      <c r="T132">
        <v>189</v>
      </c>
      <c r="U132">
        <v>160</v>
      </c>
      <c r="V132">
        <f>Analise_Instancias!O128</f>
        <v>9.0321333922261493E-2</v>
      </c>
      <c r="W132">
        <f>Analise_Instancias!F128</f>
        <v>0.2087474234393405</v>
      </c>
      <c r="X132">
        <f>Analise_Instancias!I128</f>
        <v>9.0321333922261493E-2</v>
      </c>
      <c r="Y132">
        <f>Analise_Instancias!L128</f>
        <v>0.31185344430948181</v>
      </c>
      <c r="Z132">
        <f>Analise_Instancias!Q128</f>
        <v>9.2868125438690186</v>
      </c>
      <c r="AA132" t="str">
        <f>Analise_Instancias!P128</f>
        <v>vrp_50</v>
      </c>
    </row>
    <row r="133" spans="18:27">
      <c r="R133" t="s">
        <v>279</v>
      </c>
      <c r="S133" t="s">
        <v>182</v>
      </c>
      <c r="T133">
        <v>194</v>
      </c>
      <c r="U133">
        <v>161</v>
      </c>
      <c r="V133">
        <f>Analise_Instancias!O129</f>
        <v>7.1715216930469117E-2</v>
      </c>
      <c r="W133">
        <f>Analise_Instancias!F129</f>
        <v>0.13094377119841716</v>
      </c>
      <c r="X133">
        <f>Analise_Instancias!I129</f>
        <v>8.2444884115319361E-2</v>
      </c>
      <c r="Y133">
        <f>Analise_Instancias!L129</f>
        <v>7.1715216930469117E-2</v>
      </c>
      <c r="Z133">
        <f>Analise_Instancias!Q129</f>
        <v>10.263688802719116</v>
      </c>
      <c r="AA133" t="str">
        <f>Analise_Instancias!P129</f>
        <v>vrp_100</v>
      </c>
    </row>
    <row r="134" spans="18:27">
      <c r="R134" t="s">
        <v>279</v>
      </c>
      <c r="S134" t="s">
        <v>119</v>
      </c>
      <c r="T134">
        <v>199</v>
      </c>
      <c r="U134">
        <v>101</v>
      </c>
      <c r="V134">
        <f>Analise_Instancias!O69</f>
        <v>6.8446663896929216E-2</v>
      </c>
      <c r="W134">
        <f>Analise_Instancias!F69</f>
        <v>0.18286171139128737</v>
      </c>
      <c r="X134">
        <f>Analise_Instancias!I69</f>
        <v>0.10048849204645838</v>
      </c>
      <c r="Y134">
        <f>Analise_Instancias!L69</f>
        <v>6.8446663896929216E-2</v>
      </c>
      <c r="Z134">
        <f>Analise_Instancias!Q69</f>
        <v>17.254871129989624</v>
      </c>
      <c r="AA134" t="str">
        <f>Analise_Instancias!P69</f>
        <v>vrp_100</v>
      </c>
    </row>
    <row r="135" spans="18:27">
      <c r="R135" t="s">
        <v>279</v>
      </c>
      <c r="S135" t="s">
        <v>120</v>
      </c>
      <c r="T135">
        <v>199</v>
      </c>
      <c r="U135">
        <v>102</v>
      </c>
      <c r="V135">
        <f>Analise_Instancias!O70</f>
        <v>6.6076899509803999E-2</v>
      </c>
      <c r="W135">
        <f>Analise_Instancias!F70</f>
        <v>0.17853879442401954</v>
      </c>
      <c r="X135">
        <f>Analise_Instancias!I70</f>
        <v>0.10061609604779442</v>
      </c>
      <c r="Y135">
        <f>Analise_Instancias!L70</f>
        <v>6.6076899509803999E-2</v>
      </c>
      <c r="Z135">
        <f>Analise_Instancias!Q70</f>
        <v>17.254871129989624</v>
      </c>
      <c r="AA135" t="str">
        <f>Analise_Instancias!P70</f>
        <v>vrp_100</v>
      </c>
    </row>
    <row r="136" spans="18:27">
      <c r="R136" t="s">
        <v>279</v>
      </c>
      <c r="S136" t="s">
        <v>183</v>
      </c>
      <c r="T136">
        <v>199</v>
      </c>
      <c r="U136">
        <v>162</v>
      </c>
      <c r="V136">
        <f>Analise_Instancias!O130</f>
        <v>5.5875219258936903E-2</v>
      </c>
      <c r="W136">
        <f>Analise_Instancias!F130</f>
        <v>0.10555984115196826</v>
      </c>
      <c r="X136">
        <f>Analise_Instancias!I130</f>
        <v>8.9577078318652026E-2</v>
      </c>
      <c r="Y136">
        <f>Analise_Instancias!L130</f>
        <v>5.5875219258936903E-2</v>
      </c>
      <c r="Z136">
        <f>Analise_Instancias!Q130</f>
        <v>10.10144305229187</v>
      </c>
      <c r="AA136" t="str">
        <f>Analise_Instancias!P130</f>
        <v>vrp_100</v>
      </c>
    </row>
    <row r="137" spans="18:27">
      <c r="R137" t="s">
        <v>1213</v>
      </c>
      <c r="S137" t="s">
        <v>184</v>
      </c>
      <c r="T137">
        <v>203</v>
      </c>
      <c r="U137">
        <v>163</v>
      </c>
      <c r="V137">
        <f>Analise_Instancias!O131</f>
        <v>6.1696588295425459E-2</v>
      </c>
      <c r="W137">
        <f>Analise_Instancias!F131</f>
        <v>0.23749500862509576</v>
      </c>
      <c r="X137">
        <f>Analise_Instancias!I131</f>
        <v>0.10865823856376178</v>
      </c>
      <c r="Y137">
        <f>Analise_Instancias!L131</f>
        <v>6.1696588295425459E-2</v>
      </c>
      <c r="Z137">
        <f>Analise_Instancias!Q131</f>
        <v>8.9607822895050049</v>
      </c>
      <c r="AA137" t="str">
        <f>Analise_Instancias!P131</f>
        <v>vrp_100</v>
      </c>
    </row>
    <row r="138" spans="18:27">
      <c r="R138" t="s">
        <v>1213</v>
      </c>
      <c r="S138" t="s">
        <v>185</v>
      </c>
      <c r="T138">
        <v>208</v>
      </c>
      <c r="U138">
        <v>164</v>
      </c>
      <c r="V138">
        <f>Analise_Instancias!O132</f>
        <v>5.1423584494063146E-2</v>
      </c>
      <c r="W138">
        <f>Analise_Instancias!F132</f>
        <v>0.12528364145681103</v>
      </c>
      <c r="X138">
        <f>Analise_Instancias!I132</f>
        <v>8.8085071030140849E-2</v>
      </c>
      <c r="Y138">
        <f>Analise_Instancias!L132</f>
        <v>5.1423584494063146E-2</v>
      </c>
      <c r="Z138">
        <f>Analise_Instancias!Q132</f>
        <v>9.402698278427124</v>
      </c>
      <c r="AA138" t="str">
        <f>Analise_Instancias!P132</f>
        <v>vrp_100</v>
      </c>
    </row>
    <row r="139" spans="18:27">
      <c r="R139" t="s">
        <v>1213</v>
      </c>
      <c r="S139" t="s">
        <v>186</v>
      </c>
      <c r="T139">
        <v>213</v>
      </c>
      <c r="U139">
        <v>165</v>
      </c>
      <c r="V139">
        <f>Analise_Instancias!O133</f>
        <v>0.1155543485457351</v>
      </c>
      <c r="W139">
        <f>Analise_Instancias!F133</f>
        <v>0.16699407657631715</v>
      </c>
      <c r="X139">
        <f>Analise_Instancias!I133</f>
        <v>0.1155543485457351</v>
      </c>
      <c r="Y139">
        <f>Analise_Instancias!L133</f>
        <v>0.1280712782677782</v>
      </c>
      <c r="Z139">
        <f>Analise_Instancias!Q133</f>
        <v>10.262157201766968</v>
      </c>
      <c r="AA139" t="str">
        <f>Analise_Instancias!P133</f>
        <v>vrp_50</v>
      </c>
    </row>
    <row r="140" spans="18:27">
      <c r="R140" t="s">
        <v>1213</v>
      </c>
      <c r="S140" t="s">
        <v>187</v>
      </c>
      <c r="T140">
        <v>218</v>
      </c>
      <c r="U140">
        <v>166</v>
      </c>
      <c r="V140">
        <f>Analise_Instancias!O134</f>
        <v>4.7736869658573822E-2</v>
      </c>
      <c r="W140">
        <f>Analise_Instancias!F134</f>
        <v>6.7618999532293111E-2</v>
      </c>
      <c r="X140">
        <f>Analise_Instancias!I134</f>
        <v>4.7736869658573822E-2</v>
      </c>
      <c r="Y140">
        <f>Analise_Instancias!L134</f>
        <v>5.3195421786640606E-2</v>
      </c>
      <c r="Z140">
        <f>Analise_Instancias!Q134</f>
        <v>12.128466606140137</v>
      </c>
      <c r="AA140" t="str">
        <f>Analise_Instancias!P134</f>
        <v>vrp_50</v>
      </c>
    </row>
    <row r="141" spans="18:27">
      <c r="R141" t="s">
        <v>1213</v>
      </c>
      <c r="S141" t="s">
        <v>188</v>
      </c>
      <c r="T141">
        <v>222</v>
      </c>
      <c r="U141">
        <v>167</v>
      </c>
      <c r="V141">
        <f>Analise_Instancias!O135</f>
        <v>6.4884303051660597E-2</v>
      </c>
      <c r="W141">
        <f>Analise_Instancias!F135</f>
        <v>0.15660278643321712</v>
      </c>
      <c r="X141">
        <f>Analise_Instancias!I135</f>
        <v>9.5562715613175975E-2</v>
      </c>
      <c r="Y141">
        <f>Analise_Instancias!L135</f>
        <v>6.4884303051660597E-2</v>
      </c>
      <c r="Z141">
        <f>Analise_Instancias!Q135</f>
        <v>8.8335676193237305</v>
      </c>
      <c r="AA141" t="str">
        <f>Analise_Instancias!P135</f>
        <v>vrp_100</v>
      </c>
    </row>
    <row r="142" spans="18:27">
      <c r="R142" t="s">
        <v>1213</v>
      </c>
      <c r="S142" t="s">
        <v>189</v>
      </c>
      <c r="T142">
        <v>227</v>
      </c>
      <c r="U142">
        <v>168</v>
      </c>
      <c r="V142">
        <f>Analise_Instancias!O136</f>
        <v>0.11003357839328731</v>
      </c>
      <c r="W142">
        <f>Analise_Instancias!F136</f>
        <v>0.18459117759886556</v>
      </c>
      <c r="X142">
        <f>Analise_Instancias!I136</f>
        <v>0.12438148259653481</v>
      </c>
      <c r="Y142">
        <f>Analise_Instancias!L136</f>
        <v>0.11003357839328731</v>
      </c>
      <c r="Z142">
        <f>Analise_Instancias!Q136</f>
        <v>8.5839335918426514</v>
      </c>
      <c r="AA142" t="str">
        <f>Analise_Instancias!P136</f>
        <v>vrp_100</v>
      </c>
    </row>
    <row r="143" spans="18:27">
      <c r="R143" t="s">
        <v>1213</v>
      </c>
      <c r="S143" t="s">
        <v>190</v>
      </c>
      <c r="T143">
        <v>232</v>
      </c>
      <c r="U143">
        <v>169</v>
      </c>
      <c r="V143">
        <f>Analise_Instancias!O137</f>
        <v>6.7883230954238094E-2</v>
      </c>
      <c r="W143">
        <f>Analise_Instancias!F137</f>
        <v>0.22342744491029642</v>
      </c>
      <c r="X143">
        <f>Analise_Instancias!I137</f>
        <v>0.10581956090743638</v>
      </c>
      <c r="Y143">
        <f>Analise_Instancias!L137</f>
        <v>6.7883230954238094E-2</v>
      </c>
      <c r="Z143">
        <f>Analise_Instancias!Q137</f>
        <v>8.5178716182708722</v>
      </c>
      <c r="AA143" t="str">
        <f>Analise_Instancias!P137</f>
        <v>vrp_100</v>
      </c>
    </row>
    <row r="144" spans="18:27">
      <c r="R144" t="s">
        <v>1213</v>
      </c>
      <c r="S144" t="s">
        <v>191</v>
      </c>
      <c r="T144">
        <v>236</v>
      </c>
      <c r="U144">
        <v>170</v>
      </c>
      <c r="V144">
        <f>Analise_Instancias!O138</f>
        <v>0.1050115618759706</v>
      </c>
      <c r="W144">
        <f>Analise_Instancias!F138</f>
        <v>0.16018131228736787</v>
      </c>
      <c r="X144">
        <f>Analise_Instancias!I138</f>
        <v>0.11138633884328075</v>
      </c>
      <c r="Y144">
        <f>Analise_Instancias!L138</f>
        <v>0.1050115618759706</v>
      </c>
      <c r="Z144">
        <f>Analise_Instancias!Q138</f>
        <v>8.7433769702911377</v>
      </c>
      <c r="AA144" t="str">
        <f>Analise_Instancias!P138</f>
        <v>vrp_100</v>
      </c>
    </row>
    <row r="145" spans="18:27">
      <c r="R145" t="s">
        <v>1213</v>
      </c>
      <c r="S145" t="s">
        <v>192</v>
      </c>
      <c r="T145">
        <v>241</v>
      </c>
      <c r="U145">
        <v>171</v>
      </c>
      <c r="V145">
        <f>Analise_Instancias!O139</f>
        <v>6.5913100748027142E-2</v>
      </c>
      <c r="W145">
        <f>Analise_Instancias!F139</f>
        <v>0.10178898895481625</v>
      </c>
      <c r="X145">
        <f>Analise_Instancias!I139</f>
        <v>7.6980754009015051E-2</v>
      </c>
      <c r="Y145">
        <f>Analise_Instancias!L139</f>
        <v>6.5913100748027142E-2</v>
      </c>
      <c r="Z145">
        <f>Analise_Instancias!Q139</f>
        <v>9.6960144042968732</v>
      </c>
      <c r="AA145" t="str">
        <f>Analise_Instancias!P139</f>
        <v>vrp_100</v>
      </c>
    </row>
    <row r="146" spans="18:27">
      <c r="R146" t="s">
        <v>1213</v>
      </c>
      <c r="S146" t="s">
        <v>193</v>
      </c>
      <c r="T146">
        <v>246</v>
      </c>
      <c r="U146">
        <v>172</v>
      </c>
      <c r="V146">
        <f>Analise_Instancias!O140</f>
        <v>0.1237093047432527</v>
      </c>
      <c r="W146">
        <f>Analise_Instancias!F140</f>
        <v>0.12860401184471759</v>
      </c>
      <c r="X146">
        <f>Analise_Instancias!I140</f>
        <v>0.1237093047432527</v>
      </c>
      <c r="Y146">
        <f>Analise_Instancias!L140</f>
        <v>0.12961762052637238</v>
      </c>
      <c r="Z146">
        <f>Analise_Instancias!Q140</f>
        <v>9.4594569206237793</v>
      </c>
      <c r="AA146" t="str">
        <f>Analise_Instancias!P140</f>
        <v>vrp_50</v>
      </c>
    </row>
    <row r="147" spans="18:27">
      <c r="R147" t="s">
        <v>1213</v>
      </c>
      <c r="S147" t="s">
        <v>194</v>
      </c>
      <c r="T147">
        <v>250</v>
      </c>
      <c r="U147">
        <v>173</v>
      </c>
      <c r="V147">
        <f>Analise_Instancias!O141</f>
        <v>6.1839399040947152E-2</v>
      </c>
      <c r="W147">
        <f>Analise_Instancias!F141</f>
        <v>0.11071478195119422</v>
      </c>
      <c r="X147">
        <f>Analise_Instancias!I141</f>
        <v>7.1252609282907553E-2</v>
      </c>
      <c r="Y147">
        <f>Analise_Instancias!L141</f>
        <v>6.1839399040947152E-2</v>
      </c>
      <c r="Z147">
        <f>Analise_Instancias!Q141</f>
        <v>8.8447530269622803</v>
      </c>
      <c r="AA147" t="str">
        <f>Analise_Instancias!P141</f>
        <v>vrp_100</v>
      </c>
    </row>
    <row r="148" spans="18:27">
      <c r="R148" t="s">
        <v>1213</v>
      </c>
      <c r="S148" t="s">
        <v>195</v>
      </c>
      <c r="T148">
        <v>255</v>
      </c>
      <c r="U148">
        <v>174</v>
      </c>
      <c r="V148">
        <f>Analise_Instancias!O142</f>
        <v>6.3305136618185598E-2</v>
      </c>
      <c r="W148">
        <f>Analise_Instancias!F142</f>
        <v>0.16455899745872915</v>
      </c>
      <c r="X148">
        <f>Analise_Instancias!I142</f>
        <v>8.6135518405966449E-2</v>
      </c>
      <c r="Y148">
        <f>Analise_Instancias!L142</f>
        <v>6.3305136618185598E-2</v>
      </c>
      <c r="Z148">
        <f>Analise_Instancias!Q142</f>
        <v>9.0010340213775635</v>
      </c>
      <c r="AA148" t="str">
        <f>Analise_Instancias!P142</f>
        <v>vrp_100</v>
      </c>
    </row>
    <row r="149" spans="18:27">
      <c r="R149" t="s">
        <v>1213</v>
      </c>
      <c r="S149" t="s">
        <v>196</v>
      </c>
      <c r="T149">
        <v>260</v>
      </c>
      <c r="U149">
        <v>175</v>
      </c>
      <c r="V149">
        <f>Analise_Instancias!O143</f>
        <v>6.8049028305971815E-2</v>
      </c>
      <c r="W149">
        <f>Analise_Instancias!F143</f>
        <v>0.13507398606352128</v>
      </c>
      <c r="X149">
        <f>Analise_Instancias!I143</f>
        <v>9.5769459767301779E-2</v>
      </c>
      <c r="Y149">
        <f>Analise_Instancias!L143</f>
        <v>6.8049028305971815E-2</v>
      </c>
      <c r="Z149">
        <f>Analise_Instancias!Q143</f>
        <v>8.6748900413513184</v>
      </c>
      <c r="AA149" t="str">
        <f>Analise_Instancias!P143</f>
        <v>vrp_100</v>
      </c>
    </row>
    <row r="150" spans="18:27">
      <c r="R150" t="s">
        <v>1213</v>
      </c>
      <c r="S150" t="s">
        <v>197</v>
      </c>
      <c r="T150">
        <v>265</v>
      </c>
      <c r="U150">
        <v>176</v>
      </c>
      <c r="V150">
        <f>Analise_Instancias!O144</f>
        <v>0.10039908152044297</v>
      </c>
      <c r="W150">
        <f>Analise_Instancias!F144</f>
        <v>0.15974636235061879</v>
      </c>
      <c r="X150">
        <f>Analise_Instancias!I144</f>
        <v>0.12345070749092457</v>
      </c>
      <c r="Y150">
        <f>Analise_Instancias!L144</f>
        <v>0.10039908152044297</v>
      </c>
      <c r="Z150">
        <f>Analise_Instancias!Q144</f>
        <v>9.0765838623046875</v>
      </c>
      <c r="AA150" t="str">
        <f>Analise_Instancias!P144</f>
        <v>vrp_100</v>
      </c>
    </row>
    <row r="151" spans="18:27">
      <c r="R151" t="s">
        <v>1213</v>
      </c>
      <c r="S151" t="s">
        <v>198</v>
      </c>
      <c r="T151">
        <v>269</v>
      </c>
      <c r="U151">
        <v>177</v>
      </c>
      <c r="V151">
        <f>Analise_Instancias!O145</f>
        <v>7.3906723739763702E-2</v>
      </c>
      <c r="W151">
        <f>Analise_Instancias!F145</f>
        <v>0.23936786291122392</v>
      </c>
      <c r="X151">
        <f>Analise_Instancias!I145</f>
        <v>0.11503530468108014</v>
      </c>
      <c r="Y151">
        <f>Analise_Instancias!L145</f>
        <v>7.3906723739763702E-2</v>
      </c>
      <c r="Z151">
        <f>Analise_Instancias!Q145</f>
        <v>9.1483774185180664</v>
      </c>
      <c r="AA151" t="str">
        <f>Analise_Instancias!P145</f>
        <v>vrp_100</v>
      </c>
    </row>
    <row r="152" spans="18:27">
      <c r="R152" t="s">
        <v>1213</v>
      </c>
      <c r="S152" t="s">
        <v>199</v>
      </c>
      <c r="T152">
        <v>274</v>
      </c>
      <c r="U152">
        <v>178</v>
      </c>
      <c r="V152">
        <f>Analise_Instancias!O146</f>
        <v>0.16816824546952214</v>
      </c>
      <c r="W152">
        <f>Analise_Instancias!F146</f>
        <v>0.34203930336549782</v>
      </c>
      <c r="X152">
        <f>Analise_Instancias!I146</f>
        <v>0.19605421863967987</v>
      </c>
      <c r="Y152">
        <f>Analise_Instancias!L146</f>
        <v>0.16816824546952214</v>
      </c>
      <c r="Z152">
        <f>Analise_Instancias!Q146</f>
        <v>9.5052878856658936</v>
      </c>
      <c r="AA152" t="str">
        <f>Analise_Instancias!P146</f>
        <v>vrp_100</v>
      </c>
    </row>
    <row r="153" spans="18:27">
      <c r="R153" t="s">
        <v>1213</v>
      </c>
      <c r="S153" t="s">
        <v>200</v>
      </c>
      <c r="T153">
        <v>279</v>
      </c>
      <c r="U153">
        <v>179</v>
      </c>
      <c r="V153">
        <f>Analise_Instancias!O147</f>
        <v>7.2844106311375167E-2</v>
      </c>
      <c r="W153">
        <f>Analise_Instancias!F147</f>
        <v>0.15651047107721694</v>
      </c>
      <c r="X153">
        <f>Analise_Instancias!I147</f>
        <v>0.10993803260155799</v>
      </c>
      <c r="Y153">
        <f>Analise_Instancias!L147</f>
        <v>7.2844106311375167E-2</v>
      </c>
      <c r="Z153">
        <f>Analise_Instancias!Q147</f>
        <v>9.5660111904144287</v>
      </c>
      <c r="AA153" t="str">
        <f>Analise_Instancias!P147</f>
        <v>vrp_100</v>
      </c>
    </row>
    <row r="154" spans="18:27">
      <c r="R154" t="s">
        <v>1213</v>
      </c>
      <c r="S154" t="s">
        <v>201</v>
      </c>
      <c r="T154">
        <v>283</v>
      </c>
      <c r="U154">
        <v>180</v>
      </c>
      <c r="V154">
        <f>Analise_Instancias!O148</f>
        <v>0.10409723638509849</v>
      </c>
      <c r="W154">
        <f>Analise_Instancias!F148</f>
        <v>0.29383184854889755</v>
      </c>
      <c r="X154">
        <f>Analise_Instancias!I148</f>
        <v>0.14909356305003452</v>
      </c>
      <c r="Y154">
        <f>Analise_Instancias!L148</f>
        <v>0.10409723638509849</v>
      </c>
      <c r="Z154">
        <f>Analise_Instancias!Q148</f>
        <v>9.0264718532562256</v>
      </c>
      <c r="AA154" t="str">
        <f>Analise_Instancias!P148</f>
        <v>vrp_100</v>
      </c>
    </row>
    <row r="155" spans="18:27">
      <c r="R155" t="s">
        <v>1213</v>
      </c>
      <c r="S155" t="s">
        <v>202</v>
      </c>
      <c r="T155">
        <v>288</v>
      </c>
      <c r="U155">
        <v>181</v>
      </c>
      <c r="V155">
        <f>Analise_Instancias!O149</f>
        <v>9.6790561843806078E-2</v>
      </c>
      <c r="W155">
        <f>Analise_Instancias!F149</f>
        <v>0.13003090154070907</v>
      </c>
      <c r="X155">
        <f>Analise_Instancias!I149</f>
        <v>0.1057671654790806</v>
      </c>
      <c r="Y155">
        <f>Analise_Instancias!L149</f>
        <v>9.6790561843806078E-2</v>
      </c>
      <c r="Z155">
        <f>Analise_Instancias!Q149</f>
        <v>9.7078711986541748</v>
      </c>
      <c r="AA155" t="str">
        <f>Analise_Instancias!P149</f>
        <v>vrp_100</v>
      </c>
    </row>
    <row r="156" spans="18:27">
      <c r="R156" t="s">
        <v>1213</v>
      </c>
      <c r="S156" t="s">
        <v>203</v>
      </c>
      <c r="T156">
        <v>293</v>
      </c>
      <c r="U156">
        <v>182</v>
      </c>
      <c r="V156">
        <f>Analise_Instancias!O150</f>
        <v>9.4642388573185521E-2</v>
      </c>
      <c r="W156">
        <f>Analise_Instancias!F150</f>
        <v>0.2030024146010474</v>
      </c>
      <c r="X156">
        <f>Analise_Instancias!I150</f>
        <v>0.1183161139500859</v>
      </c>
      <c r="Y156">
        <f>Analise_Instancias!L150</f>
        <v>9.4642388573185521E-2</v>
      </c>
      <c r="Z156">
        <f>Analise_Instancias!Q150</f>
        <v>9.3804986476898193</v>
      </c>
      <c r="AA156" t="str">
        <f>Analise_Instancias!P150</f>
        <v>vrp_100</v>
      </c>
    </row>
    <row r="157" spans="18:27">
      <c r="R157" t="s">
        <v>1213</v>
      </c>
      <c r="S157" t="s">
        <v>204</v>
      </c>
      <c r="T157">
        <v>297</v>
      </c>
      <c r="U157">
        <v>183</v>
      </c>
      <c r="V157">
        <f>Analise_Instancias!O151</f>
        <v>8.6571747830913592E-2</v>
      </c>
      <c r="W157">
        <f>Analise_Instancias!F151</f>
        <v>0.2282436333294382</v>
      </c>
      <c r="X157">
        <f>Analise_Instancias!I151</f>
        <v>0.12510315941690275</v>
      </c>
      <c r="Y157">
        <f>Analise_Instancias!L151</f>
        <v>8.6571747830913592E-2</v>
      </c>
      <c r="Z157">
        <f>Analise_Instancias!Q151</f>
        <v>9.2404716014862061</v>
      </c>
      <c r="AA157" t="str">
        <f>Analise_Instancias!P151</f>
        <v>vrp_100</v>
      </c>
    </row>
    <row r="158" spans="18:27">
      <c r="R158" t="s">
        <v>1213</v>
      </c>
      <c r="S158" t="s">
        <v>205</v>
      </c>
      <c r="T158">
        <v>302</v>
      </c>
      <c r="U158">
        <v>184</v>
      </c>
      <c r="V158">
        <f>Analise_Instancias!O152</f>
        <v>8.1915963867546848E-2</v>
      </c>
      <c r="W158">
        <f>Analise_Instancias!F152</f>
        <v>0.22814487629968716</v>
      </c>
      <c r="X158">
        <f>Analise_Instancias!I152</f>
        <v>9.7220624769966957E-2</v>
      </c>
      <c r="Y158">
        <f>Analise_Instancias!L152</f>
        <v>8.1915963867546848E-2</v>
      </c>
      <c r="Z158">
        <f>Analise_Instancias!Q152</f>
        <v>9.1632113456726074</v>
      </c>
      <c r="AA158" t="str">
        <f>Analise_Instancias!P152</f>
        <v>vrp_100</v>
      </c>
    </row>
    <row r="159" spans="18:27">
      <c r="R159" t="s">
        <v>1213</v>
      </c>
      <c r="S159" t="s">
        <v>206</v>
      </c>
      <c r="T159">
        <v>307</v>
      </c>
      <c r="U159">
        <v>185</v>
      </c>
      <c r="V159">
        <f>Analise_Instancias!O153</f>
        <v>9.1121487562357384E-2</v>
      </c>
      <c r="W159">
        <f>Analise_Instancias!F153</f>
        <v>0.19492571191364716</v>
      </c>
      <c r="X159">
        <f>Analise_Instancias!I153</f>
        <v>9.9109367749139476E-2</v>
      </c>
      <c r="Y159">
        <f>Analise_Instancias!L153</f>
        <v>9.1121487562357384E-2</v>
      </c>
      <c r="Z159">
        <f>Analise_Instancias!Q153</f>
        <v>10.114853143692017</v>
      </c>
      <c r="AA159" t="str">
        <f>Analise_Instancias!P153</f>
        <v>vrp_100</v>
      </c>
    </row>
    <row r="160" spans="18:27">
      <c r="R160" t="s">
        <v>1213</v>
      </c>
      <c r="S160" t="s">
        <v>207</v>
      </c>
      <c r="T160">
        <v>312</v>
      </c>
      <c r="U160">
        <v>186</v>
      </c>
      <c r="V160">
        <f>Analise_Instancias!O154</f>
        <v>7.948574721138213E-2</v>
      </c>
      <c r="W160">
        <f>Analise_Instancias!F154</f>
        <v>0.11331410564847988</v>
      </c>
      <c r="X160">
        <f>Analise_Instancias!I154</f>
        <v>0.11402106283827607</v>
      </c>
      <c r="Y160">
        <f>Analise_Instancias!L154</f>
        <v>7.948574721138213E-2</v>
      </c>
      <c r="Z160">
        <f>Analise_Instancias!Q154</f>
        <v>11.636857032775879</v>
      </c>
      <c r="AA160" t="str">
        <f>Analise_Instancias!P154</f>
        <v>vrp_100</v>
      </c>
    </row>
    <row r="161" spans="18:27">
      <c r="R161" t="s">
        <v>1213</v>
      </c>
      <c r="S161" t="s">
        <v>208</v>
      </c>
      <c r="T161">
        <v>316</v>
      </c>
      <c r="U161">
        <v>187</v>
      </c>
      <c r="V161">
        <f>Analise_Instancias!O155</f>
        <v>6.2918069204262572E-2</v>
      </c>
      <c r="W161">
        <f>Analise_Instancias!F155</f>
        <v>9.4667299470359234E-2</v>
      </c>
      <c r="X161">
        <f>Analise_Instancias!I155</f>
        <v>6.7559903643672925E-2</v>
      </c>
      <c r="Y161">
        <f>Analise_Instancias!L155</f>
        <v>6.2918069204262572E-2</v>
      </c>
      <c r="Z161">
        <f>Analise_Instancias!Q155</f>
        <v>9.2928471565246582</v>
      </c>
      <c r="AA161" t="str">
        <f>Analise_Instancias!P155</f>
        <v>vrp_100</v>
      </c>
    </row>
    <row r="162" spans="18:27">
      <c r="R162" t="s">
        <v>1213</v>
      </c>
      <c r="S162" t="s">
        <v>209</v>
      </c>
      <c r="T162">
        <v>321</v>
      </c>
      <c r="U162">
        <v>188</v>
      </c>
      <c r="V162">
        <f>Analise_Instancias!O156</f>
        <v>8.4221428885667304E-2</v>
      </c>
      <c r="W162">
        <f>Analise_Instancias!F156</f>
        <v>0.23803509628276465</v>
      </c>
      <c r="X162">
        <f>Analise_Instancias!I156</f>
        <v>0.12090049314540452</v>
      </c>
      <c r="Y162">
        <f>Analise_Instancias!L156</f>
        <v>8.4221428885667304E-2</v>
      </c>
      <c r="Z162">
        <f>Analise_Instancias!Q156</f>
        <v>9.2479863166809082</v>
      </c>
      <c r="AA162" t="str">
        <f>Analise_Instancias!P156</f>
        <v>vrp_100</v>
      </c>
    </row>
    <row r="163" spans="18:27">
      <c r="R163" t="s">
        <v>1213</v>
      </c>
      <c r="S163" t="s">
        <v>210</v>
      </c>
      <c r="T163">
        <v>326</v>
      </c>
      <c r="U163">
        <v>189</v>
      </c>
      <c r="V163">
        <f>Analise_Instancias!O157</f>
        <v>7.8534892352535302E-2</v>
      </c>
      <c r="W163">
        <f>Analise_Instancias!F157</f>
        <v>0.19929777735907317</v>
      </c>
      <c r="X163">
        <f>Analise_Instancias!I157</f>
        <v>0.10339304037120445</v>
      </c>
      <c r="Y163">
        <f>Analise_Instancias!L157</f>
        <v>7.8534892352535302E-2</v>
      </c>
      <c r="Z163">
        <f>Analise_Instancias!Q157</f>
        <v>9.5423440933227539</v>
      </c>
      <c r="AA163" t="str">
        <f>Analise_Instancias!P157</f>
        <v>vrp_100</v>
      </c>
    </row>
    <row r="164" spans="18:27">
      <c r="R164" t="s">
        <v>1213</v>
      </c>
      <c r="S164" t="s">
        <v>211</v>
      </c>
      <c r="T164">
        <v>330</v>
      </c>
      <c r="U164">
        <v>190</v>
      </c>
      <c r="V164">
        <f>Analise_Instancias!O158</f>
        <v>7.3259456787344801E-2</v>
      </c>
      <c r="W164">
        <f>Analise_Instancias!F158</f>
        <v>0.12912805044691655</v>
      </c>
      <c r="X164">
        <f>Analise_Instancias!I158</f>
        <v>0.10785241403285961</v>
      </c>
      <c r="Y164">
        <f>Analise_Instancias!L158</f>
        <v>7.3259456787344801E-2</v>
      </c>
      <c r="Z164">
        <f>Analise_Instancias!Q158</f>
        <v>9.7984614372253418</v>
      </c>
      <c r="AA164" t="str">
        <f>Analise_Instancias!P158</f>
        <v>vrp_100</v>
      </c>
    </row>
    <row r="165" spans="18:27">
      <c r="R165" t="s">
        <v>1213</v>
      </c>
      <c r="S165" t="s">
        <v>212</v>
      </c>
      <c r="T165">
        <v>335</v>
      </c>
      <c r="U165">
        <v>191</v>
      </c>
      <c r="V165">
        <f>Analise_Instancias!O159</f>
        <v>7.2694646720963929E-2</v>
      </c>
      <c r="W165">
        <f>Analise_Instancias!F159</f>
        <v>0.10951506351043405</v>
      </c>
      <c r="X165">
        <f>Analise_Instancias!I159</f>
        <v>8.5269811517421301E-2</v>
      </c>
      <c r="Y165">
        <f>Analise_Instancias!L159</f>
        <v>7.2694646720963929E-2</v>
      </c>
      <c r="Z165">
        <f>Analise_Instancias!Q159</f>
        <v>13.620095491409302</v>
      </c>
      <c r="AA165" t="str">
        <f>Analise_Instancias!P159</f>
        <v>vrp_100</v>
      </c>
    </row>
    <row r="166" spans="18:27">
      <c r="R166" t="s">
        <v>1213</v>
      </c>
      <c r="S166" t="s">
        <v>213</v>
      </c>
      <c r="T166">
        <v>343</v>
      </c>
      <c r="U166">
        <v>192</v>
      </c>
      <c r="V166">
        <f>Analise_Instancias!O160</f>
        <v>9.0353559750297352E-2</v>
      </c>
      <c r="W166">
        <f>Analise_Instancias!F160</f>
        <v>0.22768579072532691</v>
      </c>
      <c r="X166">
        <f>Analise_Instancias!I160</f>
        <v>0.13105176129607621</v>
      </c>
      <c r="Y166">
        <f>Analise_Instancias!L160</f>
        <v>9.0353559750297352E-2</v>
      </c>
      <c r="Z166">
        <f>Analise_Instancias!Q160</f>
        <v>13.637347936630249</v>
      </c>
      <c r="AA166" t="str">
        <f>Analise_Instancias!P160</f>
        <v>vrp_100</v>
      </c>
    </row>
    <row r="167" spans="18:27">
      <c r="R167" t="s">
        <v>1213</v>
      </c>
      <c r="S167" t="s">
        <v>214</v>
      </c>
      <c r="T167">
        <v>350</v>
      </c>
      <c r="U167">
        <v>193</v>
      </c>
      <c r="V167">
        <f>Analise_Instancias!O161</f>
        <v>0.166506923125193</v>
      </c>
      <c r="W167">
        <f>Analise_Instancias!F161</f>
        <v>0.27800866929255474</v>
      </c>
      <c r="X167">
        <f>Analise_Instancias!I161</f>
        <v>0.20626503912283756</v>
      </c>
      <c r="Y167">
        <f>Analise_Instancias!L161</f>
        <v>0.166506923125193</v>
      </c>
      <c r="Z167">
        <f>Analise_Instancias!Q161</f>
        <v>13.340061187744141</v>
      </c>
      <c r="AA167" t="str">
        <f>Analise_Instancias!P161</f>
        <v>vrp_100</v>
      </c>
    </row>
    <row r="168" spans="18:27">
      <c r="R168" t="s">
        <v>1213</v>
      </c>
      <c r="S168" t="s">
        <v>215</v>
      </c>
      <c r="T168">
        <v>358</v>
      </c>
      <c r="U168">
        <v>194</v>
      </c>
      <c r="V168">
        <f>Analise_Instancias!O162</f>
        <v>6.8513220803805508E-2</v>
      </c>
      <c r="W168">
        <f>Analise_Instancias!F162</f>
        <v>0.19151660033006501</v>
      </c>
      <c r="X168">
        <f>Analise_Instancias!I162</f>
        <v>0.12132097308513745</v>
      </c>
      <c r="Y168">
        <f>Analise_Instancias!L162</f>
        <v>6.8513220803805508E-2</v>
      </c>
      <c r="Z168">
        <f>Analise_Instancias!Q162</f>
        <v>12.88707709312439</v>
      </c>
      <c r="AA168" t="str">
        <f>Analise_Instancias!P162</f>
        <v>vrp_100</v>
      </c>
    </row>
    <row r="169" spans="18:27">
      <c r="R169" t="s">
        <v>1213</v>
      </c>
      <c r="S169" t="s">
        <v>216</v>
      </c>
      <c r="T169">
        <v>366</v>
      </c>
      <c r="U169">
        <v>195</v>
      </c>
      <c r="V169">
        <f>Analise_Instancias!O163</f>
        <v>0.12529724072937665</v>
      </c>
      <c r="W169">
        <f>Analise_Instancias!F163</f>
        <v>0.21992286808538619</v>
      </c>
      <c r="X169">
        <f>Analise_Instancias!I163</f>
        <v>0.14393274483321639</v>
      </c>
      <c r="Y169">
        <f>Analise_Instancias!L163</f>
        <v>0.12529724072937665</v>
      </c>
      <c r="Z169">
        <f>Analise_Instancias!Q163</f>
        <v>13.14004921913147</v>
      </c>
      <c r="AA169" t="str">
        <f>Analise_Instancias!P163</f>
        <v>vrp_100</v>
      </c>
    </row>
    <row r="170" spans="18:27">
      <c r="R170" t="s">
        <v>1213</v>
      </c>
      <c r="S170" t="s">
        <v>217</v>
      </c>
      <c r="T170">
        <v>375</v>
      </c>
      <c r="U170">
        <v>196</v>
      </c>
      <c r="V170">
        <f>Analise_Instancias!O164</f>
        <v>6.6606358275845823E-2</v>
      </c>
      <c r="W170">
        <f>Analise_Instancias!F164</f>
        <v>0.1075573916987671</v>
      </c>
      <c r="X170">
        <f>Analise_Instancias!I164</f>
        <v>7.7698814593163856E-2</v>
      </c>
      <c r="Y170">
        <f>Analise_Instancias!L164</f>
        <v>6.6606358275845823E-2</v>
      </c>
      <c r="Z170">
        <f>Analise_Instancias!Q164</f>
        <v>13.441025972366333</v>
      </c>
      <c r="AA170" t="str">
        <f>Analise_Instancias!P164</f>
        <v>vrp_100</v>
      </c>
    </row>
    <row r="171" spans="18:27">
      <c r="R171" t="s">
        <v>1213</v>
      </c>
      <c r="S171" t="s">
        <v>218</v>
      </c>
      <c r="T171">
        <v>383</v>
      </c>
      <c r="U171">
        <v>197</v>
      </c>
      <c r="V171">
        <f>Analise_Instancias!O165</f>
        <v>9.5819589778586511E-2</v>
      </c>
      <c r="W171">
        <f>Analise_Instancias!F165</f>
        <v>0.18546074082499242</v>
      </c>
      <c r="X171">
        <f>Analise_Instancias!I165</f>
        <v>0.13789323153624511</v>
      </c>
      <c r="Y171">
        <f>Analise_Instancias!L165</f>
        <v>9.5819589778586511E-2</v>
      </c>
      <c r="Z171">
        <f>Analise_Instancias!Q165</f>
        <v>10.68390679359436</v>
      </c>
      <c r="AA171" t="str">
        <f>Analise_Instancias!P165</f>
        <v>vrp_100</v>
      </c>
    </row>
    <row r="172" spans="18:27">
      <c r="R172" t="s">
        <v>1213</v>
      </c>
      <c r="S172" t="s">
        <v>155</v>
      </c>
      <c r="T172">
        <v>385</v>
      </c>
      <c r="U172">
        <v>135</v>
      </c>
      <c r="V172">
        <f>Analise_Instancias!O103</f>
        <v>0.13418335421050642</v>
      </c>
      <c r="W172">
        <f>Analise_Instancias!F103</f>
        <v>0.25348243111909219</v>
      </c>
      <c r="X172">
        <f>Analise_Instancias!I103</f>
        <v>0.13418335421050642</v>
      </c>
      <c r="Y172">
        <f>Analise_Instancias!L103</f>
        <v>0.14815446172646585</v>
      </c>
      <c r="Z172">
        <f>Analise_Instancias!Q103</f>
        <v>25.904552459716797</v>
      </c>
      <c r="AA172" t="str">
        <f>Analise_Instancias!P103</f>
        <v>vrp_50</v>
      </c>
    </row>
    <row r="173" spans="18:27">
      <c r="R173" t="s">
        <v>1213</v>
      </c>
      <c r="S173" t="s">
        <v>219</v>
      </c>
      <c r="T173">
        <v>392</v>
      </c>
      <c r="U173">
        <v>198</v>
      </c>
      <c r="V173">
        <f>Analise_Instancias!O166</f>
        <v>0.11074065603763716</v>
      </c>
      <c r="W173">
        <f>Analise_Instancias!F166</f>
        <v>0.2996888068478829</v>
      </c>
      <c r="X173">
        <f>Analise_Instancias!I166</f>
        <v>0.14127250228698385</v>
      </c>
      <c r="Y173">
        <f>Analise_Instancias!L166</f>
        <v>0.11074065603763716</v>
      </c>
      <c r="Z173">
        <f>Analise_Instancias!Q166</f>
        <v>11.327511548995972</v>
      </c>
      <c r="AA173" t="str">
        <f>Analise_Instancias!P166</f>
        <v>vrp_100</v>
      </c>
    </row>
    <row r="174" spans="18:27">
      <c r="R174" t="s">
        <v>1213</v>
      </c>
      <c r="S174" t="s">
        <v>220</v>
      </c>
      <c r="T174">
        <v>400</v>
      </c>
      <c r="U174">
        <v>199</v>
      </c>
      <c r="V174">
        <f>Analise_Instancias!O167</f>
        <v>6.5347522447622319E-2</v>
      </c>
      <c r="W174">
        <f>Analise_Instancias!F167</f>
        <v>0.14721934331257369</v>
      </c>
      <c r="X174">
        <f>Analise_Instancias!I167</f>
        <v>0.11391684081839348</v>
      </c>
      <c r="Y174">
        <f>Analise_Instancias!L167</f>
        <v>6.5347522447622319E-2</v>
      </c>
      <c r="Z174">
        <f>Analise_Instancias!Q167</f>
        <v>13.245702028274536</v>
      </c>
      <c r="AA174" t="str">
        <f>Analise_Instancias!P167</f>
        <v>vrp_100</v>
      </c>
    </row>
    <row r="175" spans="18:27">
      <c r="R175" t="s">
        <v>1213</v>
      </c>
      <c r="S175" t="s">
        <v>221</v>
      </c>
      <c r="T175">
        <v>410</v>
      </c>
      <c r="U175">
        <v>200</v>
      </c>
      <c r="V175">
        <f>Analise_Instancias!O168</f>
        <v>0.20634410907695822</v>
      </c>
      <c r="W175">
        <f>Analise_Instancias!F168</f>
        <v>0.43546869847681613</v>
      </c>
      <c r="X175">
        <f>Analise_Instancias!I168</f>
        <v>0.21208963765726452</v>
      </c>
      <c r="Y175">
        <f>Analise_Instancias!L168</f>
        <v>0.20634410907695822</v>
      </c>
      <c r="Z175">
        <f>Analise_Instancias!Q168</f>
        <v>12.858561277389526</v>
      </c>
      <c r="AA175" t="str">
        <f>Analise_Instancias!P168</f>
        <v>vrp_100</v>
      </c>
    </row>
    <row r="176" spans="18:27">
      <c r="R176" t="s">
        <v>1213</v>
      </c>
      <c r="S176" t="s">
        <v>222</v>
      </c>
      <c r="T176">
        <v>419</v>
      </c>
      <c r="U176">
        <v>201</v>
      </c>
      <c r="V176">
        <f>Analise_Instancias!O169</f>
        <v>0.10180188002096524</v>
      </c>
      <c r="W176">
        <f>Analise_Instancias!F169</f>
        <v>0.13878902843744778</v>
      </c>
      <c r="X176">
        <f>Analise_Instancias!I169</f>
        <v>0.13614062876862287</v>
      </c>
      <c r="Y176">
        <f>Analise_Instancias!L169</f>
        <v>0.10180188002096524</v>
      </c>
      <c r="Z176">
        <f>Analise_Instancias!Q169</f>
        <v>18.478302240371704</v>
      </c>
      <c r="AA176" t="str">
        <f>Analise_Instancias!P169</f>
        <v>vrp_100</v>
      </c>
    </row>
    <row r="177" spans="18:27">
      <c r="R177" t="s">
        <v>1213</v>
      </c>
      <c r="S177" t="s">
        <v>223</v>
      </c>
      <c r="T177">
        <v>428</v>
      </c>
      <c r="U177">
        <v>202</v>
      </c>
      <c r="V177">
        <f>Analise_Instancias!O170</f>
        <v>0.10372914406637235</v>
      </c>
      <c r="W177">
        <f>Analise_Instancias!F170</f>
        <v>0.22721723211966571</v>
      </c>
      <c r="X177">
        <f>Analise_Instancias!I170</f>
        <v>0.14618276253265905</v>
      </c>
      <c r="Y177">
        <f>Analise_Instancias!L170</f>
        <v>0.10372914406637235</v>
      </c>
      <c r="Z177">
        <f>Analise_Instancias!Q170</f>
        <v>14.606542587280273</v>
      </c>
      <c r="AA177" t="str">
        <f>Analise_Instancias!P170</f>
        <v>vrp_100</v>
      </c>
    </row>
    <row r="178" spans="18:27">
      <c r="R178" t="s">
        <v>1213</v>
      </c>
      <c r="S178" t="s">
        <v>224</v>
      </c>
      <c r="T178">
        <v>438</v>
      </c>
      <c r="U178">
        <v>203</v>
      </c>
      <c r="V178">
        <f>Analise_Instancias!O171</f>
        <v>9.1409534637685086E-2</v>
      </c>
      <c r="W178">
        <f>Analise_Instancias!F171</f>
        <v>0.286092049716963</v>
      </c>
      <c r="X178">
        <f>Analise_Instancias!I171</f>
        <v>0.13809840516886052</v>
      </c>
      <c r="Y178">
        <f>Analise_Instancias!L171</f>
        <v>9.1409534637685086E-2</v>
      </c>
      <c r="Z178">
        <f>Analise_Instancias!Q171</f>
        <v>13.084031820297241</v>
      </c>
      <c r="AA178" t="str">
        <f>Analise_Instancias!P171</f>
        <v>vrp_100</v>
      </c>
    </row>
    <row r="179" spans="18:27">
      <c r="R179" t="s">
        <v>1213</v>
      </c>
      <c r="S179" t="s">
        <v>225</v>
      </c>
      <c r="T179">
        <v>448</v>
      </c>
      <c r="U179">
        <v>204</v>
      </c>
      <c r="V179">
        <f>Analise_Instancias!O172</f>
        <v>8.1942492486375862E-2</v>
      </c>
      <c r="W179">
        <f>Analise_Instancias!F172</f>
        <v>0.20689341064218847</v>
      </c>
      <c r="X179">
        <f>Analise_Instancias!I172</f>
        <v>0.12930703791211773</v>
      </c>
      <c r="Y179">
        <f>Analise_Instancias!L172</f>
        <v>8.1942492486375862E-2</v>
      </c>
      <c r="Z179">
        <f>Analise_Instancias!Q172</f>
        <v>12.942208051681519</v>
      </c>
      <c r="AA179" t="str">
        <f>Analise_Instancias!P172</f>
        <v>vrp_100</v>
      </c>
    </row>
    <row r="180" spans="18:27">
      <c r="R180" t="s">
        <v>1213</v>
      </c>
      <c r="S180" t="s">
        <v>226</v>
      </c>
      <c r="T180">
        <v>458</v>
      </c>
      <c r="U180">
        <v>205</v>
      </c>
      <c r="V180">
        <f>Analise_Instancias!O173</f>
        <v>0.22911882094328684</v>
      </c>
      <c r="W180">
        <f>Analise_Instancias!F173</f>
        <v>0.44280084225734284</v>
      </c>
      <c r="X180">
        <f>Analise_Instancias!I173</f>
        <v>0.22911882094328684</v>
      </c>
      <c r="Y180">
        <f>Analise_Instancias!L173</f>
        <v>0.23637578192965747</v>
      </c>
      <c r="Z180">
        <f>Analise_Instancias!Q173</f>
        <v>13.899314880371094</v>
      </c>
      <c r="AA180" t="str">
        <f>Analise_Instancias!P173</f>
        <v>vrp_50</v>
      </c>
    </row>
    <row r="181" spans="18:27">
      <c r="R181" t="s">
        <v>1213</v>
      </c>
      <c r="S181" t="s">
        <v>227</v>
      </c>
      <c r="T181">
        <v>468</v>
      </c>
      <c r="U181">
        <v>206</v>
      </c>
      <c r="V181">
        <f>Analise_Instancias!O174</f>
        <v>0.11188423874332809</v>
      </c>
      <c r="W181">
        <f>Analise_Instancias!F174</f>
        <v>0.13755323758925986</v>
      </c>
      <c r="X181">
        <f>Analise_Instancias!I174</f>
        <v>0.11188423874332809</v>
      </c>
      <c r="Y181">
        <f>Analise_Instancias!L174</f>
        <v>0.11676543115262561</v>
      </c>
      <c r="Z181">
        <f>Analise_Instancias!Q174</f>
        <v>19.217891454696655</v>
      </c>
      <c r="AA181" t="str">
        <f>Analise_Instancias!P174</f>
        <v>vrp_50</v>
      </c>
    </row>
    <row r="182" spans="18:27">
      <c r="R182" t="s">
        <v>1213</v>
      </c>
      <c r="S182" t="s">
        <v>228</v>
      </c>
      <c r="T182">
        <v>479</v>
      </c>
      <c r="U182">
        <v>207</v>
      </c>
      <c r="V182">
        <f>Analise_Instancias!O175</f>
        <v>8.9263679582779032E-2</v>
      </c>
      <c r="W182">
        <f>Analise_Instancias!F175</f>
        <v>0.16828243258728448</v>
      </c>
      <c r="X182">
        <f>Analise_Instancias!I175</f>
        <v>0.122792823983499</v>
      </c>
      <c r="Y182">
        <f>Analise_Instancias!L175</f>
        <v>8.9263679582779032E-2</v>
      </c>
      <c r="Z182">
        <f>Analise_Instancias!Q175</f>
        <v>15.293423891067505</v>
      </c>
      <c r="AA182" t="str">
        <f>Analise_Instancias!P175</f>
        <v>vrp_100</v>
      </c>
    </row>
    <row r="183" spans="18:27">
      <c r="R183" t="s">
        <v>1213</v>
      </c>
      <c r="S183" t="s">
        <v>229</v>
      </c>
      <c r="T183">
        <v>490</v>
      </c>
      <c r="U183">
        <v>208</v>
      </c>
      <c r="V183">
        <f>Analise_Instancias!O176</f>
        <v>9.7241729088639151E-2</v>
      </c>
      <c r="W183">
        <f>Analise_Instancias!F176</f>
        <v>0.31732007618488933</v>
      </c>
      <c r="X183">
        <f>Analise_Instancias!I176</f>
        <v>0.15684719213934395</v>
      </c>
      <c r="Y183">
        <f>Analise_Instancias!L176</f>
        <v>9.7241729088639151E-2</v>
      </c>
      <c r="Z183">
        <f>Analise_Instancias!Q176</f>
        <v>12.595240116119385</v>
      </c>
      <c r="AA183" t="str">
        <f>Analise_Instancias!P176</f>
        <v>vrp_100</v>
      </c>
    </row>
    <row r="184" spans="18:27">
      <c r="R184" t="s">
        <v>1214</v>
      </c>
      <c r="S184" t="s">
        <v>230</v>
      </c>
      <c r="T184">
        <v>501</v>
      </c>
      <c r="U184">
        <v>209</v>
      </c>
      <c r="V184">
        <f>Analise_Instancias!O177</f>
        <v>5.3490559905237989E-2</v>
      </c>
      <c r="W184">
        <f>Analise_Instancias!F177</f>
        <v>0.11410543004073603</v>
      </c>
      <c r="X184">
        <f>Analise_Instancias!I177</f>
        <v>0.37240185226648936</v>
      </c>
      <c r="Y184">
        <f>Analise_Instancias!L177</f>
        <v>5.3490559905237989E-2</v>
      </c>
      <c r="Z184">
        <f>Analise_Instancias!Q177</f>
        <v>12.885387897491455</v>
      </c>
      <c r="AA184" t="str">
        <f>Analise_Instancias!P177</f>
        <v>vrp_100</v>
      </c>
    </row>
    <row r="185" spans="18:27">
      <c r="R185" t="s">
        <v>1214</v>
      </c>
      <c r="S185" t="s">
        <v>231</v>
      </c>
      <c r="T185">
        <v>512</v>
      </c>
      <c r="U185">
        <v>210</v>
      </c>
      <c r="V185">
        <f>Analise_Instancias!O178</f>
        <v>0.12440593557600921</v>
      </c>
      <c r="W185">
        <f>Analise_Instancias!F178</f>
        <v>0.3236836804264287</v>
      </c>
      <c r="X185">
        <f>Analise_Instancias!I178</f>
        <v>0.20320473585802246</v>
      </c>
      <c r="Y185">
        <f>Analise_Instancias!L178</f>
        <v>0.12440593557600921</v>
      </c>
      <c r="Z185">
        <f>Analise_Instancias!Q178</f>
        <v>12.360720872879028</v>
      </c>
      <c r="AA185" t="str">
        <f>Analise_Instancias!P178</f>
        <v>vrp_100</v>
      </c>
    </row>
    <row r="186" spans="18:27">
      <c r="R186" t="s">
        <v>1214</v>
      </c>
      <c r="S186" t="s">
        <v>232</v>
      </c>
      <c r="T186">
        <v>523</v>
      </c>
      <c r="U186">
        <v>211</v>
      </c>
      <c r="V186">
        <f>Analise_Instancias!O179</f>
        <v>0.10406013694022365</v>
      </c>
      <c r="W186">
        <f>Analise_Instancias!F179</f>
        <v>0.18188404390884449</v>
      </c>
      <c r="X186">
        <f>Analise_Instancias!I179</f>
        <v>0.13191200038164719</v>
      </c>
      <c r="Y186">
        <f>Analise_Instancias!L179</f>
        <v>0.10406013694022365</v>
      </c>
      <c r="Z186">
        <f>Analise_Instancias!Q179</f>
        <v>19.62412166595459</v>
      </c>
      <c r="AA186" t="str">
        <f>Analise_Instancias!P179</f>
        <v>vrp_100</v>
      </c>
    </row>
    <row r="187" spans="18:27">
      <c r="R187" t="s">
        <v>1214</v>
      </c>
      <c r="S187" t="s">
        <v>233</v>
      </c>
      <c r="T187">
        <v>535</v>
      </c>
      <c r="U187">
        <v>212</v>
      </c>
      <c r="V187">
        <f>Analise_Instancias!O180</f>
        <v>0.10994895672985683</v>
      </c>
      <c r="W187">
        <f>Analise_Instancias!F180</f>
        <v>0.20013413190856766</v>
      </c>
      <c r="X187">
        <f>Analise_Instancias!I180</f>
        <v>0.16395443007612331</v>
      </c>
      <c r="Y187">
        <f>Analise_Instancias!L180</f>
        <v>0.10994895672985683</v>
      </c>
      <c r="Z187">
        <f>Analise_Instancias!Q180</f>
        <v>14.656426906585693</v>
      </c>
      <c r="AA187" t="str">
        <f>Analise_Instancias!P180</f>
        <v>vrp_100</v>
      </c>
    </row>
    <row r="188" spans="18:27">
      <c r="R188" t="s">
        <v>1214</v>
      </c>
      <c r="S188" t="s">
        <v>234</v>
      </c>
      <c r="T188">
        <v>547</v>
      </c>
      <c r="U188">
        <v>213</v>
      </c>
      <c r="V188">
        <f>Analise_Instancias!O181</f>
        <v>0.18365664648212232</v>
      </c>
      <c r="W188">
        <f>Analise_Instancias!F181</f>
        <v>0.31049280925605527</v>
      </c>
      <c r="X188">
        <f>Analise_Instancias!I181</f>
        <v>0.22417937211649375</v>
      </c>
      <c r="Y188">
        <f>Analise_Instancias!L181</f>
        <v>0.18365664648212232</v>
      </c>
      <c r="Z188">
        <f>Analise_Instancias!Q181</f>
        <v>12.08414888381958</v>
      </c>
      <c r="AA188" t="str">
        <f>Analise_Instancias!P181</f>
        <v>vrp_100</v>
      </c>
    </row>
    <row r="189" spans="18:27">
      <c r="R189" t="s">
        <v>1214</v>
      </c>
      <c r="S189" t="s">
        <v>235</v>
      </c>
      <c r="T189">
        <v>560</v>
      </c>
      <c r="U189">
        <v>214</v>
      </c>
      <c r="V189">
        <f>Analise_Instancias!O182</f>
        <v>0.1208047842486597</v>
      </c>
      <c r="W189">
        <f>Analise_Instancias!F182</f>
        <v>0.35548447851557929</v>
      </c>
      <c r="X189">
        <f>Analise_Instancias!I182</f>
        <v>0.16171437893578666</v>
      </c>
      <c r="Y189">
        <f>Analise_Instancias!L182</f>
        <v>0.1208047842486597</v>
      </c>
      <c r="Z189">
        <f>Analise_Instancias!Q182</f>
        <v>12.497874021530151</v>
      </c>
      <c r="AA189" t="str">
        <f>Analise_Instancias!P182</f>
        <v>vrp_100</v>
      </c>
    </row>
    <row r="190" spans="18:27">
      <c r="R190" t="s">
        <v>1214</v>
      </c>
      <c r="S190" t="s">
        <v>236</v>
      </c>
      <c r="T190">
        <v>572</v>
      </c>
      <c r="U190">
        <v>215</v>
      </c>
      <c r="V190">
        <f>Analise_Instancias!O183</f>
        <v>0.14651316714522533</v>
      </c>
      <c r="W190">
        <f>Analise_Instancias!F183</f>
        <v>0.24674637195843951</v>
      </c>
      <c r="X190">
        <f>Analise_Instancias!I183</f>
        <v>0.14651316714522533</v>
      </c>
      <c r="Y190">
        <f>Analise_Instancias!L183</f>
        <v>0.35540407366842297</v>
      </c>
      <c r="Z190">
        <f>Analise_Instancias!Q183</f>
        <v>14.45100212097168</v>
      </c>
      <c r="AA190" t="str">
        <f>Analise_Instancias!P183</f>
        <v>vrp_50</v>
      </c>
    </row>
    <row r="191" spans="18:27">
      <c r="R191" t="s">
        <v>1214</v>
      </c>
      <c r="S191" t="s">
        <v>237</v>
      </c>
      <c r="T191">
        <v>585</v>
      </c>
      <c r="U191">
        <v>216</v>
      </c>
      <c r="V191">
        <f>Analise_Instancias!O184</f>
        <v>0.1223544000504424</v>
      </c>
      <c r="W191">
        <f>Analise_Instancias!F184</f>
        <v>0.18088542542403152</v>
      </c>
      <c r="X191">
        <f>Analise_Instancias!I184</f>
        <v>0.15058762466108999</v>
      </c>
      <c r="Y191">
        <f>Analise_Instancias!L184</f>
        <v>0.1223544000504424</v>
      </c>
      <c r="Z191">
        <f>Analise_Instancias!Q184</f>
        <v>19.250190258026123</v>
      </c>
      <c r="AA191" t="str">
        <f>Analise_Instancias!P184</f>
        <v>vrp_100</v>
      </c>
    </row>
    <row r="192" spans="18:27">
      <c r="R192" t="s">
        <v>1214</v>
      </c>
      <c r="S192" t="s">
        <v>238</v>
      </c>
      <c r="T192">
        <v>598</v>
      </c>
      <c r="U192">
        <v>217</v>
      </c>
      <c r="V192">
        <f>Analise_Instancias!O185</f>
        <v>0.13920313090704561</v>
      </c>
      <c r="W192">
        <f>Analise_Instancias!F185</f>
        <v>0.2589856248443998</v>
      </c>
      <c r="X192">
        <f>Analise_Instancias!I185</f>
        <v>0.16227914853251701</v>
      </c>
      <c r="Y192">
        <f>Analise_Instancias!L185</f>
        <v>0.13920313090704561</v>
      </c>
      <c r="Z192">
        <f>Analise_Instancias!Q185</f>
        <v>14.355743885040283</v>
      </c>
      <c r="AA192" t="str">
        <f>Analise_Instancias!P185</f>
        <v>vrp_100</v>
      </c>
    </row>
    <row r="193" spans="18:27">
      <c r="R193" t="s">
        <v>1214</v>
      </c>
      <c r="S193" t="s">
        <v>239</v>
      </c>
      <c r="T193">
        <v>612</v>
      </c>
      <c r="U193">
        <v>218</v>
      </c>
      <c r="V193">
        <f>Analise_Instancias!O186</f>
        <v>0.1271892321743513</v>
      </c>
      <c r="W193">
        <f>Analise_Instancias!F186</f>
        <v>0.34357113987570331</v>
      </c>
      <c r="X193">
        <f>Analise_Instancias!I186</f>
        <v>0.17515825774754346</v>
      </c>
      <c r="Y193">
        <f>Analise_Instancias!L186</f>
        <v>0.1271892321743513</v>
      </c>
      <c r="Z193">
        <f>Analise_Instancias!Q186</f>
        <v>13.08194637298584</v>
      </c>
      <c r="AA193" t="str">
        <f>Analise_Instancias!P186</f>
        <v>vrp_100</v>
      </c>
    </row>
    <row r="194" spans="18:27">
      <c r="R194" t="s">
        <v>1214</v>
      </c>
      <c r="S194" t="s">
        <v>240</v>
      </c>
      <c r="T194">
        <v>626</v>
      </c>
      <c r="U194">
        <v>219</v>
      </c>
      <c r="V194">
        <f>Analise_Instancias!O187</f>
        <v>0.1856485465864488</v>
      </c>
      <c r="W194">
        <f>Analise_Instancias!F187</f>
        <v>0.36523701418827614</v>
      </c>
      <c r="X194">
        <f>Analise_Instancias!I187</f>
        <v>0.1856485465864488</v>
      </c>
      <c r="Y194">
        <f>Analise_Instancias!L187</f>
        <v>0.32014660816549778</v>
      </c>
      <c r="Z194">
        <f>Analise_Instancias!Q187</f>
        <v>12.534502744674683</v>
      </c>
      <c r="AA194" t="str">
        <f>Analise_Instancias!P187</f>
        <v>vrp_50</v>
      </c>
    </row>
    <row r="195" spans="18:27">
      <c r="R195" t="s">
        <v>1214</v>
      </c>
      <c r="S195" t="s">
        <v>241</v>
      </c>
      <c r="T195">
        <v>640</v>
      </c>
      <c r="U195">
        <v>220</v>
      </c>
      <c r="V195">
        <f>Analise_Instancias!O188</f>
        <v>9.6405077217197377E-2</v>
      </c>
      <c r="W195">
        <f>Analise_Instancias!F188</f>
        <v>0.20905319625023555</v>
      </c>
      <c r="X195">
        <f>Analise_Instancias!I188</f>
        <v>0.14645665021826515</v>
      </c>
      <c r="Y195">
        <f>Analise_Instancias!L188</f>
        <v>9.6405077217197377E-2</v>
      </c>
      <c r="Z195">
        <f>Analise_Instancias!Q188</f>
        <v>13.080227136611938</v>
      </c>
      <c r="AA195" t="str">
        <f>Analise_Instancias!P188</f>
        <v>vrp_100</v>
      </c>
    </row>
    <row r="196" spans="18:27">
      <c r="R196" t="s">
        <v>1214</v>
      </c>
      <c r="S196" t="s">
        <v>242</v>
      </c>
      <c r="T196">
        <v>654</v>
      </c>
      <c r="U196">
        <v>221</v>
      </c>
      <c r="V196">
        <f>Analise_Instancias!O189</f>
        <v>0.14447403539988768</v>
      </c>
      <c r="W196">
        <f>Analise_Instancias!F189</f>
        <v>0.17752695378348005</v>
      </c>
      <c r="X196">
        <f>Analise_Instancias!I189</f>
        <v>0.14447403539988768</v>
      </c>
      <c r="Y196">
        <f>Analise_Instancias!L189</f>
        <v>0.14760986373852791</v>
      </c>
      <c r="Z196">
        <f>Analise_Instancias!Q189</f>
        <v>22.884831428527832</v>
      </c>
      <c r="AA196" t="str">
        <f>Analise_Instancias!P189</f>
        <v>vrp_50</v>
      </c>
    </row>
    <row r="197" spans="18:27">
      <c r="R197" t="s">
        <v>1214</v>
      </c>
      <c r="S197" t="s">
        <v>243</v>
      </c>
      <c r="T197">
        <v>669</v>
      </c>
      <c r="U197">
        <v>222</v>
      </c>
      <c r="V197">
        <f>Analise_Instancias!O190</f>
        <v>0.13780350504332617</v>
      </c>
      <c r="W197">
        <f>Analise_Instancias!F190</f>
        <v>0.19283269380586621</v>
      </c>
      <c r="X197">
        <f>Analise_Instancias!I190</f>
        <v>0.13780350504332617</v>
      </c>
      <c r="Y197">
        <f>Analise_Instancias!L190</f>
        <v>0.14712541515184641</v>
      </c>
      <c r="Z197">
        <f>Analise_Instancias!Q190</f>
        <v>23.999434471130371</v>
      </c>
      <c r="AA197" t="str">
        <f>Analise_Instancias!P190</f>
        <v>vrp_50</v>
      </c>
    </row>
    <row r="198" spans="18:27">
      <c r="R198" t="s">
        <v>1214</v>
      </c>
      <c r="S198" t="s">
        <v>244</v>
      </c>
      <c r="T198">
        <v>684</v>
      </c>
      <c r="U198">
        <v>223</v>
      </c>
      <c r="V198">
        <f>Analise_Instancias!O191</f>
        <v>0.13151780477970831</v>
      </c>
      <c r="W198">
        <f>Analise_Instancias!F191</f>
        <v>0.34731691224983496</v>
      </c>
      <c r="X198">
        <f>Analise_Instancias!I191</f>
        <v>0.18063810387801471</v>
      </c>
      <c r="Y198">
        <f>Analise_Instancias!L191</f>
        <v>0.13151780477970831</v>
      </c>
      <c r="Z198">
        <f>Analise_Instancias!Q191</f>
        <v>15.640901803970337</v>
      </c>
      <c r="AA198" t="str">
        <f>Analise_Instancias!P191</f>
        <v>vrp_100</v>
      </c>
    </row>
    <row r="199" spans="18:27">
      <c r="R199" t="s">
        <v>1214</v>
      </c>
      <c r="S199" t="s">
        <v>245</v>
      </c>
      <c r="T199">
        <v>700</v>
      </c>
      <c r="U199">
        <v>224</v>
      </c>
      <c r="V199">
        <f>Analise_Instancias!O192</f>
        <v>7.3640510754000799E-2</v>
      </c>
      <c r="W199">
        <f>Analise_Instancias!F192</f>
        <v>0.23755204963807475</v>
      </c>
      <c r="X199">
        <f>Analise_Instancias!I192</f>
        <v>0.13180688725998801</v>
      </c>
      <c r="Y199">
        <f>Analise_Instancias!L192</f>
        <v>7.3640510754000799E-2</v>
      </c>
      <c r="Z199">
        <f>Analise_Instancias!Q192</f>
        <v>14.724606513977051</v>
      </c>
      <c r="AA199" t="str">
        <f>Analise_Instancias!P192</f>
        <v>vrp_100</v>
      </c>
    </row>
    <row r="200" spans="18:27">
      <c r="R200" t="s">
        <v>1214</v>
      </c>
      <c r="S200" t="s">
        <v>246</v>
      </c>
      <c r="T200">
        <v>715</v>
      </c>
      <c r="U200">
        <v>225</v>
      </c>
      <c r="V200">
        <f>Analise_Instancias!O193</f>
        <v>0.17677138931478109</v>
      </c>
      <c r="W200">
        <f>Analise_Instancias!F193</f>
        <v>0.48660925287621337</v>
      </c>
      <c r="X200">
        <f>Analise_Instancias!I193</f>
        <v>0.20843324187858814</v>
      </c>
      <c r="Y200">
        <f>Analise_Instancias!L193</f>
        <v>0.17677138931478109</v>
      </c>
      <c r="Z200">
        <f>Analise_Instancias!Q193</f>
        <v>16.168105363845825</v>
      </c>
      <c r="AA200" t="str">
        <f>Analise_Instancias!P193</f>
        <v>vrp_100</v>
      </c>
    </row>
    <row r="201" spans="18:27">
      <c r="R201" t="s">
        <v>1214</v>
      </c>
      <c r="S201" t="s">
        <v>247</v>
      </c>
      <c r="T201">
        <v>732</v>
      </c>
      <c r="U201">
        <v>226</v>
      </c>
      <c r="V201">
        <f>Analise_Instancias!O194</f>
        <v>0.12204048936388934</v>
      </c>
      <c r="W201">
        <f>Analise_Instancias!F194</f>
        <v>0.22135613623179884</v>
      </c>
      <c r="X201">
        <f>Analise_Instancias!I194</f>
        <v>0.14021414488901285</v>
      </c>
      <c r="Y201">
        <f>Analise_Instancias!L194</f>
        <v>0.12204048936388934</v>
      </c>
      <c r="Z201">
        <f>Analise_Instancias!Q194</f>
        <v>23.113996982574463</v>
      </c>
      <c r="AA201" t="str">
        <f>Analise_Instancias!P194</f>
        <v>vrp_100</v>
      </c>
    </row>
    <row r="202" spans="18:27">
      <c r="R202" t="s">
        <v>1214</v>
      </c>
      <c r="S202" t="s">
        <v>248</v>
      </c>
      <c r="T202">
        <v>748</v>
      </c>
      <c r="U202">
        <v>227</v>
      </c>
      <c r="V202">
        <f>Analise_Instancias!O195</f>
        <v>0.15653209081261577</v>
      </c>
      <c r="W202">
        <f>Analise_Instancias!F195</f>
        <v>0.43436272551087751</v>
      </c>
      <c r="X202">
        <f>Analise_Instancias!I195</f>
        <v>0.19255761527908999</v>
      </c>
      <c r="Y202">
        <f>Analise_Instancias!L195</f>
        <v>0.15653209081261577</v>
      </c>
      <c r="Z202">
        <f>Analise_Instancias!Q195</f>
        <v>17.479253768920898</v>
      </c>
      <c r="AA202" t="str">
        <f>Analise_Instancias!P195</f>
        <v>vrp_100</v>
      </c>
    </row>
    <row r="203" spans="18:27">
      <c r="R203" t="s">
        <v>1214</v>
      </c>
      <c r="S203" t="s">
        <v>249</v>
      </c>
      <c r="T203">
        <v>765</v>
      </c>
      <c r="U203">
        <v>228</v>
      </c>
      <c r="V203">
        <f>Analise_Instancias!O196</f>
        <v>0.12651064745623475</v>
      </c>
      <c r="W203">
        <f>Analise_Instancias!F196</f>
        <v>0.20998300077785648</v>
      </c>
      <c r="X203">
        <f>Analise_Instancias!I196</f>
        <v>0.1372965091507381</v>
      </c>
      <c r="Y203">
        <f>Analise_Instancias!L196</f>
        <v>0.12651064745623475</v>
      </c>
      <c r="Z203">
        <f>Analise_Instancias!Q196</f>
        <v>23.911049365997314</v>
      </c>
      <c r="AA203" t="str">
        <f>Analise_Instancias!P196</f>
        <v>vrp_100</v>
      </c>
    </row>
    <row r="204" spans="18:27">
      <c r="R204" t="s">
        <v>1214</v>
      </c>
      <c r="S204" t="s">
        <v>250</v>
      </c>
      <c r="T204">
        <v>782</v>
      </c>
      <c r="U204">
        <v>229</v>
      </c>
      <c r="V204">
        <f>Analise_Instancias!O197</f>
        <v>0.12311665066449318</v>
      </c>
      <c r="W204">
        <f>Analise_Instancias!F197</f>
        <v>0.32158454328185004</v>
      </c>
      <c r="X204">
        <f>Analise_Instancias!I197</f>
        <v>0.17262100060785235</v>
      </c>
      <c r="Y204">
        <f>Analise_Instancias!L197</f>
        <v>0.12311665066449318</v>
      </c>
      <c r="Z204">
        <f>Analise_Instancias!Q197</f>
        <v>17.613973379135132</v>
      </c>
      <c r="AA204" t="str">
        <f>Analise_Instancias!P197</f>
        <v>vrp_100</v>
      </c>
    </row>
    <row r="205" spans="18:27">
      <c r="R205" t="s">
        <v>1214</v>
      </c>
      <c r="S205" t="s">
        <v>251</v>
      </c>
      <c r="T205">
        <v>800</v>
      </c>
      <c r="U205">
        <v>230</v>
      </c>
      <c r="V205">
        <f>Analise_Instancias!O198</f>
        <v>0.15975539993998167</v>
      </c>
      <c r="W205">
        <f>Analise_Instancias!F198</f>
        <v>0.29273936551131485</v>
      </c>
      <c r="X205">
        <f>Analise_Instancias!I198</f>
        <v>0.20292369579599234</v>
      </c>
      <c r="Y205">
        <f>Analise_Instancias!L198</f>
        <v>0.15975539993998167</v>
      </c>
      <c r="Z205">
        <f>Analise_Instancias!Q198</f>
        <v>13.751477479934692</v>
      </c>
      <c r="AA205" t="str">
        <f>Analise_Instancias!P198</f>
        <v>vrp_100</v>
      </c>
    </row>
    <row r="206" spans="18:27">
      <c r="R206" t="s">
        <v>1214</v>
      </c>
      <c r="S206" t="s">
        <v>252</v>
      </c>
      <c r="T206">
        <v>818</v>
      </c>
      <c r="U206">
        <v>231</v>
      </c>
      <c r="V206">
        <f>Analise_Instancias!O199</f>
        <v>0.15981234307903436</v>
      </c>
      <c r="W206">
        <f>Analise_Instancias!F199</f>
        <v>0.21700450129963755</v>
      </c>
      <c r="X206">
        <f>Analise_Instancias!I199</f>
        <v>0.20684653682939014</v>
      </c>
      <c r="Y206">
        <f>Analise_Instancias!L199</f>
        <v>0.15981234307903436</v>
      </c>
      <c r="Z206">
        <f>Analise_Instancias!Q199</f>
        <v>26.564434766769409</v>
      </c>
      <c r="AA206" t="str">
        <f>Analise_Instancias!P199</f>
        <v>vrp_100</v>
      </c>
    </row>
    <row r="207" spans="18:27">
      <c r="R207" t="s">
        <v>1214</v>
      </c>
      <c r="S207" t="s">
        <v>253</v>
      </c>
      <c r="T207">
        <v>836</v>
      </c>
      <c r="U207">
        <v>232</v>
      </c>
      <c r="V207">
        <f>Analise_Instancias!O200</f>
        <v>0.1121217972044577</v>
      </c>
      <c r="W207">
        <f>Analise_Instancias!F200</f>
        <v>0.21529315515363612</v>
      </c>
      <c r="X207">
        <f>Analise_Instancias!I200</f>
        <v>0.15792091856485846</v>
      </c>
      <c r="Y207">
        <f>Analise_Instancias!L200</f>
        <v>0.1121217972044577</v>
      </c>
      <c r="Z207">
        <f>Analise_Instancias!Q200</f>
        <v>25.714474439620972</v>
      </c>
      <c r="AA207" t="str">
        <f>Analise_Instancias!P200</f>
        <v>vrp_100</v>
      </c>
    </row>
    <row r="208" spans="18:27">
      <c r="R208" t="s">
        <v>1214</v>
      </c>
      <c r="S208" t="s">
        <v>254</v>
      </c>
      <c r="T208">
        <v>855</v>
      </c>
      <c r="U208">
        <v>233</v>
      </c>
      <c r="V208">
        <f>Analise_Instancias!O201</f>
        <v>0.1340303244253358</v>
      </c>
      <c r="W208">
        <f>Analise_Instancias!F201</f>
        <v>0.40220724090934645</v>
      </c>
      <c r="X208">
        <f>Analise_Instancias!I201</f>
        <v>0.18219278648906867</v>
      </c>
      <c r="Y208">
        <f>Analise_Instancias!L201</f>
        <v>0.1340303244253358</v>
      </c>
      <c r="Z208">
        <f>Analise_Instancias!Q201</f>
        <v>19.373068332672119</v>
      </c>
      <c r="AA208" t="str">
        <f>Analise_Instancias!P201</f>
        <v>vrp_100</v>
      </c>
    </row>
    <row r="209" spans="18:27">
      <c r="R209" t="s">
        <v>1214</v>
      </c>
      <c r="S209" t="s">
        <v>255</v>
      </c>
      <c r="T209">
        <v>875</v>
      </c>
      <c r="U209">
        <v>234</v>
      </c>
      <c r="V209">
        <f>Analise_Instancias!O202</f>
        <v>0.10023687927370872</v>
      </c>
      <c r="W209">
        <f>Analise_Instancias!F202</f>
        <v>0.25316814620489625</v>
      </c>
      <c r="X209">
        <f>Analise_Instancias!I202</f>
        <v>0.19595788351342924</v>
      </c>
      <c r="Y209">
        <f>Analise_Instancias!L202</f>
        <v>0.10023687927370872</v>
      </c>
      <c r="Z209">
        <f>Analise_Instancias!Q202</f>
        <v>16.775312185287476</v>
      </c>
      <c r="AA209" t="str">
        <f>Analise_Instancias!P202</f>
        <v>vrp_100</v>
      </c>
    </row>
    <row r="210" spans="18:27">
      <c r="R210" t="s">
        <v>1214</v>
      </c>
      <c r="S210" t="s">
        <v>256</v>
      </c>
      <c r="T210">
        <v>894</v>
      </c>
      <c r="U210">
        <v>235</v>
      </c>
      <c r="V210">
        <f>Analise_Instancias!O203</f>
        <v>0.14738253690122538</v>
      </c>
      <c r="W210">
        <f>Analise_Instancias!F203</f>
        <v>0.33164947317118454</v>
      </c>
      <c r="X210">
        <f>Analise_Instancias!I203</f>
        <v>0.21761105180096552</v>
      </c>
      <c r="Y210">
        <f>Analise_Instancias!L203</f>
        <v>0.14738253690122538</v>
      </c>
      <c r="Z210">
        <f>Analise_Instancias!Q203</f>
        <v>16.037331342697144</v>
      </c>
      <c r="AA210" t="str">
        <f>Analise_Instancias!P203</f>
        <v>vrp_100</v>
      </c>
    </row>
    <row r="211" spans="18:27">
      <c r="R211" t="s">
        <v>1214</v>
      </c>
      <c r="S211" t="s">
        <v>257</v>
      </c>
      <c r="T211">
        <v>915</v>
      </c>
      <c r="U211">
        <v>236</v>
      </c>
      <c r="V211">
        <f>Analise_Instancias!O204</f>
        <v>0.12058190604503927</v>
      </c>
      <c r="W211">
        <f>Analise_Instancias!F204</f>
        <v>0.1605668952150654</v>
      </c>
      <c r="X211">
        <f>Analise_Instancias!I204</f>
        <v>0.12936796925077232</v>
      </c>
      <c r="Y211">
        <f>Analise_Instancias!L204</f>
        <v>0.12058190604503927</v>
      </c>
      <c r="Z211">
        <f>Analise_Instancias!Q204</f>
        <v>34.821922302246094</v>
      </c>
      <c r="AA211" t="str">
        <f>Analise_Instancias!P204</f>
        <v>vrp_100</v>
      </c>
    </row>
    <row r="212" spans="18:27">
      <c r="R212" t="s">
        <v>1214</v>
      </c>
      <c r="S212" t="s">
        <v>258</v>
      </c>
      <c r="T212">
        <v>935</v>
      </c>
      <c r="U212">
        <v>237</v>
      </c>
      <c r="V212">
        <f>Analise_Instancias!O205</f>
        <v>0.18583619033266774</v>
      </c>
      <c r="W212">
        <f>Analise_Instancias!F205</f>
        <v>0.28442032739328638</v>
      </c>
      <c r="X212">
        <f>Analise_Instancias!I205</f>
        <v>0.20841088045812461</v>
      </c>
      <c r="Y212">
        <f>Analise_Instancias!L205</f>
        <v>0.18583619033266774</v>
      </c>
      <c r="Z212">
        <f>Analise_Instancias!Q205</f>
        <v>33.182290077209473</v>
      </c>
      <c r="AA212" t="str">
        <f>Analise_Instancias!P205</f>
        <v>vrp_100</v>
      </c>
    </row>
    <row r="213" spans="18:27">
      <c r="R213" t="s">
        <v>1214</v>
      </c>
      <c r="S213" t="s">
        <v>259</v>
      </c>
      <c r="T213">
        <v>956</v>
      </c>
      <c r="U213">
        <v>238</v>
      </c>
      <c r="V213">
        <f>Analise_Instancias!O206</f>
        <v>0.25213418870297777</v>
      </c>
      <c r="W213">
        <f>Analise_Instancias!F206</f>
        <v>0.60943953665243078</v>
      </c>
      <c r="X213">
        <f>Analise_Instancias!I206</f>
        <v>0.35396306236471076</v>
      </c>
      <c r="Y213">
        <f>Analise_Instancias!L206</f>
        <v>0.25213418870297777</v>
      </c>
      <c r="Z213">
        <f>Analise_Instancias!Q206</f>
        <v>16.537704467773438</v>
      </c>
      <c r="AA213" t="str">
        <f>Analise_Instancias!P206</f>
        <v>vrp_100</v>
      </c>
    </row>
    <row r="214" spans="18:27">
      <c r="R214" t="s">
        <v>1214</v>
      </c>
      <c r="S214" t="s">
        <v>260</v>
      </c>
      <c r="T214">
        <v>978</v>
      </c>
      <c r="U214">
        <v>239</v>
      </c>
      <c r="V214">
        <f>Analise_Instancias!O207</f>
        <v>8.9035682616662282E-2</v>
      </c>
      <c r="W214">
        <f>Analise_Instancias!F207</f>
        <v>0.38564158948023142</v>
      </c>
      <c r="X214">
        <f>Analise_Instancias!I207</f>
        <v>0.11834569051741517</v>
      </c>
      <c r="Y214">
        <f>Analise_Instancias!L207</f>
        <v>8.9035682616662282E-2</v>
      </c>
      <c r="Z214">
        <f>Analise_Instancias!Q207</f>
        <v>26.362781286239624</v>
      </c>
      <c r="AA214" t="str">
        <f>Analise_Instancias!P207</f>
        <v>vrp_100</v>
      </c>
    </row>
    <row r="215" spans="18:27">
      <c r="R215" t="s">
        <v>1214</v>
      </c>
      <c r="S215" t="s">
        <v>161</v>
      </c>
      <c r="T215">
        <v>1000</v>
      </c>
      <c r="U215">
        <v>140</v>
      </c>
      <c r="V215">
        <f>Analise_Instancias!O108</f>
        <v>0.12437428736783906</v>
      </c>
      <c r="W215">
        <f>Analise_Instancias!F108</f>
        <v>0.34234687046506806</v>
      </c>
      <c r="X215">
        <f>Analise_Instancias!I108</f>
        <v>0.22840605780526579</v>
      </c>
      <c r="Y215">
        <f>Analise_Instancias!L108</f>
        <v>0.12437428736783906</v>
      </c>
      <c r="Z215">
        <f>Analise_Instancias!Q108</f>
        <v>17.911424160003662</v>
      </c>
      <c r="AA215" t="str">
        <f>Analise_Instancias!P108</f>
        <v>vrp_100</v>
      </c>
    </row>
  </sheetData>
  <autoFilter ref="R9:AA215" xr:uid="{00000000-0001-0000-06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>
      <selection activeCell="A11" sqref="A11"/>
    </sheetView>
  </sheetViews>
  <sheetFormatPr defaultRowHeight="14"/>
  <cols>
    <col min="1" max="7" width="18" customWidth="1"/>
    <col min="8" max="8" width="44" customWidth="1"/>
  </cols>
  <sheetData>
    <row r="1" spans="1:8">
      <c r="A1" s="1" t="s">
        <v>1220</v>
      </c>
      <c r="B1" s="1" t="s">
        <v>1184</v>
      </c>
      <c r="C1" s="1" t="s">
        <v>1221</v>
      </c>
      <c r="D1" s="1" t="s">
        <v>1222</v>
      </c>
      <c r="E1" s="1" t="s">
        <v>1223</v>
      </c>
      <c r="F1" s="1" t="s">
        <v>1224</v>
      </c>
      <c r="G1" s="1" t="s">
        <v>1225</v>
      </c>
      <c r="H1" s="1" t="s">
        <v>1226</v>
      </c>
    </row>
    <row r="2" spans="1:8">
      <c r="A2" t="s">
        <v>3</v>
      </c>
      <c r="B2" s="4">
        <f>AVERAGE(Analise_Instancias!$F$2:$F$207)</f>
        <v>0.13327215114878202</v>
      </c>
      <c r="C2" s="4">
        <f>MEDIAN(Analise_Instancias!$F$2:$F$207)</f>
        <v>0.10555984115196826</v>
      </c>
      <c r="D2" s="6">
        <f>AVERAGE(Analise_Instancias!$G$2:$G$207)</f>
        <v>4.4729039657406693</v>
      </c>
      <c r="E2" s="6">
        <f>SUM(Analise_Instancias!$G$2:$G$207)</f>
        <v>916.94531297683716</v>
      </c>
      <c r="F2" s="5">
        <f>COUNTIF(Analise_Instancias!$P$2:$P$207,"vrp_20")</f>
        <v>28</v>
      </c>
      <c r="G2" s="4">
        <f>F2/COUNT(Analise_Instancias!$O$2:$O$207)</f>
        <v>0.13592233009708737</v>
      </c>
      <c r="H2" t="s">
        <v>1227</v>
      </c>
    </row>
    <row r="3" spans="1:8">
      <c r="A3" t="s">
        <v>4</v>
      </c>
      <c r="B3" s="4">
        <f>AVERAGE(Analise_Instancias!$I$2:$I$207)</f>
        <v>8.3929264638940515E-2</v>
      </c>
      <c r="C3" s="4">
        <f>MEDIAN(Analise_Instancias!$I$2:$I$207)</f>
        <v>6.8208164468630428E-2</v>
      </c>
      <c r="D3" s="6">
        <f>AVERAGE(Analise_Instancias!$J$2:$J$207)</f>
        <v>4.5768415846870942</v>
      </c>
      <c r="E3" s="6">
        <f>SUM(Analise_Instancias!$J$2:$J$207)</f>
        <v>942.82936644554138</v>
      </c>
      <c r="F3" s="5">
        <f>COUNTIF(Analise_Instancias!$P$2:$P$207,"vrp_50")</f>
        <v>62</v>
      </c>
      <c r="G3" s="4">
        <f>F3/COUNT(Analise_Instancias!$O$2:$O$207)</f>
        <v>0.30097087378640774</v>
      </c>
      <c r="H3" t="s">
        <v>1227</v>
      </c>
    </row>
    <row r="4" spans="1:8">
      <c r="A4" t="s">
        <v>2</v>
      </c>
      <c r="B4" s="4">
        <f>AVERAGE(Analise_Instancias!$L$2:$L$207)</f>
        <v>8.0008515962037161E-2</v>
      </c>
      <c r="C4" s="4">
        <f>MEDIAN(Analise_Instancias!$L$2:$L$207)</f>
        <v>6.7229616800949632E-2</v>
      </c>
      <c r="D4" s="6">
        <f>AVERAGE(Analise_Instancias!$M$2:$M$207)</f>
        <v>4.6542367784722334</v>
      </c>
      <c r="E4" s="6">
        <f>SUM(Analise_Instancias!$M$2:$M$207)</f>
        <v>958.77277636528015</v>
      </c>
      <c r="F4" s="5">
        <f>COUNTIF(Analise_Instancias!$P$2:$P$207,"vrp_100")</f>
        <v>116</v>
      </c>
      <c r="G4" s="4">
        <f>F4/COUNT(Analise_Instancias!$O$2:$O$207)</f>
        <v>0.56310679611650483</v>
      </c>
      <c r="H4" t="s">
        <v>1227</v>
      </c>
    </row>
    <row r="5" spans="1:8">
      <c r="A5" t="s">
        <v>1228</v>
      </c>
      <c r="B5" s="4">
        <f>AVERAGE(Analise_Instancias!$O$2:$O$207)</f>
        <v>6.4105870032170248E-2</v>
      </c>
      <c r="C5" s="4">
        <f>MEDIAN(Analise_Instancias!$O$2:$O$207)</f>
        <v>5.5118892210851644E-2</v>
      </c>
      <c r="D5" s="6">
        <f>AVERAGE(Analise_Instancias!$Q$2:$Q$207)</f>
        <v>13.682269202852712</v>
      </c>
      <c r="E5" s="6">
        <f>SUM(Analise_Instancias!$Q$2:$Q$207)</f>
        <v>2818.5474557876587</v>
      </c>
      <c r="F5" s="5">
        <f>COUNT(Analise_Instancias!$O$2:$O$207)</f>
        <v>206</v>
      </c>
      <c r="G5" s="4">
        <f>1</f>
        <v>1</v>
      </c>
      <c r="H5" t="s">
        <v>1229</v>
      </c>
    </row>
    <row r="7" spans="1:8" ht="18">
      <c r="A7" s="10" t="s">
        <v>1230</v>
      </c>
      <c r="B7" s="10"/>
    </row>
    <row r="8" spans="1:8">
      <c r="A8" t="s">
        <v>1231</v>
      </c>
      <c r="B8" s="4">
        <f>B4-B5</f>
        <v>1.5902645929866913E-2</v>
      </c>
    </row>
    <row r="9" spans="1:8">
      <c r="A9" t="s">
        <v>1232</v>
      </c>
      <c r="B9" s="8">
        <f>D5/D4</f>
        <v>2.939744979485972</v>
      </c>
    </row>
    <row r="10" spans="1:8">
      <c r="A10" t="s">
        <v>1233</v>
      </c>
      <c r="B10" s="6">
        <f>(B4-B5)*100</f>
        <v>1.5902645929866912</v>
      </c>
    </row>
  </sheetData>
  <mergeCells count="1">
    <mergeCell ref="A7:B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1"/>
  <sheetViews>
    <sheetView workbookViewId="0"/>
  </sheetViews>
  <sheetFormatPr defaultRowHeight="14"/>
  <cols>
    <col min="1" max="1" width="22" customWidth="1"/>
    <col min="2" max="6" width="16" customWidth="1"/>
    <col min="7" max="7" width="25" customWidth="1"/>
    <col min="8" max="8" width="16" customWidth="1"/>
  </cols>
  <sheetData>
    <row r="1" spans="1:8" ht="18">
      <c r="A1" s="1" t="s">
        <v>1234</v>
      </c>
      <c r="B1" s="1" t="s">
        <v>1163</v>
      </c>
      <c r="C1" s="1" t="s">
        <v>1175</v>
      </c>
      <c r="D1" s="1" t="s">
        <v>1235</v>
      </c>
      <c r="E1" s="1" t="s">
        <v>1236</v>
      </c>
      <c r="G1" s="10" t="s">
        <v>1237</v>
      </c>
      <c r="H1" s="10"/>
    </row>
    <row r="2" spans="1:8">
      <c r="A2" t="s">
        <v>161</v>
      </c>
      <c r="B2">
        <v>1000</v>
      </c>
      <c r="C2" s="4">
        <f>Analise_Instancias!O108</f>
        <v>0.12437428736783906</v>
      </c>
      <c r="D2">
        <f t="shared" ref="D2:D33" si="0">RANK(B2,$B$2:$B$101,1)</f>
        <v>100</v>
      </c>
      <c r="E2">
        <f t="shared" ref="E2:E33" si="1">RANK(C2,$C$2:$C$101,1)</f>
        <v>75</v>
      </c>
      <c r="G2" s="2" t="s">
        <v>1238</v>
      </c>
      <c r="H2" s="9">
        <f>CORREL(D2:D101,E2:E101)</f>
        <v>0.70891089108910899</v>
      </c>
    </row>
    <row r="3" spans="1:8">
      <c r="A3" t="s">
        <v>162</v>
      </c>
      <c r="B3">
        <v>100</v>
      </c>
      <c r="C3" s="4">
        <f>Analise_Instancias!O109</f>
        <v>5.1820778854517746E-2</v>
      </c>
      <c r="D3">
        <f t="shared" si="0"/>
        <v>1</v>
      </c>
      <c r="E3">
        <f t="shared" si="1"/>
        <v>13</v>
      </c>
      <c r="G3" s="2" t="s">
        <v>1239</v>
      </c>
      <c r="H3" s="9">
        <f>CORREL(B2:B101,C2:C101)</f>
        <v>0.63576612471920613</v>
      </c>
    </row>
    <row r="4" spans="1:8">
      <c r="A4" t="s">
        <v>163</v>
      </c>
      <c r="B4">
        <v>105</v>
      </c>
      <c r="C4" s="4">
        <f>Analise_Instancias!O110</f>
        <v>4.671704299749635E-2</v>
      </c>
      <c r="D4">
        <f t="shared" si="0"/>
        <v>2</v>
      </c>
      <c r="E4">
        <f t="shared" si="1"/>
        <v>8</v>
      </c>
      <c r="G4" s="2" t="s">
        <v>1183</v>
      </c>
      <c r="H4">
        <f>COUNT(C2:C101)</f>
        <v>100</v>
      </c>
    </row>
    <row r="5" spans="1:8">
      <c r="A5" t="s">
        <v>164</v>
      </c>
      <c r="B5">
        <v>109</v>
      </c>
      <c r="C5" s="4">
        <f>Analise_Instancias!O111</f>
        <v>3.0600110734920749E-2</v>
      </c>
      <c r="D5">
        <f t="shared" si="0"/>
        <v>3</v>
      </c>
      <c r="E5">
        <f t="shared" si="1"/>
        <v>2</v>
      </c>
    </row>
    <row r="6" spans="1:8">
      <c r="A6" t="s">
        <v>165</v>
      </c>
      <c r="B6">
        <v>114</v>
      </c>
      <c r="C6" s="4">
        <f>Analise_Instancias!O112</f>
        <v>3.9238705675845198E-2</v>
      </c>
      <c r="D6">
        <f t="shared" si="0"/>
        <v>4</v>
      </c>
      <c r="E6">
        <f t="shared" si="1"/>
        <v>4</v>
      </c>
    </row>
    <row r="7" spans="1:8">
      <c r="A7" t="s">
        <v>166</v>
      </c>
      <c r="B7">
        <v>119</v>
      </c>
      <c r="C7" s="4">
        <f>Analise_Instancias!O113</f>
        <v>5.4362565162766385E-2</v>
      </c>
      <c r="D7">
        <f t="shared" si="0"/>
        <v>5</v>
      </c>
      <c r="E7">
        <f t="shared" si="1"/>
        <v>15</v>
      </c>
    </row>
    <row r="8" spans="1:8">
      <c r="A8" t="s">
        <v>167</v>
      </c>
      <c r="B8">
        <v>124</v>
      </c>
      <c r="C8" s="4">
        <f>Analise_Instancias!O114</f>
        <v>5.7359046120744051E-2</v>
      </c>
      <c r="D8">
        <f t="shared" si="0"/>
        <v>6</v>
      </c>
      <c r="E8">
        <f t="shared" si="1"/>
        <v>17</v>
      </c>
    </row>
    <row r="9" spans="1:8">
      <c r="A9" t="s">
        <v>168</v>
      </c>
      <c r="B9">
        <v>128</v>
      </c>
      <c r="C9" s="4">
        <f>Analise_Instancias!O115</f>
        <v>4.2683879902384314E-2</v>
      </c>
      <c r="D9">
        <f t="shared" si="0"/>
        <v>7</v>
      </c>
      <c r="E9">
        <f t="shared" si="1"/>
        <v>6</v>
      </c>
    </row>
    <row r="10" spans="1:8">
      <c r="A10" t="s">
        <v>169</v>
      </c>
      <c r="B10">
        <v>133</v>
      </c>
      <c r="C10" s="4">
        <f>Analise_Instancias!O116</f>
        <v>0.13649616961341149</v>
      </c>
      <c r="D10">
        <f t="shared" si="0"/>
        <v>8</v>
      </c>
      <c r="E10">
        <f t="shared" si="1"/>
        <v>83</v>
      </c>
    </row>
    <row r="11" spans="1:8">
      <c r="A11" t="s">
        <v>170</v>
      </c>
      <c r="B11">
        <v>138</v>
      </c>
      <c r="C11" s="4">
        <f>Analise_Instancias!O117</f>
        <v>2.3559803853936634E-2</v>
      </c>
      <c r="D11">
        <f t="shared" si="0"/>
        <v>9</v>
      </c>
      <c r="E11">
        <f t="shared" si="1"/>
        <v>1</v>
      </c>
    </row>
    <row r="12" spans="1:8">
      <c r="A12" t="s">
        <v>171</v>
      </c>
      <c r="B12">
        <v>142</v>
      </c>
      <c r="C12" s="4">
        <f>Analise_Instancias!O118</f>
        <v>6.7580737460191109E-2</v>
      </c>
      <c r="D12">
        <f t="shared" si="0"/>
        <v>10</v>
      </c>
      <c r="E12">
        <f t="shared" si="1"/>
        <v>28</v>
      </c>
    </row>
    <row r="13" spans="1:8">
      <c r="A13" t="s">
        <v>172</v>
      </c>
      <c r="B13">
        <v>147</v>
      </c>
      <c r="C13" s="4">
        <f>Analise_Instancias!O119</f>
        <v>6.4084868693610852E-2</v>
      </c>
      <c r="D13">
        <f t="shared" si="0"/>
        <v>11</v>
      </c>
      <c r="E13">
        <f t="shared" si="1"/>
        <v>23</v>
      </c>
    </row>
    <row r="14" spans="1:8">
      <c r="A14" t="s">
        <v>173</v>
      </c>
      <c r="B14">
        <v>152</v>
      </c>
      <c r="C14" s="4">
        <f>Analise_Instancias!O120</f>
        <v>0.12651758364750232</v>
      </c>
      <c r="D14">
        <f t="shared" si="0"/>
        <v>12</v>
      </c>
      <c r="E14">
        <f t="shared" si="1"/>
        <v>79</v>
      </c>
    </row>
    <row r="15" spans="1:8">
      <c r="A15" t="s">
        <v>174</v>
      </c>
      <c r="B15">
        <v>156</v>
      </c>
      <c r="C15" s="4">
        <f>Analise_Instancias!O121</f>
        <v>4.064411923737854E-2</v>
      </c>
      <c r="D15">
        <f t="shared" si="0"/>
        <v>13</v>
      </c>
      <c r="E15">
        <f t="shared" si="1"/>
        <v>5</v>
      </c>
    </row>
    <row r="16" spans="1:8">
      <c r="A16" t="s">
        <v>175</v>
      </c>
      <c r="B16">
        <v>161</v>
      </c>
      <c r="C16" s="4">
        <f>Analise_Instancias!O122</f>
        <v>4.6728011387749291E-2</v>
      </c>
      <c r="D16">
        <f t="shared" si="0"/>
        <v>14</v>
      </c>
      <c r="E16">
        <f t="shared" si="1"/>
        <v>9</v>
      </c>
    </row>
    <row r="17" spans="1:5">
      <c r="A17" t="s">
        <v>176</v>
      </c>
      <c r="B17">
        <v>166</v>
      </c>
      <c r="C17" s="4">
        <f>Analise_Instancias!O123</f>
        <v>3.4353983740331717E-2</v>
      </c>
      <c r="D17">
        <f t="shared" si="0"/>
        <v>15</v>
      </c>
      <c r="E17">
        <f t="shared" si="1"/>
        <v>3</v>
      </c>
    </row>
    <row r="18" spans="1:5">
      <c r="A18" t="s">
        <v>177</v>
      </c>
      <c r="B18">
        <v>171</v>
      </c>
      <c r="C18" s="4">
        <f>Analise_Instancias!O124</f>
        <v>5.7570829313482674E-2</v>
      </c>
      <c r="D18">
        <f t="shared" si="0"/>
        <v>16</v>
      </c>
      <c r="E18">
        <f t="shared" si="1"/>
        <v>18</v>
      </c>
    </row>
    <row r="19" spans="1:5">
      <c r="A19" t="s">
        <v>178</v>
      </c>
      <c r="B19">
        <v>175</v>
      </c>
      <c r="C19" s="4">
        <f>Analise_Instancias!O125</f>
        <v>8.7713253864092788E-2</v>
      </c>
      <c r="D19">
        <f t="shared" si="0"/>
        <v>17</v>
      </c>
      <c r="E19">
        <f t="shared" si="1"/>
        <v>44</v>
      </c>
    </row>
    <row r="20" spans="1:5">
      <c r="A20" t="s">
        <v>179</v>
      </c>
      <c r="B20">
        <v>180</v>
      </c>
      <c r="C20" s="4">
        <f>Analise_Instancias!O126</f>
        <v>4.4506332741796717E-2</v>
      </c>
      <c r="D20">
        <f t="shared" si="0"/>
        <v>18</v>
      </c>
      <c r="E20">
        <f t="shared" si="1"/>
        <v>7</v>
      </c>
    </row>
    <row r="21" spans="1:5">
      <c r="A21" t="s">
        <v>180</v>
      </c>
      <c r="B21">
        <v>185</v>
      </c>
      <c r="C21" s="4">
        <f>Analise_Instancias!O127</f>
        <v>4.7046651739490519E-2</v>
      </c>
      <c r="D21">
        <f t="shared" si="0"/>
        <v>19</v>
      </c>
      <c r="E21">
        <f t="shared" si="1"/>
        <v>10</v>
      </c>
    </row>
    <row r="22" spans="1:5">
      <c r="A22" t="s">
        <v>181</v>
      </c>
      <c r="B22">
        <v>189</v>
      </c>
      <c r="C22" s="4">
        <f>Analise_Instancias!O128</f>
        <v>9.0321333922261493E-2</v>
      </c>
      <c r="D22">
        <f t="shared" si="0"/>
        <v>20</v>
      </c>
      <c r="E22">
        <f t="shared" si="1"/>
        <v>47</v>
      </c>
    </row>
    <row r="23" spans="1:5">
      <c r="A23" t="s">
        <v>182</v>
      </c>
      <c r="B23">
        <v>194</v>
      </c>
      <c r="C23" s="4">
        <f>Analise_Instancias!O129</f>
        <v>7.1715216930469117E-2</v>
      </c>
      <c r="D23">
        <f t="shared" si="0"/>
        <v>21</v>
      </c>
      <c r="E23">
        <f t="shared" si="1"/>
        <v>32</v>
      </c>
    </row>
    <row r="24" spans="1:5">
      <c r="A24" t="s">
        <v>183</v>
      </c>
      <c r="B24">
        <v>199</v>
      </c>
      <c r="C24" s="4">
        <f>Analise_Instancias!O130</f>
        <v>5.5875219258936903E-2</v>
      </c>
      <c r="D24">
        <f t="shared" si="0"/>
        <v>22</v>
      </c>
      <c r="E24">
        <f t="shared" si="1"/>
        <v>16</v>
      </c>
    </row>
    <row r="25" spans="1:5">
      <c r="A25" t="s">
        <v>184</v>
      </c>
      <c r="B25">
        <v>203</v>
      </c>
      <c r="C25" s="4">
        <f>Analise_Instancias!O131</f>
        <v>6.1696588295425459E-2</v>
      </c>
      <c r="D25">
        <f t="shared" si="0"/>
        <v>23</v>
      </c>
      <c r="E25">
        <f t="shared" si="1"/>
        <v>19</v>
      </c>
    </row>
    <row r="26" spans="1:5">
      <c r="A26" t="s">
        <v>185</v>
      </c>
      <c r="B26">
        <v>208</v>
      </c>
      <c r="C26" s="4">
        <f>Analise_Instancias!O132</f>
        <v>5.1423584494063146E-2</v>
      </c>
      <c r="D26">
        <f t="shared" si="0"/>
        <v>24</v>
      </c>
      <c r="E26">
        <f t="shared" si="1"/>
        <v>12</v>
      </c>
    </row>
    <row r="27" spans="1:5">
      <c r="A27" t="s">
        <v>186</v>
      </c>
      <c r="B27">
        <v>213</v>
      </c>
      <c r="C27" s="4">
        <f>Analise_Instancias!O133</f>
        <v>0.1155543485457351</v>
      </c>
      <c r="D27">
        <f t="shared" si="0"/>
        <v>25</v>
      </c>
      <c r="E27">
        <f t="shared" si="1"/>
        <v>68</v>
      </c>
    </row>
    <row r="28" spans="1:5">
      <c r="A28" t="s">
        <v>187</v>
      </c>
      <c r="B28">
        <v>218</v>
      </c>
      <c r="C28" s="4">
        <f>Analise_Instancias!O134</f>
        <v>4.7736869658573822E-2</v>
      </c>
      <c r="D28">
        <f t="shared" si="0"/>
        <v>26</v>
      </c>
      <c r="E28">
        <f t="shared" si="1"/>
        <v>11</v>
      </c>
    </row>
    <row r="29" spans="1:5">
      <c r="A29" t="s">
        <v>188</v>
      </c>
      <c r="B29">
        <v>222</v>
      </c>
      <c r="C29" s="4">
        <f>Analise_Instancias!O135</f>
        <v>6.4884303051660597E-2</v>
      </c>
      <c r="D29">
        <f t="shared" si="0"/>
        <v>27</v>
      </c>
      <c r="E29">
        <f t="shared" si="1"/>
        <v>24</v>
      </c>
    </row>
    <row r="30" spans="1:5">
      <c r="A30" t="s">
        <v>189</v>
      </c>
      <c r="B30">
        <v>227</v>
      </c>
      <c r="C30" s="4">
        <f>Analise_Instancias!O136</f>
        <v>0.11003357839328731</v>
      </c>
      <c r="D30">
        <f t="shared" si="0"/>
        <v>28</v>
      </c>
      <c r="E30">
        <f t="shared" si="1"/>
        <v>64</v>
      </c>
    </row>
    <row r="31" spans="1:5">
      <c r="A31" t="s">
        <v>190</v>
      </c>
      <c r="B31">
        <v>232</v>
      </c>
      <c r="C31" s="4">
        <f>Analise_Instancias!O137</f>
        <v>6.7883230954238094E-2</v>
      </c>
      <c r="D31">
        <f t="shared" si="0"/>
        <v>29</v>
      </c>
      <c r="E31">
        <f t="shared" si="1"/>
        <v>29</v>
      </c>
    </row>
    <row r="32" spans="1:5">
      <c r="A32" t="s">
        <v>191</v>
      </c>
      <c r="B32">
        <v>236</v>
      </c>
      <c r="C32" s="4">
        <f>Analise_Instancias!O138</f>
        <v>0.1050115618759706</v>
      </c>
      <c r="D32">
        <f t="shared" si="0"/>
        <v>30</v>
      </c>
      <c r="E32">
        <f t="shared" si="1"/>
        <v>62</v>
      </c>
    </row>
    <row r="33" spans="1:5">
      <c r="A33" t="s">
        <v>192</v>
      </c>
      <c r="B33">
        <v>241</v>
      </c>
      <c r="C33" s="4">
        <f>Analise_Instancias!O139</f>
        <v>6.5913100748027142E-2</v>
      </c>
      <c r="D33">
        <f t="shared" si="0"/>
        <v>31</v>
      </c>
      <c r="E33">
        <f t="shared" si="1"/>
        <v>26</v>
      </c>
    </row>
    <row r="34" spans="1:5">
      <c r="A34" t="s">
        <v>193</v>
      </c>
      <c r="B34">
        <v>246</v>
      </c>
      <c r="C34" s="4">
        <f>Analise_Instancias!O140</f>
        <v>0.1237093047432527</v>
      </c>
      <c r="D34">
        <f t="shared" ref="D34:D65" si="2">RANK(B34,$B$2:$B$101,1)</f>
        <v>32</v>
      </c>
      <c r="E34">
        <f t="shared" ref="E34:E65" si="3">RANK(C34,$C$2:$C$101,1)</f>
        <v>74</v>
      </c>
    </row>
    <row r="35" spans="1:5">
      <c r="A35" t="s">
        <v>194</v>
      </c>
      <c r="B35">
        <v>250</v>
      </c>
      <c r="C35" s="4">
        <f>Analise_Instancias!O141</f>
        <v>6.1839399040947152E-2</v>
      </c>
      <c r="D35">
        <f t="shared" si="2"/>
        <v>33</v>
      </c>
      <c r="E35">
        <f t="shared" si="3"/>
        <v>20</v>
      </c>
    </row>
    <row r="36" spans="1:5">
      <c r="A36" t="s">
        <v>195</v>
      </c>
      <c r="B36">
        <v>255</v>
      </c>
      <c r="C36" s="4">
        <f>Analise_Instancias!O142</f>
        <v>6.3305136618185598E-2</v>
      </c>
      <c r="D36">
        <f t="shared" si="2"/>
        <v>34</v>
      </c>
      <c r="E36">
        <f t="shared" si="3"/>
        <v>22</v>
      </c>
    </row>
    <row r="37" spans="1:5">
      <c r="A37" t="s">
        <v>196</v>
      </c>
      <c r="B37">
        <v>260</v>
      </c>
      <c r="C37" s="4">
        <f>Analise_Instancias!O143</f>
        <v>6.8049028305971815E-2</v>
      </c>
      <c r="D37">
        <f t="shared" si="2"/>
        <v>35</v>
      </c>
      <c r="E37">
        <f t="shared" si="3"/>
        <v>30</v>
      </c>
    </row>
    <row r="38" spans="1:5">
      <c r="A38" t="s">
        <v>197</v>
      </c>
      <c r="B38">
        <v>265</v>
      </c>
      <c r="C38" s="4">
        <f>Analise_Instancias!O144</f>
        <v>0.10039908152044297</v>
      </c>
      <c r="D38">
        <f t="shared" si="2"/>
        <v>36</v>
      </c>
      <c r="E38">
        <f t="shared" si="3"/>
        <v>57</v>
      </c>
    </row>
    <row r="39" spans="1:5">
      <c r="A39" t="s">
        <v>198</v>
      </c>
      <c r="B39">
        <v>269</v>
      </c>
      <c r="C39" s="4">
        <f>Analise_Instancias!O145</f>
        <v>7.3906723739763702E-2</v>
      </c>
      <c r="D39">
        <f t="shared" si="2"/>
        <v>37</v>
      </c>
      <c r="E39">
        <f t="shared" si="3"/>
        <v>37</v>
      </c>
    </row>
    <row r="40" spans="1:5">
      <c r="A40" t="s">
        <v>199</v>
      </c>
      <c r="B40">
        <v>274</v>
      </c>
      <c r="C40" s="4">
        <f>Analise_Instancias!O146</f>
        <v>0.16816824546952214</v>
      </c>
      <c r="D40">
        <f t="shared" si="2"/>
        <v>38</v>
      </c>
      <c r="E40">
        <f t="shared" si="3"/>
        <v>93</v>
      </c>
    </row>
    <row r="41" spans="1:5">
      <c r="A41" t="s">
        <v>200</v>
      </c>
      <c r="B41">
        <v>279</v>
      </c>
      <c r="C41" s="4">
        <f>Analise_Instancias!O147</f>
        <v>7.2844106311375167E-2</v>
      </c>
      <c r="D41">
        <f t="shared" si="2"/>
        <v>39</v>
      </c>
      <c r="E41">
        <f t="shared" si="3"/>
        <v>34</v>
      </c>
    </row>
    <row r="42" spans="1:5">
      <c r="A42" t="s">
        <v>201</v>
      </c>
      <c r="B42">
        <v>283</v>
      </c>
      <c r="C42" s="4">
        <f>Analise_Instancias!O148</f>
        <v>0.10409723638509849</v>
      </c>
      <c r="D42">
        <f t="shared" si="2"/>
        <v>40</v>
      </c>
      <c r="E42">
        <f t="shared" si="3"/>
        <v>61</v>
      </c>
    </row>
    <row r="43" spans="1:5">
      <c r="A43" t="s">
        <v>202</v>
      </c>
      <c r="B43">
        <v>288</v>
      </c>
      <c r="C43" s="4">
        <f>Analise_Instancias!O149</f>
        <v>9.6790561843806078E-2</v>
      </c>
      <c r="D43">
        <f t="shared" si="2"/>
        <v>41</v>
      </c>
      <c r="E43">
        <f t="shared" si="3"/>
        <v>54</v>
      </c>
    </row>
    <row r="44" spans="1:5">
      <c r="A44" t="s">
        <v>203</v>
      </c>
      <c r="B44">
        <v>293</v>
      </c>
      <c r="C44" s="4">
        <f>Analise_Instancias!O150</f>
        <v>9.4642388573185521E-2</v>
      </c>
      <c r="D44">
        <f t="shared" si="2"/>
        <v>42</v>
      </c>
      <c r="E44">
        <f t="shared" si="3"/>
        <v>51</v>
      </c>
    </row>
    <row r="45" spans="1:5">
      <c r="A45" t="s">
        <v>204</v>
      </c>
      <c r="B45">
        <v>297</v>
      </c>
      <c r="C45" s="4">
        <f>Analise_Instancias!O151</f>
        <v>8.6571747830913592E-2</v>
      </c>
      <c r="D45">
        <f t="shared" si="2"/>
        <v>43</v>
      </c>
      <c r="E45">
        <f t="shared" si="3"/>
        <v>43</v>
      </c>
    </row>
    <row r="46" spans="1:5">
      <c r="A46" t="s">
        <v>205</v>
      </c>
      <c r="B46">
        <v>302</v>
      </c>
      <c r="C46" s="4">
        <f>Analise_Instancias!O152</f>
        <v>8.1915963867546848E-2</v>
      </c>
      <c r="D46">
        <f t="shared" si="2"/>
        <v>44</v>
      </c>
      <c r="E46">
        <f t="shared" si="3"/>
        <v>40</v>
      </c>
    </row>
    <row r="47" spans="1:5">
      <c r="A47" t="s">
        <v>206</v>
      </c>
      <c r="B47">
        <v>307</v>
      </c>
      <c r="C47" s="4">
        <f>Analise_Instancias!O153</f>
        <v>9.1121487562357384E-2</v>
      </c>
      <c r="D47">
        <f t="shared" si="2"/>
        <v>45</v>
      </c>
      <c r="E47">
        <f t="shared" si="3"/>
        <v>49</v>
      </c>
    </row>
    <row r="48" spans="1:5">
      <c r="A48" t="s">
        <v>207</v>
      </c>
      <c r="B48">
        <v>312</v>
      </c>
      <c r="C48" s="4">
        <f>Analise_Instancias!O154</f>
        <v>7.948574721138213E-2</v>
      </c>
      <c r="D48">
        <f t="shared" si="2"/>
        <v>46</v>
      </c>
      <c r="E48">
        <f t="shared" si="3"/>
        <v>39</v>
      </c>
    </row>
    <row r="49" spans="1:5">
      <c r="A49" t="s">
        <v>208</v>
      </c>
      <c r="B49">
        <v>316</v>
      </c>
      <c r="C49" s="4">
        <f>Analise_Instancias!O155</f>
        <v>6.2918069204262572E-2</v>
      </c>
      <c r="D49">
        <f t="shared" si="2"/>
        <v>47</v>
      </c>
      <c r="E49">
        <f t="shared" si="3"/>
        <v>21</v>
      </c>
    </row>
    <row r="50" spans="1:5">
      <c r="A50" t="s">
        <v>209</v>
      </c>
      <c r="B50">
        <v>321</v>
      </c>
      <c r="C50" s="4">
        <f>Analise_Instancias!O156</f>
        <v>8.4221428885667304E-2</v>
      </c>
      <c r="D50">
        <f t="shared" si="2"/>
        <v>48</v>
      </c>
      <c r="E50">
        <f t="shared" si="3"/>
        <v>42</v>
      </c>
    </row>
    <row r="51" spans="1:5">
      <c r="A51" t="s">
        <v>210</v>
      </c>
      <c r="B51">
        <v>326</v>
      </c>
      <c r="C51" s="4">
        <f>Analise_Instancias!O157</f>
        <v>7.8534892352535302E-2</v>
      </c>
      <c r="D51">
        <f t="shared" si="2"/>
        <v>49</v>
      </c>
      <c r="E51">
        <f t="shared" si="3"/>
        <v>38</v>
      </c>
    </row>
    <row r="52" spans="1:5">
      <c r="A52" t="s">
        <v>211</v>
      </c>
      <c r="B52">
        <v>330</v>
      </c>
      <c r="C52" s="4">
        <f>Analise_Instancias!O158</f>
        <v>7.3259456787344801E-2</v>
      </c>
      <c r="D52">
        <f t="shared" si="2"/>
        <v>50</v>
      </c>
      <c r="E52">
        <f t="shared" si="3"/>
        <v>35</v>
      </c>
    </row>
    <row r="53" spans="1:5">
      <c r="A53" t="s">
        <v>212</v>
      </c>
      <c r="B53">
        <v>335</v>
      </c>
      <c r="C53" s="4">
        <f>Analise_Instancias!O159</f>
        <v>7.2694646720963929E-2</v>
      </c>
      <c r="D53">
        <f t="shared" si="2"/>
        <v>51</v>
      </c>
      <c r="E53">
        <f t="shared" si="3"/>
        <v>33</v>
      </c>
    </row>
    <row r="54" spans="1:5">
      <c r="A54" t="s">
        <v>213</v>
      </c>
      <c r="B54">
        <v>343</v>
      </c>
      <c r="C54" s="4">
        <f>Analise_Instancias!O160</f>
        <v>9.0353559750297352E-2</v>
      </c>
      <c r="D54">
        <f t="shared" si="2"/>
        <v>52</v>
      </c>
      <c r="E54">
        <f t="shared" si="3"/>
        <v>48</v>
      </c>
    </row>
    <row r="55" spans="1:5">
      <c r="A55" t="s">
        <v>214</v>
      </c>
      <c r="B55">
        <v>350</v>
      </c>
      <c r="C55" s="4">
        <f>Analise_Instancias!O161</f>
        <v>0.166506923125193</v>
      </c>
      <c r="D55">
        <f t="shared" si="2"/>
        <v>53</v>
      </c>
      <c r="E55">
        <f t="shared" si="3"/>
        <v>92</v>
      </c>
    </row>
    <row r="56" spans="1:5">
      <c r="A56" t="s">
        <v>215</v>
      </c>
      <c r="B56">
        <v>358</v>
      </c>
      <c r="C56" s="4">
        <f>Analise_Instancias!O162</f>
        <v>6.8513220803805508E-2</v>
      </c>
      <c r="D56">
        <f t="shared" si="2"/>
        <v>54</v>
      </c>
      <c r="E56">
        <f t="shared" si="3"/>
        <v>31</v>
      </c>
    </row>
    <row r="57" spans="1:5">
      <c r="A57" t="s">
        <v>216</v>
      </c>
      <c r="B57">
        <v>366</v>
      </c>
      <c r="C57" s="4">
        <f>Analise_Instancias!O163</f>
        <v>0.12529724072937665</v>
      </c>
      <c r="D57">
        <f t="shared" si="2"/>
        <v>55</v>
      </c>
      <c r="E57">
        <f t="shared" si="3"/>
        <v>77</v>
      </c>
    </row>
    <row r="58" spans="1:5">
      <c r="A58" t="s">
        <v>217</v>
      </c>
      <c r="B58">
        <v>375</v>
      </c>
      <c r="C58" s="4">
        <f>Analise_Instancias!O164</f>
        <v>6.6606358275845823E-2</v>
      </c>
      <c r="D58">
        <f t="shared" si="2"/>
        <v>56</v>
      </c>
      <c r="E58">
        <f t="shared" si="3"/>
        <v>27</v>
      </c>
    </row>
    <row r="59" spans="1:5">
      <c r="A59" t="s">
        <v>218</v>
      </c>
      <c r="B59">
        <v>383</v>
      </c>
      <c r="C59" s="4">
        <f>Analise_Instancias!O165</f>
        <v>9.5819589778586511E-2</v>
      </c>
      <c r="D59">
        <f t="shared" si="2"/>
        <v>57</v>
      </c>
      <c r="E59">
        <f t="shared" si="3"/>
        <v>52</v>
      </c>
    </row>
    <row r="60" spans="1:5">
      <c r="A60" t="s">
        <v>219</v>
      </c>
      <c r="B60">
        <v>392</v>
      </c>
      <c r="C60" s="4">
        <f>Analise_Instancias!O166</f>
        <v>0.11074065603763716</v>
      </c>
      <c r="D60">
        <f t="shared" si="2"/>
        <v>58</v>
      </c>
      <c r="E60">
        <f t="shared" si="3"/>
        <v>65</v>
      </c>
    </row>
    <row r="61" spans="1:5">
      <c r="A61" t="s">
        <v>220</v>
      </c>
      <c r="B61">
        <v>400</v>
      </c>
      <c r="C61" s="4">
        <f>Analise_Instancias!O167</f>
        <v>6.5347522447622319E-2</v>
      </c>
      <c r="D61">
        <f t="shared" si="2"/>
        <v>59</v>
      </c>
      <c r="E61">
        <f t="shared" si="3"/>
        <v>25</v>
      </c>
    </row>
    <row r="62" spans="1:5">
      <c r="A62" t="s">
        <v>221</v>
      </c>
      <c r="B62">
        <v>410</v>
      </c>
      <c r="C62" s="4">
        <f>Analise_Instancias!O168</f>
        <v>0.20634410907695822</v>
      </c>
      <c r="D62">
        <f t="shared" si="2"/>
        <v>60</v>
      </c>
      <c r="E62">
        <f t="shared" si="3"/>
        <v>98</v>
      </c>
    </row>
    <row r="63" spans="1:5">
      <c r="A63" t="s">
        <v>222</v>
      </c>
      <c r="B63">
        <v>419</v>
      </c>
      <c r="C63" s="4">
        <f>Analise_Instancias!O169</f>
        <v>0.10180188002096524</v>
      </c>
      <c r="D63">
        <f t="shared" si="2"/>
        <v>61</v>
      </c>
      <c r="E63">
        <f t="shared" si="3"/>
        <v>58</v>
      </c>
    </row>
    <row r="64" spans="1:5">
      <c r="A64" t="s">
        <v>223</v>
      </c>
      <c r="B64">
        <v>428</v>
      </c>
      <c r="C64" s="4">
        <f>Analise_Instancias!O170</f>
        <v>0.10372914406637235</v>
      </c>
      <c r="D64">
        <f t="shared" si="2"/>
        <v>62</v>
      </c>
      <c r="E64">
        <f t="shared" si="3"/>
        <v>59</v>
      </c>
    </row>
    <row r="65" spans="1:5">
      <c r="A65" t="s">
        <v>224</v>
      </c>
      <c r="B65">
        <v>438</v>
      </c>
      <c r="C65" s="4">
        <f>Analise_Instancias!O171</f>
        <v>9.1409534637685086E-2</v>
      </c>
      <c r="D65">
        <f t="shared" si="2"/>
        <v>63</v>
      </c>
      <c r="E65">
        <f t="shared" si="3"/>
        <v>50</v>
      </c>
    </row>
    <row r="66" spans="1:5">
      <c r="A66" t="s">
        <v>225</v>
      </c>
      <c r="B66">
        <v>448</v>
      </c>
      <c r="C66" s="4">
        <f>Analise_Instancias!O172</f>
        <v>8.1942492486375862E-2</v>
      </c>
      <c r="D66">
        <f t="shared" ref="D66:D101" si="4">RANK(B66,$B$2:$B$101,1)</f>
        <v>64</v>
      </c>
      <c r="E66">
        <f t="shared" ref="E66:E101" si="5">RANK(C66,$C$2:$C$101,1)</f>
        <v>41</v>
      </c>
    </row>
    <row r="67" spans="1:5">
      <c r="A67" t="s">
        <v>226</v>
      </c>
      <c r="B67">
        <v>458</v>
      </c>
      <c r="C67" s="4">
        <f>Analise_Instancias!O173</f>
        <v>0.22911882094328684</v>
      </c>
      <c r="D67">
        <f t="shared" si="4"/>
        <v>65</v>
      </c>
      <c r="E67">
        <f t="shared" si="5"/>
        <v>99</v>
      </c>
    </row>
    <row r="68" spans="1:5">
      <c r="A68" t="s">
        <v>227</v>
      </c>
      <c r="B68">
        <v>468</v>
      </c>
      <c r="C68" s="4">
        <f>Analise_Instancias!O174</f>
        <v>0.11188423874332809</v>
      </c>
      <c r="D68">
        <f t="shared" si="4"/>
        <v>66</v>
      </c>
      <c r="E68">
        <f t="shared" si="5"/>
        <v>66</v>
      </c>
    </row>
    <row r="69" spans="1:5">
      <c r="A69" t="s">
        <v>228</v>
      </c>
      <c r="B69">
        <v>479</v>
      </c>
      <c r="C69" s="4">
        <f>Analise_Instancias!O175</f>
        <v>8.9263679582779032E-2</v>
      </c>
      <c r="D69">
        <f t="shared" si="4"/>
        <v>67</v>
      </c>
      <c r="E69">
        <f t="shared" si="5"/>
        <v>46</v>
      </c>
    </row>
    <row r="70" spans="1:5">
      <c r="A70" t="s">
        <v>229</v>
      </c>
      <c r="B70">
        <v>490</v>
      </c>
      <c r="C70" s="4">
        <f>Analise_Instancias!O176</f>
        <v>9.7241729088639151E-2</v>
      </c>
      <c r="D70">
        <f t="shared" si="4"/>
        <v>68</v>
      </c>
      <c r="E70">
        <f t="shared" si="5"/>
        <v>55</v>
      </c>
    </row>
    <row r="71" spans="1:5">
      <c r="A71" t="s">
        <v>230</v>
      </c>
      <c r="B71">
        <v>501</v>
      </c>
      <c r="C71" s="4">
        <f>Analise_Instancias!O177</f>
        <v>5.3490559905237989E-2</v>
      </c>
      <c r="D71">
        <f t="shared" si="4"/>
        <v>69</v>
      </c>
      <c r="E71">
        <f t="shared" si="5"/>
        <v>14</v>
      </c>
    </row>
    <row r="72" spans="1:5">
      <c r="A72" t="s">
        <v>231</v>
      </c>
      <c r="B72">
        <v>512</v>
      </c>
      <c r="C72" s="4">
        <f>Analise_Instancias!O178</f>
        <v>0.12440593557600921</v>
      </c>
      <c r="D72">
        <f t="shared" si="4"/>
        <v>70</v>
      </c>
      <c r="E72">
        <f t="shared" si="5"/>
        <v>76</v>
      </c>
    </row>
    <row r="73" spans="1:5">
      <c r="A73" t="s">
        <v>232</v>
      </c>
      <c r="B73">
        <v>523</v>
      </c>
      <c r="C73" s="4">
        <f>Analise_Instancias!O179</f>
        <v>0.10406013694022365</v>
      </c>
      <c r="D73">
        <f t="shared" si="4"/>
        <v>71</v>
      </c>
      <c r="E73">
        <f t="shared" si="5"/>
        <v>60</v>
      </c>
    </row>
    <row r="74" spans="1:5">
      <c r="A74" t="s">
        <v>233</v>
      </c>
      <c r="B74">
        <v>535</v>
      </c>
      <c r="C74" s="4">
        <f>Analise_Instancias!O180</f>
        <v>0.10994895672985683</v>
      </c>
      <c r="D74">
        <f t="shared" si="4"/>
        <v>72</v>
      </c>
      <c r="E74">
        <f t="shared" si="5"/>
        <v>63</v>
      </c>
    </row>
    <row r="75" spans="1:5">
      <c r="A75" t="s">
        <v>234</v>
      </c>
      <c r="B75">
        <v>547</v>
      </c>
      <c r="C75" s="4">
        <f>Analise_Instancias!O181</f>
        <v>0.18365664648212232</v>
      </c>
      <c r="D75">
        <f t="shared" si="4"/>
        <v>73</v>
      </c>
      <c r="E75">
        <f t="shared" si="5"/>
        <v>95</v>
      </c>
    </row>
    <row r="76" spans="1:5">
      <c r="A76" t="s">
        <v>235</v>
      </c>
      <c r="B76">
        <v>560</v>
      </c>
      <c r="C76" s="4">
        <f>Analise_Instancias!O182</f>
        <v>0.1208047842486597</v>
      </c>
      <c r="D76">
        <f t="shared" si="4"/>
        <v>74</v>
      </c>
      <c r="E76">
        <f t="shared" si="5"/>
        <v>70</v>
      </c>
    </row>
    <row r="77" spans="1:5">
      <c r="A77" t="s">
        <v>236</v>
      </c>
      <c r="B77">
        <v>572</v>
      </c>
      <c r="C77" s="4">
        <f>Analise_Instancias!O183</f>
        <v>0.14651316714522533</v>
      </c>
      <c r="D77">
        <f t="shared" si="4"/>
        <v>75</v>
      </c>
      <c r="E77">
        <f t="shared" si="5"/>
        <v>87</v>
      </c>
    </row>
    <row r="78" spans="1:5">
      <c r="A78" t="s">
        <v>237</v>
      </c>
      <c r="B78">
        <v>585</v>
      </c>
      <c r="C78" s="4">
        <f>Analise_Instancias!O184</f>
        <v>0.1223544000504424</v>
      </c>
      <c r="D78">
        <f t="shared" si="4"/>
        <v>76</v>
      </c>
      <c r="E78">
        <f t="shared" si="5"/>
        <v>72</v>
      </c>
    </row>
    <row r="79" spans="1:5">
      <c r="A79" t="s">
        <v>238</v>
      </c>
      <c r="B79">
        <v>598</v>
      </c>
      <c r="C79" s="4">
        <f>Analise_Instancias!O185</f>
        <v>0.13920313090704561</v>
      </c>
      <c r="D79">
        <f t="shared" si="4"/>
        <v>77</v>
      </c>
      <c r="E79">
        <f t="shared" si="5"/>
        <v>85</v>
      </c>
    </row>
    <row r="80" spans="1:5">
      <c r="A80" t="s">
        <v>239</v>
      </c>
      <c r="B80">
        <v>612</v>
      </c>
      <c r="C80" s="4">
        <f>Analise_Instancias!O186</f>
        <v>0.1271892321743513</v>
      </c>
      <c r="D80">
        <f t="shared" si="4"/>
        <v>78</v>
      </c>
      <c r="E80">
        <f t="shared" si="5"/>
        <v>80</v>
      </c>
    </row>
    <row r="81" spans="1:5">
      <c r="A81" t="s">
        <v>240</v>
      </c>
      <c r="B81">
        <v>626</v>
      </c>
      <c r="C81" s="4">
        <f>Analise_Instancias!O187</f>
        <v>0.1856485465864488</v>
      </c>
      <c r="D81">
        <f t="shared" si="4"/>
        <v>79</v>
      </c>
      <c r="E81">
        <f t="shared" si="5"/>
        <v>96</v>
      </c>
    </row>
    <row r="82" spans="1:5">
      <c r="A82" t="s">
        <v>241</v>
      </c>
      <c r="B82">
        <v>640</v>
      </c>
      <c r="C82" s="4">
        <f>Analise_Instancias!O188</f>
        <v>9.6405077217197377E-2</v>
      </c>
      <c r="D82">
        <f t="shared" si="4"/>
        <v>80</v>
      </c>
      <c r="E82">
        <f t="shared" si="5"/>
        <v>53</v>
      </c>
    </row>
    <row r="83" spans="1:5">
      <c r="A83" t="s">
        <v>242</v>
      </c>
      <c r="B83">
        <v>654</v>
      </c>
      <c r="C83" s="4">
        <f>Analise_Instancias!O189</f>
        <v>0.14447403539988768</v>
      </c>
      <c r="D83">
        <f t="shared" si="4"/>
        <v>81</v>
      </c>
      <c r="E83">
        <f t="shared" si="5"/>
        <v>86</v>
      </c>
    </row>
    <row r="84" spans="1:5">
      <c r="A84" t="s">
        <v>243</v>
      </c>
      <c r="B84">
        <v>669</v>
      </c>
      <c r="C84" s="4">
        <f>Analise_Instancias!O190</f>
        <v>0.13780350504332617</v>
      </c>
      <c r="D84">
        <f t="shared" si="4"/>
        <v>82</v>
      </c>
      <c r="E84">
        <f t="shared" si="5"/>
        <v>84</v>
      </c>
    </row>
    <row r="85" spans="1:5">
      <c r="A85" t="s">
        <v>244</v>
      </c>
      <c r="B85">
        <v>684</v>
      </c>
      <c r="C85" s="4">
        <f>Analise_Instancias!O191</f>
        <v>0.13151780477970831</v>
      </c>
      <c r="D85">
        <f t="shared" si="4"/>
        <v>83</v>
      </c>
      <c r="E85">
        <f t="shared" si="5"/>
        <v>81</v>
      </c>
    </row>
    <row r="86" spans="1:5">
      <c r="A86" t="s">
        <v>245</v>
      </c>
      <c r="B86">
        <v>700</v>
      </c>
      <c r="C86" s="4">
        <f>Analise_Instancias!O192</f>
        <v>7.3640510754000799E-2</v>
      </c>
      <c r="D86">
        <f t="shared" si="4"/>
        <v>84</v>
      </c>
      <c r="E86">
        <f t="shared" si="5"/>
        <v>36</v>
      </c>
    </row>
    <row r="87" spans="1:5">
      <c r="A87" t="s">
        <v>246</v>
      </c>
      <c r="B87">
        <v>715</v>
      </c>
      <c r="C87" s="4">
        <f>Analise_Instancias!O193</f>
        <v>0.17677138931478109</v>
      </c>
      <c r="D87">
        <f t="shared" si="4"/>
        <v>85</v>
      </c>
      <c r="E87">
        <f t="shared" si="5"/>
        <v>94</v>
      </c>
    </row>
    <row r="88" spans="1:5">
      <c r="A88" t="s">
        <v>247</v>
      </c>
      <c r="B88">
        <v>732</v>
      </c>
      <c r="C88" s="4">
        <f>Analise_Instancias!O194</f>
        <v>0.12204048936388934</v>
      </c>
      <c r="D88">
        <f t="shared" si="4"/>
        <v>86</v>
      </c>
      <c r="E88">
        <f t="shared" si="5"/>
        <v>71</v>
      </c>
    </row>
    <row r="89" spans="1:5">
      <c r="A89" t="s">
        <v>248</v>
      </c>
      <c r="B89">
        <v>748</v>
      </c>
      <c r="C89" s="4">
        <f>Analise_Instancias!O195</f>
        <v>0.15653209081261577</v>
      </c>
      <c r="D89">
        <f t="shared" si="4"/>
        <v>87</v>
      </c>
      <c r="E89">
        <f t="shared" si="5"/>
        <v>89</v>
      </c>
    </row>
    <row r="90" spans="1:5">
      <c r="A90" t="s">
        <v>249</v>
      </c>
      <c r="B90">
        <v>765</v>
      </c>
      <c r="C90" s="4">
        <f>Analise_Instancias!O196</f>
        <v>0.12651064745623475</v>
      </c>
      <c r="D90">
        <f t="shared" si="4"/>
        <v>88</v>
      </c>
      <c r="E90">
        <f t="shared" si="5"/>
        <v>78</v>
      </c>
    </row>
    <row r="91" spans="1:5">
      <c r="A91" t="s">
        <v>250</v>
      </c>
      <c r="B91">
        <v>782</v>
      </c>
      <c r="C91" s="4">
        <f>Analise_Instancias!O197</f>
        <v>0.12311665066449318</v>
      </c>
      <c r="D91">
        <f t="shared" si="4"/>
        <v>89</v>
      </c>
      <c r="E91">
        <f t="shared" si="5"/>
        <v>73</v>
      </c>
    </row>
    <row r="92" spans="1:5">
      <c r="A92" t="s">
        <v>251</v>
      </c>
      <c r="B92">
        <v>800</v>
      </c>
      <c r="C92" s="4">
        <f>Analise_Instancias!O198</f>
        <v>0.15975539993998167</v>
      </c>
      <c r="D92">
        <f t="shared" si="4"/>
        <v>90</v>
      </c>
      <c r="E92">
        <f t="shared" si="5"/>
        <v>90</v>
      </c>
    </row>
    <row r="93" spans="1:5">
      <c r="A93" t="s">
        <v>252</v>
      </c>
      <c r="B93">
        <v>818</v>
      </c>
      <c r="C93" s="4">
        <f>Analise_Instancias!O199</f>
        <v>0.15981234307903436</v>
      </c>
      <c r="D93">
        <f t="shared" si="4"/>
        <v>91</v>
      </c>
      <c r="E93">
        <f t="shared" si="5"/>
        <v>91</v>
      </c>
    </row>
    <row r="94" spans="1:5">
      <c r="A94" t="s">
        <v>253</v>
      </c>
      <c r="B94">
        <v>836</v>
      </c>
      <c r="C94" s="4">
        <f>Analise_Instancias!O200</f>
        <v>0.1121217972044577</v>
      </c>
      <c r="D94">
        <f t="shared" si="4"/>
        <v>92</v>
      </c>
      <c r="E94">
        <f t="shared" si="5"/>
        <v>67</v>
      </c>
    </row>
    <row r="95" spans="1:5">
      <c r="A95" t="s">
        <v>254</v>
      </c>
      <c r="B95">
        <v>855</v>
      </c>
      <c r="C95" s="4">
        <f>Analise_Instancias!O201</f>
        <v>0.1340303244253358</v>
      </c>
      <c r="D95">
        <f t="shared" si="4"/>
        <v>93</v>
      </c>
      <c r="E95">
        <f t="shared" si="5"/>
        <v>82</v>
      </c>
    </row>
    <row r="96" spans="1:5">
      <c r="A96" t="s">
        <v>255</v>
      </c>
      <c r="B96">
        <v>875</v>
      </c>
      <c r="C96" s="4">
        <f>Analise_Instancias!O202</f>
        <v>0.10023687927370872</v>
      </c>
      <c r="D96">
        <f t="shared" si="4"/>
        <v>94</v>
      </c>
      <c r="E96">
        <f t="shared" si="5"/>
        <v>56</v>
      </c>
    </row>
    <row r="97" spans="1:5">
      <c r="A97" t="s">
        <v>256</v>
      </c>
      <c r="B97">
        <v>894</v>
      </c>
      <c r="C97" s="4">
        <f>Analise_Instancias!O203</f>
        <v>0.14738253690122538</v>
      </c>
      <c r="D97">
        <f t="shared" si="4"/>
        <v>95</v>
      </c>
      <c r="E97">
        <f t="shared" si="5"/>
        <v>88</v>
      </c>
    </row>
    <row r="98" spans="1:5">
      <c r="A98" t="s">
        <v>257</v>
      </c>
      <c r="B98">
        <v>915</v>
      </c>
      <c r="C98" s="4">
        <f>Analise_Instancias!O204</f>
        <v>0.12058190604503927</v>
      </c>
      <c r="D98">
        <f t="shared" si="4"/>
        <v>96</v>
      </c>
      <c r="E98">
        <f t="shared" si="5"/>
        <v>69</v>
      </c>
    </row>
    <row r="99" spans="1:5">
      <c r="A99" t="s">
        <v>258</v>
      </c>
      <c r="B99">
        <v>935</v>
      </c>
      <c r="C99" s="4">
        <f>Analise_Instancias!O205</f>
        <v>0.18583619033266774</v>
      </c>
      <c r="D99">
        <f t="shared" si="4"/>
        <v>97</v>
      </c>
      <c r="E99">
        <f t="shared" si="5"/>
        <v>97</v>
      </c>
    </row>
    <row r="100" spans="1:5">
      <c r="A100" t="s">
        <v>259</v>
      </c>
      <c r="B100">
        <v>956</v>
      </c>
      <c r="C100" s="4">
        <f>Analise_Instancias!O206</f>
        <v>0.25213418870297777</v>
      </c>
      <c r="D100">
        <f t="shared" si="4"/>
        <v>98</v>
      </c>
      <c r="E100">
        <f t="shared" si="5"/>
        <v>100</v>
      </c>
    </row>
    <row r="101" spans="1:5">
      <c r="A101" t="s">
        <v>260</v>
      </c>
      <c r="B101">
        <v>978</v>
      </c>
      <c r="C101" s="4">
        <f>Analise_Instancias!O207</f>
        <v>8.9035682616662282E-2</v>
      </c>
      <c r="D101">
        <f t="shared" si="4"/>
        <v>99</v>
      </c>
      <c r="E101">
        <f t="shared" si="5"/>
        <v>45</v>
      </c>
    </row>
  </sheetData>
  <mergeCells count="1"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Dim</vt:lpstr>
      <vt:lpstr>Consolidado</vt:lpstr>
      <vt:lpstr>Data</vt:lpstr>
      <vt:lpstr>Planilha2</vt:lpstr>
      <vt:lpstr>Analise_Instancias</vt:lpstr>
      <vt:lpstr>Analise_Sets</vt:lpstr>
      <vt:lpstr>Analise_Tamanho</vt:lpstr>
      <vt:lpstr>Portfolio_Modelos</vt:lpstr>
      <vt:lpstr>Analise_X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Pedro Gomes da Cruz</cp:lastModifiedBy>
  <dcterms:modified xsi:type="dcterms:W3CDTF">2026-08-20T01:03:14Z</dcterms:modified>
</cp:coreProperties>
</file>